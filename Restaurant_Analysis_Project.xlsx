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00_Raw" sheetId="1" r:id="rId1"/>
    <sheet name="01-clean" sheetId="2" r:id="rId2"/>
    <sheet name="02_Menu_Lookup" sheetId="3" r:id="rId3"/>
    <sheet name="03-ِAnalysis" sheetId="4" r:id="rId4"/>
    <sheet name="04_Charts" sheetId="5" r:id="rId5"/>
    <sheet name="05_Cleaning_Log" sheetId="6" r:id="rId6"/>
  </sheets>
  <definedNames>
    <definedName name="C2ؤ1451">#REF!</definedName>
  </definedNames>
  <calcPr calcId="191029"/>
  <pivotCaches>
    <pivotCache cacheId="0" r:id="rId7"/>
    <pivotCache cacheId="1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<sst xmlns="http://schemas.openxmlformats.org/spreadsheetml/2006/main" count="29222" uniqueCount="2762">
  <si>
    <t>order_id</t>
  </si>
  <si>
    <t>order_date</t>
  </si>
  <si>
    <t>order_time</t>
  </si>
  <si>
    <t>channel</t>
  </si>
  <si>
    <t>item_name</t>
  </si>
  <si>
    <t>category</t>
  </si>
  <si>
    <t>quantity</t>
  </si>
  <si>
    <t>unit_price</t>
  </si>
  <si>
    <t>total_price</t>
  </si>
  <si>
    <t>payment_method</t>
  </si>
  <si>
    <t>discount_pct</t>
  </si>
  <si>
    <t>customer_rating</t>
  </si>
  <si>
    <t>server_name</t>
  </si>
  <si>
    <t>ORD-00001</t>
  </si>
  <si>
    <t>2026-02-01</t>
  </si>
  <si>
    <t>14:55</t>
  </si>
  <si>
    <t>Dine-in</t>
  </si>
  <si>
    <t>Tea</t>
  </si>
  <si>
    <t>Beverages</t>
  </si>
  <si>
    <t>2</t>
  </si>
  <si>
    <t>1000</t>
  </si>
  <si>
    <t>2000</t>
  </si>
  <si>
    <t>Cash</t>
  </si>
  <si>
    <t/>
  </si>
  <si>
    <t>Noor Kadhim</t>
  </si>
  <si>
    <t>ORD-00002</t>
  </si>
  <si>
    <t>20:24</t>
  </si>
  <si>
    <t>Chicken Tikka</t>
  </si>
  <si>
    <t>Grills</t>
  </si>
  <si>
    <t>3</t>
  </si>
  <si>
    <t>15000</t>
  </si>
  <si>
    <t>45000</t>
  </si>
  <si>
    <t>Card</t>
  </si>
  <si>
    <t>Ali Hassan</t>
  </si>
  <si>
    <t>ORD-00003</t>
  </si>
  <si>
    <t>20:26</t>
  </si>
  <si>
    <t>Falafel Sandwich</t>
  </si>
  <si>
    <t>Sandwiches</t>
  </si>
  <si>
    <t>1</t>
  </si>
  <si>
    <t>3000</t>
  </si>
  <si>
    <t>Mustafa Karim</t>
  </si>
  <si>
    <t>ORD-00004</t>
  </si>
  <si>
    <t>20:50</t>
  </si>
  <si>
    <t>Delivery</t>
  </si>
  <si>
    <t>Hummus</t>
  </si>
  <si>
    <t>Appetizers</t>
  </si>
  <si>
    <t>4000</t>
  </si>
  <si>
    <t>Zainab Salim</t>
  </si>
  <si>
    <t>ORD-00005</t>
  </si>
  <si>
    <t>22:04</t>
  </si>
  <si>
    <t>Mixed Grill Platter</t>
  </si>
  <si>
    <t xml:space="preserve">Grills </t>
  </si>
  <si>
    <t>25000</t>
  </si>
  <si>
    <t>10</t>
  </si>
  <si>
    <t>5</t>
  </si>
  <si>
    <t>ORD-00006</t>
  </si>
  <si>
    <t>22:53</t>
  </si>
  <si>
    <t>Lamb Kebab</t>
  </si>
  <si>
    <t>18000</t>
  </si>
  <si>
    <t>ORD-00007</t>
  </si>
  <si>
    <t>2026-02-02</t>
  </si>
  <si>
    <t>20:15</t>
  </si>
  <si>
    <t xml:space="preserve">Dine-in </t>
  </si>
  <si>
    <t>Soft Drink</t>
  </si>
  <si>
    <t>1500</t>
  </si>
  <si>
    <t>4</t>
  </si>
  <si>
    <t>ORD-00008</t>
  </si>
  <si>
    <t>20:25</t>
  </si>
  <si>
    <t xml:space="preserve">Cash </t>
  </si>
  <si>
    <t>ORD-00009</t>
  </si>
  <si>
    <t>20:45</t>
  </si>
  <si>
    <t xml:space="preserve"> Takeaway</t>
  </si>
  <si>
    <t>ORD-00010</t>
  </si>
  <si>
    <t>Omar Jabbar</t>
  </si>
  <si>
    <t>ORD-00011</t>
  </si>
  <si>
    <t>21:26</t>
  </si>
  <si>
    <t>Shwarma Sandwich</t>
  </si>
  <si>
    <t>5000</t>
  </si>
  <si>
    <t>ORD-00012</t>
  </si>
  <si>
    <t>02/02/2026</t>
  </si>
  <si>
    <t>23:49</t>
  </si>
  <si>
    <t>Chicken Sandwich</t>
  </si>
  <si>
    <t>6000</t>
  </si>
  <si>
    <t>ORD-00013</t>
  </si>
  <si>
    <t>2026-02-03</t>
  </si>
  <si>
    <t>19:22</t>
  </si>
  <si>
    <t>dine in</t>
  </si>
  <si>
    <t>ORD-00014</t>
  </si>
  <si>
    <t>20:11</t>
  </si>
  <si>
    <t>CHICKEN TIKKA</t>
  </si>
  <si>
    <t>13500</t>
  </si>
  <si>
    <t>ORD-00015</t>
  </si>
  <si>
    <t>20:16</t>
  </si>
  <si>
    <t>ORD-00016</t>
  </si>
  <si>
    <t>22:17</t>
  </si>
  <si>
    <t>Fattoush Salad</t>
  </si>
  <si>
    <t>10000</t>
  </si>
  <si>
    <t>ORD-00017</t>
  </si>
  <si>
    <t>22:24</t>
  </si>
  <si>
    <t>noor kadhim</t>
  </si>
  <si>
    <t>ORD-00018</t>
  </si>
  <si>
    <t>2026-02-04</t>
  </si>
  <si>
    <t>17:58</t>
  </si>
  <si>
    <t>Shawarma Sandwich</t>
  </si>
  <si>
    <t>5000 IQD</t>
  </si>
  <si>
    <t>ORD-00019</t>
  </si>
  <si>
    <t>19:59</t>
  </si>
  <si>
    <t>Takeaway</t>
  </si>
  <si>
    <t>Kunafah</t>
  </si>
  <si>
    <t>Desserts</t>
  </si>
  <si>
    <t>7000</t>
  </si>
  <si>
    <t>7000 IQD</t>
  </si>
  <si>
    <t>ORD-00020</t>
  </si>
  <si>
    <t>20:23</t>
  </si>
  <si>
    <t>8000</t>
  </si>
  <si>
    <t>ORD-00021</t>
  </si>
  <si>
    <t>20:56</t>
  </si>
  <si>
    <t>ORD-00022</t>
  </si>
  <si>
    <t>22:48</t>
  </si>
  <si>
    <t>20</t>
  </si>
  <si>
    <t>ORD-00023</t>
  </si>
  <si>
    <t>2026-02-05</t>
  </si>
  <si>
    <t>13:57</t>
  </si>
  <si>
    <t>ORD-00024</t>
  </si>
  <si>
    <t>17:33</t>
  </si>
  <si>
    <t>takeaway</t>
  </si>
  <si>
    <t>30000 IQD</t>
  </si>
  <si>
    <t>CASH</t>
  </si>
  <si>
    <t>ORD-00025</t>
  </si>
  <si>
    <t>17:42</t>
  </si>
  <si>
    <t>3,000</t>
  </si>
  <si>
    <t xml:space="preserve">  Mustafa Karim </t>
  </si>
  <si>
    <t>ORD-00026</t>
  </si>
  <si>
    <t>18:31</t>
  </si>
  <si>
    <t>dine-in</t>
  </si>
  <si>
    <t>ORD-00027</t>
  </si>
  <si>
    <t>18:44</t>
  </si>
  <si>
    <t xml:space="preserve">  Takeaway </t>
  </si>
  <si>
    <t>ORD-00028</t>
  </si>
  <si>
    <t>19:01</t>
  </si>
  <si>
    <t>36000</t>
  </si>
  <si>
    <t>ORD-00029</t>
  </si>
  <si>
    <t>19:17</t>
  </si>
  <si>
    <t>15</t>
  </si>
  <si>
    <t>ORD-00030</t>
  </si>
  <si>
    <t>20:00</t>
  </si>
  <si>
    <t>Shish Tawook</t>
  </si>
  <si>
    <t>16000</t>
  </si>
  <si>
    <t>48000</t>
  </si>
  <si>
    <t>ORD-00031</t>
  </si>
  <si>
    <t>21:19</t>
  </si>
  <si>
    <t xml:space="preserve"> Dine-in</t>
  </si>
  <si>
    <t>ORD-00032</t>
  </si>
  <si>
    <t>21:25</t>
  </si>
  <si>
    <t>ORD-00033</t>
  </si>
  <si>
    <t>21:55</t>
  </si>
  <si>
    <t xml:space="preserve">  Dine-in </t>
  </si>
  <si>
    <t>omar jabbar</t>
  </si>
  <si>
    <t>ORD-00034</t>
  </si>
  <si>
    <t>ORD-00035</t>
  </si>
  <si>
    <t>22:30</t>
  </si>
  <si>
    <t>Softdrink</t>
  </si>
  <si>
    <t>1350</t>
  </si>
  <si>
    <t>ORD-00036</t>
  </si>
  <si>
    <t>22:37</t>
  </si>
  <si>
    <t>Baklava</t>
  </si>
  <si>
    <t>ORD-00037</t>
  </si>
  <si>
    <t>23:14</t>
  </si>
  <si>
    <t>ORD-00038</t>
  </si>
  <si>
    <t>2026-02-06</t>
  </si>
  <si>
    <t>11:27</t>
  </si>
  <si>
    <t>ORD-00039</t>
  </si>
  <si>
    <t>06/02/2026</t>
  </si>
  <si>
    <t>12:12</t>
  </si>
  <si>
    <t>ORD-00040</t>
  </si>
  <si>
    <t>14:17</t>
  </si>
  <si>
    <t>ORD-00041</t>
  </si>
  <si>
    <t>14:42</t>
  </si>
  <si>
    <t>ORD-00042</t>
  </si>
  <si>
    <t>February 6 2026</t>
  </si>
  <si>
    <t>16:36</t>
  </si>
  <si>
    <t>ali hassan</t>
  </si>
  <si>
    <t>ORD-00043</t>
  </si>
  <si>
    <t>19:23</t>
  </si>
  <si>
    <t>12000</t>
  </si>
  <si>
    <t>ORD-00044</t>
  </si>
  <si>
    <t>ORD-00045</t>
  </si>
  <si>
    <t>21:47</t>
  </si>
  <si>
    <t>shawarma sandwich</t>
  </si>
  <si>
    <t>8500</t>
  </si>
  <si>
    <t>ORD-00046</t>
  </si>
  <si>
    <t>23:53</t>
  </si>
  <si>
    <t>ORD-00047</t>
  </si>
  <si>
    <t>2026-02-07</t>
  </si>
  <si>
    <t>11:35</t>
  </si>
  <si>
    <t>ORD-00048</t>
  </si>
  <si>
    <t>19:09</t>
  </si>
  <si>
    <t>ORD-00049</t>
  </si>
  <si>
    <t>21:04</t>
  </si>
  <si>
    <t>Fresh Lemon Mint</t>
  </si>
  <si>
    <t>ORD-00050</t>
  </si>
  <si>
    <t>21:41</t>
  </si>
  <si>
    <t>ORD-00051</t>
  </si>
  <si>
    <t>21:43</t>
  </si>
  <si>
    <t>ORD-00052</t>
  </si>
  <si>
    <t>February 7 2026</t>
  </si>
  <si>
    <t>22:07</t>
  </si>
  <si>
    <t>delivery</t>
  </si>
  <si>
    <t>ORD-00053</t>
  </si>
  <si>
    <t>22:40</t>
  </si>
  <si>
    <t>ORD-00054</t>
  </si>
  <si>
    <t>2026-02-08</t>
  </si>
  <si>
    <t>19:18</t>
  </si>
  <si>
    <t>DINE-IN</t>
  </si>
  <si>
    <t>3600</t>
  </si>
  <si>
    <t>ORD-00055</t>
  </si>
  <si>
    <t>19:37</t>
  </si>
  <si>
    <t>shish tawook</t>
  </si>
  <si>
    <t>16,000 IQD</t>
  </si>
  <si>
    <t>ORD-00056</t>
  </si>
  <si>
    <t>mustafa karim</t>
  </si>
  <si>
    <t>ORD-00057</t>
  </si>
  <si>
    <t>21:17</t>
  </si>
  <si>
    <t>ORD-00058</t>
  </si>
  <si>
    <t>ORD-00059</t>
  </si>
  <si>
    <t>2026-02-09</t>
  </si>
  <si>
    <t>14:29</t>
  </si>
  <si>
    <t>4500</t>
  </si>
  <si>
    <t>ORD-00060</t>
  </si>
  <si>
    <t>20:01</t>
  </si>
  <si>
    <t>ORD-00061</t>
  </si>
  <si>
    <t>21:06</t>
  </si>
  <si>
    <t>ORD-00062</t>
  </si>
  <si>
    <t>21:42</t>
  </si>
  <si>
    <t>delivary</t>
  </si>
  <si>
    <t>Humus</t>
  </si>
  <si>
    <t xml:space="preserve">Omar Jabbar </t>
  </si>
  <si>
    <t>ORD-00063</t>
  </si>
  <si>
    <t>22:05</t>
  </si>
  <si>
    <t>ORD-00064</t>
  </si>
  <si>
    <t>09/02/2026</t>
  </si>
  <si>
    <t>22:58</t>
  </si>
  <si>
    <t>ORD-00065</t>
  </si>
  <si>
    <t>2026-02-10</t>
  </si>
  <si>
    <t>18:39</t>
  </si>
  <si>
    <t>ORD-00066</t>
  </si>
  <si>
    <t>10/02/2026</t>
  </si>
  <si>
    <t>20:04</t>
  </si>
  <si>
    <t>ORD-00067</t>
  </si>
  <si>
    <t>ORD-00068</t>
  </si>
  <si>
    <t>20:51</t>
  </si>
  <si>
    <t>1200</t>
  </si>
  <si>
    <t>ORD-00069</t>
  </si>
  <si>
    <t>February 10 2026</t>
  </si>
  <si>
    <t>ORD-00070</t>
  </si>
  <si>
    <t>22:44</t>
  </si>
  <si>
    <t>ORD-00071</t>
  </si>
  <si>
    <t>23:30</t>
  </si>
  <si>
    <t>30000</t>
  </si>
  <si>
    <t>ORD-00072</t>
  </si>
  <si>
    <t>2026-02-11</t>
  </si>
  <si>
    <t>13:37</t>
  </si>
  <si>
    <t>Hommus</t>
  </si>
  <si>
    <t xml:space="preserve">  Appetizers </t>
  </si>
  <si>
    <t>ORD-00073</t>
  </si>
  <si>
    <t>11/02/2026</t>
  </si>
  <si>
    <t>19:06</t>
  </si>
  <si>
    <t>soft drink</t>
  </si>
  <si>
    <t>ORD-00074</t>
  </si>
  <si>
    <t xml:space="preserve">Lamb Kebab </t>
  </si>
  <si>
    <t>ORD-00075</t>
  </si>
  <si>
    <t>20:29</t>
  </si>
  <si>
    <t>ORD-00076</t>
  </si>
  <si>
    <t>21:07</t>
  </si>
  <si>
    <t>ORD-00077</t>
  </si>
  <si>
    <t>2026-02-12</t>
  </si>
  <si>
    <t>12:04</t>
  </si>
  <si>
    <t>ORD-00078</t>
  </si>
  <si>
    <t>ORD-00079</t>
  </si>
  <si>
    <t>ORD-00080</t>
  </si>
  <si>
    <t>20:31</t>
  </si>
  <si>
    <t>22500</t>
  </si>
  <si>
    <t>ORD-00081</t>
  </si>
  <si>
    <t>20:35</t>
  </si>
  <si>
    <t>ORD-00082</t>
  </si>
  <si>
    <t>21:16</t>
  </si>
  <si>
    <t>ORD-00083</t>
  </si>
  <si>
    <t>21:52</t>
  </si>
  <si>
    <t>ORD-00084</t>
  </si>
  <si>
    <t>23:07</t>
  </si>
  <si>
    <t>ORD-00085</t>
  </si>
  <si>
    <t>23:27</t>
  </si>
  <si>
    <t>NOOR KADHIM</t>
  </si>
  <si>
    <t>ORD-00086</t>
  </si>
  <si>
    <t>23:43</t>
  </si>
  <si>
    <t>54000</t>
  </si>
  <si>
    <t>ORD-00087</t>
  </si>
  <si>
    <t>23:50</t>
  </si>
  <si>
    <t>ORD-00088</t>
  </si>
  <si>
    <t>February 13 2026</t>
  </si>
  <si>
    <t>13:55</t>
  </si>
  <si>
    <t xml:space="preserve">  Mixed Grill Platter </t>
  </si>
  <si>
    <t>ORD-00089</t>
  </si>
  <si>
    <t>2026-02-13</t>
  </si>
  <si>
    <t>ORD-00090</t>
  </si>
  <si>
    <t>17:49</t>
  </si>
  <si>
    <t>20000</t>
  </si>
  <si>
    <t>ORD-00091</t>
  </si>
  <si>
    <t>18:05</t>
  </si>
  <si>
    <t xml:space="preserve"> Beverages</t>
  </si>
  <si>
    <t>ORD-00092</t>
  </si>
  <si>
    <t>18:21</t>
  </si>
  <si>
    <t>6000 IQD</t>
  </si>
  <si>
    <t>ORD-00093</t>
  </si>
  <si>
    <t>19:13</t>
  </si>
  <si>
    <t xml:space="preserve">  Noor Kadhim </t>
  </si>
  <si>
    <t>ORD-00094</t>
  </si>
  <si>
    <t>20:10</t>
  </si>
  <si>
    <t>ORD-00095</t>
  </si>
  <si>
    <t>20:14</t>
  </si>
  <si>
    <t>ALI HASSAN</t>
  </si>
  <si>
    <t>ORD-00096</t>
  </si>
  <si>
    <t>13/02/2026</t>
  </si>
  <si>
    <t>ORD-00097</t>
  </si>
  <si>
    <t>ORD-00098</t>
  </si>
  <si>
    <t>ORD-00099</t>
  </si>
  <si>
    <t>13-Feb-2026</t>
  </si>
  <si>
    <t xml:space="preserve">Mustafa Karim </t>
  </si>
  <si>
    <t>ORD-00100</t>
  </si>
  <si>
    <t>21:37</t>
  </si>
  <si>
    <t>ORD-00101</t>
  </si>
  <si>
    <t>21:54</t>
  </si>
  <si>
    <t>2700</t>
  </si>
  <si>
    <t xml:space="preserve"> ZAINAB SALIM</t>
  </si>
  <si>
    <t>ORD-00102</t>
  </si>
  <si>
    <t>22:31</t>
  </si>
  <si>
    <t>ORD-00103</t>
  </si>
  <si>
    <t>2026-02-14</t>
  </si>
  <si>
    <t>12:36</t>
  </si>
  <si>
    <t>ORD-00104</t>
  </si>
  <si>
    <t>13:33</t>
  </si>
  <si>
    <t>Shish Tawooq</t>
  </si>
  <si>
    <t>ORD-00105</t>
  </si>
  <si>
    <t>17:31</t>
  </si>
  <si>
    <t>ORD-00106</t>
  </si>
  <si>
    <t>ORD-00107</t>
  </si>
  <si>
    <t>21:11</t>
  </si>
  <si>
    <t>25,000 IQD</t>
  </si>
  <si>
    <t>ORD-00108</t>
  </si>
  <si>
    <t>21:20</t>
  </si>
  <si>
    <t>ORD-00109</t>
  </si>
  <si>
    <t>ORD-00110</t>
  </si>
  <si>
    <t xml:space="preserve">Delivery </t>
  </si>
  <si>
    <t>ORD-00111</t>
  </si>
  <si>
    <t>22:19</t>
  </si>
  <si>
    <t>ORD-00112</t>
  </si>
  <si>
    <t>22:54</t>
  </si>
  <si>
    <t>14000</t>
  </si>
  <si>
    <t>ZAINAB SALIM</t>
  </si>
  <si>
    <t>ORD-00113</t>
  </si>
  <si>
    <t>2026-02-15</t>
  </si>
  <si>
    <t>14:48</t>
  </si>
  <si>
    <t>ORD-00114</t>
  </si>
  <si>
    <t>21:22</t>
  </si>
  <si>
    <t xml:space="preserve"> Tea</t>
  </si>
  <si>
    <t>ORD-00115</t>
  </si>
  <si>
    <t>22:10</t>
  </si>
  <si>
    <t>Kunafa</t>
  </si>
  <si>
    <t xml:space="preserve"> Desserts</t>
  </si>
  <si>
    <t>ORD-00116</t>
  </si>
  <si>
    <t>2026-02-16</t>
  </si>
  <si>
    <t>ORD-00117</t>
  </si>
  <si>
    <t>ORD-00118</t>
  </si>
  <si>
    <t>16-Feb-2026</t>
  </si>
  <si>
    <t>23:54</t>
  </si>
  <si>
    <t>ORD-00119</t>
  </si>
  <si>
    <t>17/02/2026</t>
  </si>
  <si>
    <t>13:15</t>
  </si>
  <si>
    <t>ORD-00120</t>
  </si>
  <si>
    <t>2026-02-17</t>
  </si>
  <si>
    <t>20:48</t>
  </si>
  <si>
    <t>ORD-00121</t>
  </si>
  <si>
    <t>February 17 2026</t>
  </si>
  <si>
    <t>ORD-00122</t>
  </si>
  <si>
    <t>ORD-00123</t>
  </si>
  <si>
    <t>21:12</t>
  </si>
  <si>
    <t>ORD-00124</t>
  </si>
  <si>
    <t xml:space="preserve"> Sandwiches</t>
  </si>
  <si>
    <t>ORD-00125</t>
  </si>
  <si>
    <t>22:50</t>
  </si>
  <si>
    <t>ORD-00126</t>
  </si>
  <si>
    <t>2026-02-18</t>
  </si>
  <si>
    <t>12:10</t>
  </si>
  <si>
    <t>Dine In</t>
  </si>
  <si>
    <t>ORD-00127</t>
  </si>
  <si>
    <t>12:42</t>
  </si>
  <si>
    <t>Soft drink</t>
  </si>
  <si>
    <t>ORD-00128</t>
  </si>
  <si>
    <t>12:53</t>
  </si>
  <si>
    <t>3,000 IQD</t>
  </si>
  <si>
    <t>ORD-00129</t>
  </si>
  <si>
    <t>12:54</t>
  </si>
  <si>
    <t>ORD-00130</t>
  </si>
  <si>
    <t>5950</t>
  </si>
  <si>
    <t>ORD-00131</t>
  </si>
  <si>
    <t>18:38</t>
  </si>
  <si>
    <t>13600</t>
  </si>
  <si>
    <t>ORD-00132</t>
  </si>
  <si>
    <t>21:08</t>
  </si>
  <si>
    <t>ORD-00133</t>
  </si>
  <si>
    <t>ORD-00134</t>
  </si>
  <si>
    <t>2026-02-19</t>
  </si>
  <si>
    <t>12:09</t>
  </si>
  <si>
    <t>ORD-00135</t>
  </si>
  <si>
    <t>19/02/2026</t>
  </si>
  <si>
    <t>14:58</t>
  </si>
  <si>
    <t>5,000 IQD</t>
  </si>
  <si>
    <t>ORD-00136</t>
  </si>
  <si>
    <t>15:08</t>
  </si>
  <si>
    <t>ORD-00137</t>
  </si>
  <si>
    <t>ORD-00138</t>
  </si>
  <si>
    <t>ORD-00139</t>
  </si>
  <si>
    <t>ORD-00140</t>
  </si>
  <si>
    <t>20-Feb-2026</t>
  </si>
  <si>
    <t>13:27</t>
  </si>
  <si>
    <t>50000</t>
  </si>
  <si>
    <t>ORD-00141</t>
  </si>
  <si>
    <t>2026-02-20</t>
  </si>
  <si>
    <t>20:08</t>
  </si>
  <si>
    <t>ORD-00142</t>
  </si>
  <si>
    <t>20:20</t>
  </si>
  <si>
    <t>ORD-00143</t>
  </si>
  <si>
    <t>20:40</t>
  </si>
  <si>
    <t>ORD-00144</t>
  </si>
  <si>
    <t>ORD-00145</t>
  </si>
  <si>
    <t>20/02/2026</t>
  </si>
  <si>
    <t>21:14</t>
  </si>
  <si>
    <t xml:space="preserve">Noor Kadhim </t>
  </si>
  <si>
    <t>ORD-00146</t>
  </si>
  <si>
    <t>ORD-00163</t>
  </si>
  <si>
    <t>2026-02-21</t>
  </si>
  <si>
    <t>ORD-00148</t>
  </si>
  <si>
    <t>22:59</t>
  </si>
  <si>
    <t>6,000 IQD</t>
  </si>
  <si>
    <t>ORD-00149</t>
  </si>
  <si>
    <t>ORD-00150</t>
  </si>
  <si>
    <t>21-Feb-2026</t>
  </si>
  <si>
    <t>13:32</t>
  </si>
  <si>
    <t>ORD-00151</t>
  </si>
  <si>
    <t>14:34</t>
  </si>
  <si>
    <t>ORD-00152</t>
  </si>
  <si>
    <t>14:52</t>
  </si>
  <si>
    <t>ORD-00153</t>
  </si>
  <si>
    <t>19:39</t>
  </si>
  <si>
    <t xml:space="preserve">Sandwiches </t>
  </si>
  <si>
    <t>ORD-00154</t>
  </si>
  <si>
    <t>19:42</t>
  </si>
  <si>
    <t>ORD-00156</t>
  </si>
  <si>
    <t>21/02/2026</t>
  </si>
  <si>
    <t>20:09</t>
  </si>
  <si>
    <t>ORD-00155</t>
  </si>
  <si>
    <t>ORD-00157</t>
  </si>
  <si>
    <t>1,000</t>
  </si>
  <si>
    <t>ORD-00158</t>
  </si>
  <si>
    <t>ORD-00159</t>
  </si>
  <si>
    <t>21:28</t>
  </si>
  <si>
    <t xml:space="preserve"> Omar Jabbar</t>
  </si>
  <si>
    <t>ORD-00160</t>
  </si>
  <si>
    <t>22:14</t>
  </si>
  <si>
    <t>ORD-00161</t>
  </si>
  <si>
    <t>February 21 2026</t>
  </si>
  <si>
    <t>22:32</t>
  </si>
  <si>
    <t>ORD-00162</t>
  </si>
  <si>
    <t>23:45</t>
  </si>
  <si>
    <t>32000</t>
  </si>
  <si>
    <t>ORD-00147</t>
  </si>
  <si>
    <t>ORD-00164</t>
  </si>
  <si>
    <t>2026-02-22</t>
  </si>
  <si>
    <t>11:21</t>
  </si>
  <si>
    <t>ORD-00165</t>
  </si>
  <si>
    <t>13:58</t>
  </si>
  <si>
    <t>ORD-00166</t>
  </si>
  <si>
    <t>19:10</t>
  </si>
  <si>
    <t>ORD-00167</t>
  </si>
  <si>
    <t>20:36</t>
  </si>
  <si>
    <t>card</t>
  </si>
  <si>
    <t>ORD-00168</t>
  </si>
  <si>
    <t>22/02/2026</t>
  </si>
  <si>
    <t>ORD-00169</t>
  </si>
  <si>
    <t>22:23</t>
  </si>
  <si>
    <t>zainab salim</t>
  </si>
  <si>
    <t>ORD-00170</t>
  </si>
  <si>
    <t>2026-02-23</t>
  </si>
  <si>
    <t>13:54</t>
  </si>
  <si>
    <t>ORD-00171</t>
  </si>
  <si>
    <t>23/02/2026</t>
  </si>
  <si>
    <t>19:45</t>
  </si>
  <si>
    <t>ORD-00172</t>
  </si>
  <si>
    <t>22:16</t>
  </si>
  <si>
    <t>ORD-00173</t>
  </si>
  <si>
    <t>23:01</t>
  </si>
  <si>
    <t>ORD-00174</t>
  </si>
  <si>
    <t>2026-02-24</t>
  </si>
  <si>
    <t>13:03</t>
  </si>
  <si>
    <t>ORD-00175</t>
  </si>
  <si>
    <t>13:41</t>
  </si>
  <si>
    <t>ORD-00176</t>
  </si>
  <si>
    <t>15:58</t>
  </si>
  <si>
    <t>ORD-00177</t>
  </si>
  <si>
    <t>24-Feb-2026</t>
  </si>
  <si>
    <t>18:00</t>
  </si>
  <si>
    <t>ORD-00178</t>
  </si>
  <si>
    <t>19:04</t>
  </si>
  <si>
    <t>Take-away</t>
  </si>
  <si>
    <t xml:space="preserve">  Beverages </t>
  </si>
  <si>
    <t>ORD-00179</t>
  </si>
  <si>
    <t>ORD-00180</t>
  </si>
  <si>
    <t>ORD-00181</t>
  </si>
  <si>
    <t>20:21</t>
  </si>
  <si>
    <t>ORD-00182</t>
  </si>
  <si>
    <t>ORD-00183</t>
  </si>
  <si>
    <t>ORD-00184</t>
  </si>
  <si>
    <t>ORD-00185</t>
  </si>
  <si>
    <t>2026-02-25</t>
  </si>
  <si>
    <t>14:37</t>
  </si>
  <si>
    <t>12600</t>
  </si>
  <si>
    <t>ORD-00186</t>
  </si>
  <si>
    <t>ORD-00187</t>
  </si>
  <si>
    <t>ORD-00188</t>
  </si>
  <si>
    <t>20:37</t>
  </si>
  <si>
    <t>ORD-00189</t>
  </si>
  <si>
    <t>22:13</t>
  </si>
  <si>
    <t>4800</t>
  </si>
  <si>
    <t>ORD-00190</t>
  </si>
  <si>
    <t>2026-02-26</t>
  </si>
  <si>
    <t>12:03</t>
  </si>
  <si>
    <t>ORD-00191</t>
  </si>
  <si>
    <t>26/02/2026</t>
  </si>
  <si>
    <t>12:43</t>
  </si>
  <si>
    <t>ORD-00192</t>
  </si>
  <si>
    <t>12:55</t>
  </si>
  <si>
    <t>ORD-00193</t>
  </si>
  <si>
    <t>15:13</t>
  </si>
  <si>
    <t>ORD-00194</t>
  </si>
  <si>
    <t>15:46</t>
  </si>
  <si>
    <t>ORD-00195</t>
  </si>
  <si>
    <t>16:20</t>
  </si>
  <si>
    <t>ORD-00196</t>
  </si>
  <si>
    <t>18:35</t>
  </si>
  <si>
    <t>ORD-00197</t>
  </si>
  <si>
    <t>ORD-00198</t>
  </si>
  <si>
    <t>ORD-00199</t>
  </si>
  <si>
    <t>ORD-00200</t>
  </si>
  <si>
    <t>23:57</t>
  </si>
  <si>
    <t>ORD-00201</t>
  </si>
  <si>
    <t>2026-02-27</t>
  </si>
  <si>
    <t xml:space="preserve">Card </t>
  </si>
  <si>
    <t>ORD-00202</t>
  </si>
  <si>
    <t>February 27 2026</t>
  </si>
  <si>
    <t>14:31</t>
  </si>
  <si>
    <t>ORD-00203</t>
  </si>
  <si>
    <t>ORD-00204</t>
  </si>
  <si>
    <t>14:35</t>
  </si>
  <si>
    <t>Fatoush Salad</t>
  </si>
  <si>
    <t>ORD-00205</t>
  </si>
  <si>
    <t>16:34</t>
  </si>
  <si>
    <t>ORD-00206</t>
  </si>
  <si>
    <t>27/02/2026</t>
  </si>
  <si>
    <t>ORD-00207</t>
  </si>
  <si>
    <t>19:58</t>
  </si>
  <si>
    <t xml:space="preserve">Appetizers </t>
  </si>
  <si>
    <t>ORD-00208</t>
  </si>
  <si>
    <t>ORD-00209</t>
  </si>
  <si>
    <t>20:03</t>
  </si>
  <si>
    <t>MUSTAFA KARIM</t>
  </si>
  <si>
    <t>ORD-00210</t>
  </si>
  <si>
    <t>20:13</t>
  </si>
  <si>
    <t xml:space="preserve"> Zainab Salim</t>
  </si>
  <si>
    <t>ORD-00211</t>
  </si>
  <si>
    <t>ORD-00212</t>
  </si>
  <si>
    <t>21:13</t>
  </si>
  <si>
    <t>ORD-00213</t>
  </si>
  <si>
    <t>21:39</t>
  </si>
  <si>
    <t>ORD-00214</t>
  </si>
  <si>
    <t>21:45</t>
  </si>
  <si>
    <t>ORD-00215</t>
  </si>
  <si>
    <t>21:48</t>
  </si>
  <si>
    <t>ORD-00216</t>
  </si>
  <si>
    <t>21:51</t>
  </si>
  <si>
    <t>ORD-00217</t>
  </si>
  <si>
    <t>14400</t>
  </si>
  <si>
    <t>ORD-00218</t>
  </si>
  <si>
    <t>22:51</t>
  </si>
  <si>
    <t>ORD-00219</t>
  </si>
  <si>
    <t>2026-02-28</t>
  </si>
  <si>
    <t>12:05</t>
  </si>
  <si>
    <t>4250</t>
  </si>
  <si>
    <t>ORD-00220</t>
  </si>
  <si>
    <t>28/02/2026</t>
  </si>
  <si>
    <t>12:57</t>
  </si>
  <si>
    <t xml:space="preserve"> Kunafa</t>
  </si>
  <si>
    <t>7,000</t>
  </si>
  <si>
    <t>ORD-00221</t>
  </si>
  <si>
    <t>19:38</t>
  </si>
  <si>
    <t>ORD-00222</t>
  </si>
  <si>
    <t>21:24</t>
  </si>
  <si>
    <t>ORD-00223</t>
  </si>
  <si>
    <t>21:29</t>
  </si>
  <si>
    <t>16,000</t>
  </si>
  <si>
    <t>ORD-00224</t>
  </si>
  <si>
    <t>February 28 2026</t>
  </si>
  <si>
    <t>ORD-00225</t>
  </si>
  <si>
    <t>22:08</t>
  </si>
  <si>
    <t>ORD-00226</t>
  </si>
  <si>
    <t>2026-03-01</t>
  </si>
  <si>
    <t>ORD-00227</t>
  </si>
  <si>
    <t>20:57</t>
  </si>
  <si>
    <t>ORD-00228</t>
  </si>
  <si>
    <t>21:32</t>
  </si>
  <si>
    <t>ORD-00229</t>
  </si>
  <si>
    <t>ORD-00230</t>
  </si>
  <si>
    <t>ORD-00231</t>
  </si>
  <si>
    <t>2026-03-02</t>
  </si>
  <si>
    <t>ORD-00232</t>
  </si>
  <si>
    <t>02/03/2026</t>
  </si>
  <si>
    <t>13:00</t>
  </si>
  <si>
    <t>ORD-00233</t>
  </si>
  <si>
    <t>16:41</t>
  </si>
  <si>
    <t>ORD-00234</t>
  </si>
  <si>
    <t>19:16</t>
  </si>
  <si>
    <t>ORD-00235</t>
  </si>
  <si>
    <t>ORD-00236</t>
  </si>
  <si>
    <t>ORD-00237</t>
  </si>
  <si>
    <t>ORD-00238</t>
  </si>
  <si>
    <t>ORD-00239</t>
  </si>
  <si>
    <t>21:03</t>
  </si>
  <si>
    <t>ORD-00240</t>
  </si>
  <si>
    <t>21:31</t>
  </si>
  <si>
    <t>21000</t>
  </si>
  <si>
    <t>ORD-00241</t>
  </si>
  <si>
    <t>ORD-00242</t>
  </si>
  <si>
    <t>2026-03-03</t>
  </si>
  <si>
    <t>ORD-00243</t>
  </si>
  <si>
    <t>20:28</t>
  </si>
  <si>
    <t>1,500</t>
  </si>
  <si>
    <t>ORD-00244</t>
  </si>
  <si>
    <t>21:44</t>
  </si>
  <si>
    <t>Mutabbal</t>
  </si>
  <si>
    <t>3825</t>
  </si>
  <si>
    <t>ORD-00245</t>
  </si>
  <si>
    <t>2026-03-05</t>
  </si>
  <si>
    <t>12:18</t>
  </si>
  <si>
    <t>ORD-00246</t>
  </si>
  <si>
    <t>13:01</t>
  </si>
  <si>
    <t>ORD-00247</t>
  </si>
  <si>
    <t>13:39</t>
  </si>
  <si>
    <t>ORD-00248</t>
  </si>
  <si>
    <t>28800</t>
  </si>
  <si>
    <t>05-Mar-2026</t>
  </si>
  <si>
    <t>16000 IQD</t>
  </si>
  <si>
    <t>ORD-00249</t>
  </si>
  <si>
    <t>14:46</t>
  </si>
  <si>
    <t>1,000 IQD</t>
  </si>
  <si>
    <t>850</t>
  </si>
  <si>
    <t xml:space="preserve">Ali Hassan </t>
  </si>
  <si>
    <t>ORD-00283</t>
  </si>
  <si>
    <t>2026-03-07</t>
  </si>
  <si>
    <t>ORD-00251</t>
  </si>
  <si>
    <t>ORD-00252</t>
  </si>
  <si>
    <t>ORD-00253</t>
  </si>
  <si>
    <t>20:38</t>
  </si>
  <si>
    <t>ORD-00254</t>
  </si>
  <si>
    <t>20:52</t>
  </si>
  <si>
    <t>ORD-00255</t>
  </si>
  <si>
    <t>21:33</t>
  </si>
  <si>
    <t>ORD-00256</t>
  </si>
  <si>
    <t>22:43</t>
  </si>
  <si>
    <t>ORD-00257</t>
  </si>
  <si>
    <t>ORD-00258</t>
  </si>
  <si>
    <t>23:23</t>
  </si>
  <si>
    <t>05/03/2026</t>
  </si>
  <si>
    <t>ORD-00259</t>
  </si>
  <si>
    <t>23:40</t>
  </si>
  <si>
    <t>5100</t>
  </si>
  <si>
    <t>ORD-00260</t>
  </si>
  <si>
    <t>2026-03-06</t>
  </si>
  <si>
    <t xml:space="preserve">  Zainab Salim </t>
  </si>
  <si>
    <t>ORD-00261</t>
  </si>
  <si>
    <t>13:09</t>
  </si>
  <si>
    <t>ORD-00262</t>
  </si>
  <si>
    <t>TAKEAWAY</t>
  </si>
  <si>
    <t>ORD-00263</t>
  </si>
  <si>
    <t>15:01</t>
  </si>
  <si>
    <t>ORD-00264</t>
  </si>
  <si>
    <t>ORD-00265</t>
  </si>
  <si>
    <t>15:57</t>
  </si>
  <si>
    <t>ORD-00266</t>
  </si>
  <si>
    <t>17:19</t>
  </si>
  <si>
    <t>ORD-00267</t>
  </si>
  <si>
    <t>18:13</t>
  </si>
  <si>
    <t xml:space="preserve"> Soft Drink</t>
  </si>
  <si>
    <t>ORD-00268</t>
  </si>
  <si>
    <t>ORD-00269</t>
  </si>
  <si>
    <t>19:54</t>
  </si>
  <si>
    <t>ORD-00270</t>
  </si>
  <si>
    <t>ORD-00271</t>
  </si>
  <si>
    <t>20:33</t>
  </si>
  <si>
    <t>ORD-00272</t>
  </si>
  <si>
    <t>22:00</t>
  </si>
  <si>
    <t>ORD-00273</t>
  </si>
  <si>
    <t>1000 IQD</t>
  </si>
  <si>
    <t>ORD-00274</t>
  </si>
  <si>
    <t>23:03</t>
  </si>
  <si>
    <t>ORD-00275</t>
  </si>
  <si>
    <t>23:35</t>
  </si>
  <si>
    <t>CARD</t>
  </si>
  <si>
    <t>ORD-00276</t>
  </si>
  <si>
    <t>12:25</t>
  </si>
  <si>
    <t>ORD-00277</t>
  </si>
  <si>
    <t xml:space="preserve">  Shawarma Sandwich </t>
  </si>
  <si>
    <t>ORD-00278</t>
  </si>
  <si>
    <t>17:54</t>
  </si>
  <si>
    <t>ORD-00279</t>
  </si>
  <si>
    <t>ORD-00280</t>
  </si>
  <si>
    <t>1,500 IQD</t>
  </si>
  <si>
    <t>ORD-00281</t>
  </si>
  <si>
    <t>ORD-00282</t>
  </si>
  <si>
    <t>20:53</t>
  </si>
  <si>
    <t>ORD-00250</t>
  </si>
  <si>
    <t>19:20</t>
  </si>
  <si>
    <t>21250</t>
  </si>
  <si>
    <t>ORD-00284</t>
  </si>
  <si>
    <t>22:35</t>
  </si>
  <si>
    <t xml:space="preserve">Mixed Grill Platter </t>
  </si>
  <si>
    <t>25000 IQD</t>
  </si>
  <si>
    <t>ORD-00285</t>
  </si>
  <si>
    <t>23:24</t>
  </si>
  <si>
    <t>ORD-00286</t>
  </si>
  <si>
    <t>2026-03-08</t>
  </si>
  <si>
    <t>17:06</t>
  </si>
  <si>
    <t>ORD-00287</t>
  </si>
  <si>
    <t>ORD-00288</t>
  </si>
  <si>
    <t>1800</t>
  </si>
  <si>
    <t xml:space="preserve"> Noor Kadhim</t>
  </si>
  <si>
    <t>ORD-00289</t>
  </si>
  <si>
    <t>March 8 2026</t>
  </si>
  <si>
    <t>ORD-00290</t>
  </si>
  <si>
    <t>23:18</t>
  </si>
  <si>
    <t>ORD-00291</t>
  </si>
  <si>
    <t>2026-03-09</t>
  </si>
  <si>
    <t>19:53</t>
  </si>
  <si>
    <t>ORD-00292</t>
  </si>
  <si>
    <t>20:22</t>
  </si>
  <si>
    <t>cash</t>
  </si>
  <si>
    <t>ORD-00293</t>
  </si>
  <si>
    <t>20:44</t>
  </si>
  <si>
    <t>ORD-00294</t>
  </si>
  <si>
    <t>22:56</t>
  </si>
  <si>
    <t>ORD-00295</t>
  </si>
  <si>
    <t>2026-03-10</t>
  </si>
  <si>
    <t>15:37</t>
  </si>
  <si>
    <t>9000</t>
  </si>
  <si>
    <t>ORD-00296</t>
  </si>
  <si>
    <t xml:space="preserve">  Tea </t>
  </si>
  <si>
    <t>ORD-00297</t>
  </si>
  <si>
    <t>22:27</t>
  </si>
  <si>
    <t>ORD-00298</t>
  </si>
  <si>
    <t>2026-03-11</t>
  </si>
  <si>
    <t>11:07</t>
  </si>
  <si>
    <t>6,000</t>
  </si>
  <si>
    <t>ORD-00299</t>
  </si>
  <si>
    <t>11:48</t>
  </si>
  <si>
    <t>ORD-00300</t>
  </si>
  <si>
    <t>ORD-00301</t>
  </si>
  <si>
    <t>March 11 2026</t>
  </si>
  <si>
    <t>23:59</t>
  </si>
  <si>
    <t>ORD-00302</t>
  </si>
  <si>
    <t>2026-03-12</t>
  </si>
  <si>
    <t>12:34</t>
  </si>
  <si>
    <t>ORD-00303</t>
  </si>
  <si>
    <t>13:10</t>
  </si>
  <si>
    <t xml:space="preserve">Hummus </t>
  </si>
  <si>
    <t>ORD-00304</t>
  </si>
  <si>
    <t>17:24</t>
  </si>
  <si>
    <t>ORD-00305</t>
  </si>
  <si>
    <t>17:55</t>
  </si>
  <si>
    <t>ORD-00306</t>
  </si>
  <si>
    <t>ORD-00307</t>
  </si>
  <si>
    <t>13/03/2026</t>
  </si>
  <si>
    <t>14:05</t>
  </si>
  <si>
    <t>ORD-00308</t>
  </si>
  <si>
    <t>2026-03-13</t>
  </si>
  <si>
    <t>14:30</t>
  </si>
  <si>
    <t>ORD-00309</t>
  </si>
  <si>
    <t>18:01</t>
  </si>
  <si>
    <t>ORD-00310</t>
  </si>
  <si>
    <t>18:08</t>
  </si>
  <si>
    <t>800</t>
  </si>
  <si>
    <t>ORD-00311</t>
  </si>
  <si>
    <t>18:11</t>
  </si>
  <si>
    <t>ORD-00312</t>
  </si>
  <si>
    <t>ORD-00313</t>
  </si>
  <si>
    <t>19:14</t>
  </si>
  <si>
    <t>ORD-00314</t>
  </si>
  <si>
    <t>19:28</t>
  </si>
  <si>
    <t>ORD-00315</t>
  </si>
  <si>
    <t>ORD-00316</t>
  </si>
  <si>
    <t>21:15</t>
  </si>
  <si>
    <t>ORD-00317</t>
  </si>
  <si>
    <t>21:40</t>
  </si>
  <si>
    <t>ORD-00318</t>
  </si>
  <si>
    <t>22:11</t>
  </si>
  <si>
    <t>ORD-00319</t>
  </si>
  <si>
    <t>ORD-00320</t>
  </si>
  <si>
    <t>2026-03-14</t>
  </si>
  <si>
    <t>11:33</t>
  </si>
  <si>
    <t>1500 IQD</t>
  </si>
  <si>
    <t>ORD-00321</t>
  </si>
  <si>
    <t>ORD-00322</t>
  </si>
  <si>
    <t>16:51</t>
  </si>
  <si>
    <t>ORD-00323</t>
  </si>
  <si>
    <t>19:00</t>
  </si>
  <si>
    <t>ORD-00324</t>
  </si>
  <si>
    <t>March 14 2026</t>
  </si>
  <si>
    <t>19:49</t>
  </si>
  <si>
    <t>ORD-00325</t>
  </si>
  <si>
    <t>20:12</t>
  </si>
  <si>
    <t>900</t>
  </si>
  <si>
    <t>ORD-00326</t>
  </si>
  <si>
    <t>ORD-00327</t>
  </si>
  <si>
    <t>14-Mar-2026</t>
  </si>
  <si>
    <t>20:17</t>
  </si>
  <si>
    <t>Shawarma Sandwitch</t>
  </si>
  <si>
    <t>ORD-00328</t>
  </si>
  <si>
    <t>20:32</t>
  </si>
  <si>
    <t>ORD-00329</t>
  </si>
  <si>
    <t>ORD-00330</t>
  </si>
  <si>
    <t>21:46</t>
  </si>
  <si>
    <t>12000 IQD</t>
  </si>
  <si>
    <t>ORD-00331</t>
  </si>
  <si>
    <t>21:58</t>
  </si>
  <si>
    <t>ORD-00332</t>
  </si>
  <si>
    <t>ORD-00333</t>
  </si>
  <si>
    <t>15-Mar-2026</t>
  </si>
  <si>
    <t>12:19</t>
  </si>
  <si>
    <t>8100</t>
  </si>
  <si>
    <t>ORD-00334</t>
  </si>
  <si>
    <t>15/03/2026</t>
  </si>
  <si>
    <t>2550</t>
  </si>
  <si>
    <t>ORD-00335</t>
  </si>
  <si>
    <t>2026-03-15</t>
  </si>
  <si>
    <t>ORD-00336</t>
  </si>
  <si>
    <t>ORD-00337</t>
  </si>
  <si>
    <t>21:30</t>
  </si>
  <si>
    <t xml:space="preserve">  Delivery </t>
  </si>
  <si>
    <t>ORD-00338</t>
  </si>
  <si>
    <t>2026-03-16</t>
  </si>
  <si>
    <t>ORD-00339</t>
  </si>
  <si>
    <t>ORD-00340</t>
  </si>
  <si>
    <t>20:55</t>
  </si>
  <si>
    <t>ORD-00341</t>
  </si>
  <si>
    <t>2026-03-17</t>
  </si>
  <si>
    <t>15:07</t>
  </si>
  <si>
    <t>ORD-00342</t>
  </si>
  <si>
    <t>15:18</t>
  </si>
  <si>
    <t>ORD-00343</t>
  </si>
  <si>
    <t>22:34</t>
  </si>
  <si>
    <t>ORD-00344</t>
  </si>
  <si>
    <t>18/03/2026</t>
  </si>
  <si>
    <t>14:45</t>
  </si>
  <si>
    <t>ORD-00345</t>
  </si>
  <si>
    <t>2026-03-18</t>
  </si>
  <si>
    <t>ORD-00346</t>
  </si>
  <si>
    <t>ORD-00347</t>
  </si>
  <si>
    <t>15:52</t>
  </si>
  <si>
    <t>ORD-00348</t>
  </si>
  <si>
    <t>ORD-00349</t>
  </si>
  <si>
    <t>ORD-00350</t>
  </si>
  <si>
    <t>ORD-00351</t>
  </si>
  <si>
    <t>21:21</t>
  </si>
  <si>
    <t>ORD-00352</t>
  </si>
  <si>
    <t>21:23</t>
  </si>
  <si>
    <t>ORD-00353</t>
  </si>
  <si>
    <t>March 19 2026</t>
  </si>
  <si>
    <t>32400</t>
  </si>
  <si>
    <t>ORD-00354</t>
  </si>
  <si>
    <t>16:18</t>
  </si>
  <si>
    <t>ORD-00355</t>
  </si>
  <si>
    <t>17:27</t>
  </si>
  <si>
    <t>ORD-00356</t>
  </si>
  <si>
    <t>2026-03-19</t>
  </si>
  <si>
    <t>18:47</t>
  </si>
  <si>
    <t>ORD-00357</t>
  </si>
  <si>
    <t>20:47</t>
  </si>
  <si>
    <t>ORD-00358</t>
  </si>
  <si>
    <t>2026-03-20</t>
  </si>
  <si>
    <t>13:17</t>
  </si>
  <si>
    <t xml:space="preserve"> Shawarma Sandwich</t>
  </si>
  <si>
    <t>ORD-00359</t>
  </si>
  <si>
    <t>13:51</t>
  </si>
  <si>
    <t>ORD-00360</t>
  </si>
  <si>
    <t>13:56</t>
  </si>
  <si>
    <t>ORD-00361</t>
  </si>
  <si>
    <t>14:33</t>
  </si>
  <si>
    <t>ORD-00362</t>
  </si>
  <si>
    <t>20:34</t>
  </si>
  <si>
    <t>ORD-00363</t>
  </si>
  <si>
    <t xml:space="preserve"> Appetizers</t>
  </si>
  <si>
    <t>ORD-00364</t>
  </si>
  <si>
    <t>20:46</t>
  </si>
  <si>
    <t>ORD-00365</t>
  </si>
  <si>
    <t>ORD-00366</t>
  </si>
  <si>
    <t>March 20 2026</t>
  </si>
  <si>
    <t>21:01</t>
  </si>
  <si>
    <t>ORD-00367</t>
  </si>
  <si>
    <t>ORD-00368</t>
  </si>
  <si>
    <t>ORD-00369</t>
  </si>
  <si>
    <t>2026-03-21</t>
  </si>
  <si>
    <t>ORD-00370</t>
  </si>
  <si>
    <t>21/03/2026</t>
  </si>
  <si>
    <t>ORD-00371</t>
  </si>
  <si>
    <t>ORD-00372</t>
  </si>
  <si>
    <t>14:01</t>
  </si>
  <si>
    <t>ORD-00373</t>
  </si>
  <si>
    <t>14:43</t>
  </si>
  <si>
    <t>ORD-00374</t>
  </si>
  <si>
    <t>15:32</t>
  </si>
  <si>
    <t>ORD-00375</t>
  </si>
  <si>
    <t>ORD-00376</t>
  </si>
  <si>
    <t>19:31</t>
  </si>
  <si>
    <t>ORD-00377</t>
  </si>
  <si>
    <t>20:30</t>
  </si>
  <si>
    <t>ORD-00378</t>
  </si>
  <si>
    <t>20:42</t>
  </si>
  <si>
    <t>take away</t>
  </si>
  <si>
    <t>ORD-00379</t>
  </si>
  <si>
    <t>ORD-00380</t>
  </si>
  <si>
    <t>21:36</t>
  </si>
  <si>
    <t>ORD-00381</t>
  </si>
  <si>
    <t>ORD-00382</t>
  </si>
  <si>
    <t>23:38</t>
  </si>
  <si>
    <t>ORD-00383</t>
  </si>
  <si>
    <t>2026-03-22</t>
  </si>
  <si>
    <t>18:54</t>
  </si>
  <si>
    <t>ORD-00384</t>
  </si>
  <si>
    <t>23:04</t>
  </si>
  <si>
    <t>ORD-00385</t>
  </si>
  <si>
    <t>2026-03-23</t>
  </si>
  <si>
    <t>11:30</t>
  </si>
  <si>
    <t>ORD-00386</t>
  </si>
  <si>
    <t>13:47</t>
  </si>
  <si>
    <t>ORD-00387</t>
  </si>
  <si>
    <t>17:02</t>
  </si>
  <si>
    <t>ORD-00388</t>
  </si>
  <si>
    <t>23/03/2026</t>
  </si>
  <si>
    <t>ORD-00389</t>
  </si>
  <si>
    <t>19:36</t>
  </si>
  <si>
    <t>ORD-00390</t>
  </si>
  <si>
    <t>ORD-00391</t>
  </si>
  <si>
    <t>20:19</t>
  </si>
  <si>
    <t>ORD-00392</t>
  </si>
  <si>
    <t>ORD-00393</t>
  </si>
  <si>
    <t>ORD-00394</t>
  </si>
  <si>
    <t>20:27</t>
  </si>
  <si>
    <t>SHAWARMA SANDWICH</t>
  </si>
  <si>
    <t>ORD-00395</t>
  </si>
  <si>
    <t>ORD-00396</t>
  </si>
  <si>
    <t>21:35</t>
  </si>
  <si>
    <t>ORD-00397</t>
  </si>
  <si>
    <t>ORD-00398</t>
  </si>
  <si>
    <t>21:53</t>
  </si>
  <si>
    <t>Knafa</t>
  </si>
  <si>
    <t>7,000 IQD</t>
  </si>
  <si>
    <t>ORD-00399</t>
  </si>
  <si>
    <t>2026-03-24</t>
  </si>
  <si>
    <t>18:37</t>
  </si>
  <si>
    <t xml:space="preserve">Fattoush Salad </t>
  </si>
  <si>
    <t>ORD-00400</t>
  </si>
  <si>
    <t>March 24 2026</t>
  </si>
  <si>
    <t>ORD-00401</t>
  </si>
  <si>
    <t>ORD-00402</t>
  </si>
  <si>
    <t>ORD-00403</t>
  </si>
  <si>
    <t>2026-03-25</t>
  </si>
  <si>
    <t>13:05</t>
  </si>
  <si>
    <t>ORD-00404</t>
  </si>
  <si>
    <t>ORD-00405</t>
  </si>
  <si>
    <t>20:18</t>
  </si>
  <si>
    <t>2400</t>
  </si>
  <si>
    <t>ORD-00406</t>
  </si>
  <si>
    <t>ORD-00407</t>
  </si>
  <si>
    <t>March 25 2026</t>
  </si>
  <si>
    <t>20:39</t>
  </si>
  <si>
    <t>ORD-00408</t>
  </si>
  <si>
    <t>2026-03-26</t>
  </si>
  <si>
    <t>12:01</t>
  </si>
  <si>
    <t>ORD-00409</t>
  </si>
  <si>
    <t>12:20</t>
  </si>
  <si>
    <t>ORD-00410</t>
  </si>
  <si>
    <t>ORD-00411</t>
  </si>
  <si>
    <t>26-Mar-2026</t>
  </si>
  <si>
    <t>14:06</t>
  </si>
  <si>
    <t>ORD-00412</t>
  </si>
  <si>
    <t>14:19</t>
  </si>
  <si>
    <t>ORD-00413</t>
  </si>
  <si>
    <t>15:42</t>
  </si>
  <si>
    <t>ORD-00414</t>
  </si>
  <si>
    <t>30,000</t>
  </si>
  <si>
    <t>ORD-00415</t>
  </si>
  <si>
    <t>ORD-00416</t>
  </si>
  <si>
    <t>ORD-00417</t>
  </si>
  <si>
    <t>ORD-00418</t>
  </si>
  <si>
    <t>22:22</t>
  </si>
  <si>
    <t>ORD-00419</t>
  </si>
  <si>
    <t>March 26 2026</t>
  </si>
  <si>
    <t>22:55</t>
  </si>
  <si>
    <t>ORD-00420</t>
  </si>
  <si>
    <t>ORD-00421</t>
  </si>
  <si>
    <t>ORD-00422</t>
  </si>
  <si>
    <t>23:31</t>
  </si>
  <si>
    <t>ORD-00423</t>
  </si>
  <si>
    <t>2026-03-27</t>
  </si>
  <si>
    <t>15:51</t>
  </si>
  <si>
    <t>ORD-00424</t>
  </si>
  <si>
    <t>18:33</t>
  </si>
  <si>
    <t>ORD-00425</t>
  </si>
  <si>
    <t>19:03</t>
  </si>
  <si>
    <t>3400</t>
  </si>
  <si>
    <t>ORD-00426</t>
  </si>
  <si>
    <t>19:15</t>
  </si>
  <si>
    <t xml:space="preserve">  Chicken Tikka </t>
  </si>
  <si>
    <t>ORD-00427</t>
  </si>
  <si>
    <t>ORD-00428</t>
  </si>
  <si>
    <t>Delivry</t>
  </si>
  <si>
    <t>ORD-00429</t>
  </si>
  <si>
    <t>ORD-00430</t>
  </si>
  <si>
    <t>ORD-00431</t>
  </si>
  <si>
    <t>22:01</t>
  </si>
  <si>
    <t>ORD-00432</t>
  </si>
  <si>
    <t>22:02</t>
  </si>
  <si>
    <t>kunafa</t>
  </si>
  <si>
    <t>ORD-00433</t>
  </si>
  <si>
    <t>ORD-00434</t>
  </si>
  <si>
    <t>22:21</t>
  </si>
  <si>
    <t>ORD-00435</t>
  </si>
  <si>
    <t>2026-03-28</t>
  </si>
  <si>
    <t>ORD-00436</t>
  </si>
  <si>
    <t>15:47</t>
  </si>
  <si>
    <t>ORD-00437</t>
  </si>
  <si>
    <t>18:19</t>
  </si>
  <si>
    <t>ORD-00438</t>
  </si>
  <si>
    <t>9600</t>
  </si>
  <si>
    <t>ORD-00439</t>
  </si>
  <si>
    <t>19:55</t>
  </si>
  <si>
    <t>ORD-00440</t>
  </si>
  <si>
    <t>ORD-00441</t>
  </si>
  <si>
    <t>ORD-00442</t>
  </si>
  <si>
    <t>21:49</t>
  </si>
  <si>
    <t>ORD-00443</t>
  </si>
  <si>
    <t>March 28 2026</t>
  </si>
  <si>
    <t>ORD-00444</t>
  </si>
  <si>
    <t>ORD-00445</t>
  </si>
  <si>
    <t>ORD-00446</t>
  </si>
  <si>
    <t>28/03/2026</t>
  </si>
  <si>
    <t>23:46</t>
  </si>
  <si>
    <t>ORD-00447</t>
  </si>
  <si>
    <t>23:48</t>
  </si>
  <si>
    <t>OMAR JABBAR</t>
  </si>
  <si>
    <t>ORD-00448</t>
  </si>
  <si>
    <t>2026-03-29</t>
  </si>
  <si>
    <t>ORD-00449</t>
  </si>
  <si>
    <t>ORD-00450</t>
  </si>
  <si>
    <t>ORD-00451</t>
  </si>
  <si>
    <t xml:space="preserve">ALI HASSAN </t>
  </si>
  <si>
    <t>ORD-00452</t>
  </si>
  <si>
    <t>ORD-00453</t>
  </si>
  <si>
    <t>22:28</t>
  </si>
  <si>
    <t>ORD-00454</t>
  </si>
  <si>
    <t>23:37</t>
  </si>
  <si>
    <t xml:space="preserve">  Soft Drink </t>
  </si>
  <si>
    <t>1275</t>
  </si>
  <si>
    <t>ORD-00455</t>
  </si>
  <si>
    <t>2026-03-30</t>
  </si>
  <si>
    <t>Chicken Tika</t>
  </si>
  <si>
    <t>ORD-00456</t>
  </si>
  <si>
    <t>14:03</t>
  </si>
  <si>
    <t>ORD-00457</t>
  </si>
  <si>
    <t>21:59</t>
  </si>
  <si>
    <t>mixed grill platter</t>
  </si>
  <si>
    <t>ORD-00458</t>
  </si>
  <si>
    <t>ORD-00459</t>
  </si>
  <si>
    <t>31/03/2026</t>
  </si>
  <si>
    <t>ORD-00460</t>
  </si>
  <si>
    <t>14:32</t>
  </si>
  <si>
    <t>ORD-00461</t>
  </si>
  <si>
    <t>2026-03-31</t>
  </si>
  <si>
    <t>14:59</t>
  </si>
  <si>
    <t>ORD-00462</t>
  </si>
  <si>
    <t>15:41</t>
  </si>
  <si>
    <t>ORD-00463</t>
  </si>
  <si>
    <t>16:58</t>
  </si>
  <si>
    <t xml:space="preserve">Zainab Salim </t>
  </si>
  <si>
    <t>ORD-00464</t>
  </si>
  <si>
    <t>19:27</t>
  </si>
  <si>
    <t>ORD-00465</t>
  </si>
  <si>
    <t>ORD-00466</t>
  </si>
  <si>
    <t>2026-04-01</t>
  </si>
  <si>
    <t>ORD-00467</t>
  </si>
  <si>
    <t>16:56</t>
  </si>
  <si>
    <t xml:space="preserve">MUSTAFA KARIM </t>
  </si>
  <si>
    <t>ORD-00468</t>
  </si>
  <si>
    <t>17:28</t>
  </si>
  <si>
    <t>ORD-00469</t>
  </si>
  <si>
    <t>ORD-00470</t>
  </si>
  <si>
    <t>ORD-00471</t>
  </si>
  <si>
    <t>01/04/2026</t>
  </si>
  <si>
    <t>23:12</t>
  </si>
  <si>
    <t>ORD-00472</t>
  </si>
  <si>
    <t>2026-04-02</t>
  </si>
  <si>
    <t>13:06</t>
  </si>
  <si>
    <t>ORD-00473</t>
  </si>
  <si>
    <t>15:11</t>
  </si>
  <si>
    <t>ORD-00474</t>
  </si>
  <si>
    <t>ORD-00475</t>
  </si>
  <si>
    <t>02/04/2026</t>
  </si>
  <si>
    <t>ORD-00476</t>
  </si>
  <si>
    <t>ORD-00477</t>
  </si>
  <si>
    <t>ORD-00478</t>
  </si>
  <si>
    <t>22:45</t>
  </si>
  <si>
    <t>ORD-00479</t>
  </si>
  <si>
    <t>ORD-00480</t>
  </si>
  <si>
    <t>ORD-00481</t>
  </si>
  <si>
    <t>23:17</t>
  </si>
  <si>
    <t>ORD-00482</t>
  </si>
  <si>
    <t>2026-04-03</t>
  </si>
  <si>
    <t>15:54</t>
  </si>
  <si>
    <t>ORD-00483</t>
  </si>
  <si>
    <t>16:08</t>
  </si>
  <si>
    <t>42,500</t>
  </si>
  <si>
    <t>ORD-00484</t>
  </si>
  <si>
    <t>18:14</t>
  </si>
  <si>
    <t>ORD-00485</t>
  </si>
  <si>
    <t>April 3 2026</t>
  </si>
  <si>
    <t>19:56</t>
  </si>
  <si>
    <t>15,000 IQD</t>
  </si>
  <si>
    <t>ORD-00486</t>
  </si>
  <si>
    <t>19:57</t>
  </si>
  <si>
    <t>ORD-00487</t>
  </si>
  <si>
    <t>03/04/2026</t>
  </si>
  <si>
    <t>5400</t>
  </si>
  <si>
    <t>ORD-00488</t>
  </si>
  <si>
    <t>20:58</t>
  </si>
  <si>
    <t>ORD-00489</t>
  </si>
  <si>
    <t>21:18</t>
  </si>
  <si>
    <t>ORD-00490</t>
  </si>
  <si>
    <t>ORD-00491</t>
  </si>
  <si>
    <t>ORD-00492</t>
  </si>
  <si>
    <t>ORD-00493</t>
  </si>
  <si>
    <t>ORD-00494</t>
  </si>
  <si>
    <t>22:29</t>
  </si>
  <si>
    <t>ORD-00495</t>
  </si>
  <si>
    <t>ORD-00496</t>
  </si>
  <si>
    <t>2026-04-04</t>
  </si>
  <si>
    <t>12:50</t>
  </si>
  <si>
    <t>ORD-00497</t>
  </si>
  <si>
    <t>13:38</t>
  </si>
  <si>
    <t>ORD-00498</t>
  </si>
  <si>
    <t>13:43</t>
  </si>
  <si>
    <t>ORD-00499</t>
  </si>
  <si>
    <t>ORD-00500</t>
  </si>
  <si>
    <t>19:34</t>
  </si>
  <si>
    <t xml:space="preserve">Chicken Tikka </t>
  </si>
  <si>
    <t>ORD-00501</t>
  </si>
  <si>
    <t>ORD-00502</t>
  </si>
  <si>
    <t>ORD-00503</t>
  </si>
  <si>
    <t>ORD-00504</t>
  </si>
  <si>
    <t>04/04/2026</t>
  </si>
  <si>
    <t>ORD-00505</t>
  </si>
  <si>
    <t xml:space="preserve">  Omar Jabbar </t>
  </si>
  <si>
    <t>ORD-00506</t>
  </si>
  <si>
    <t>ORD-00507</t>
  </si>
  <si>
    <t>ORD-00508</t>
  </si>
  <si>
    <t>ORD-00509</t>
  </si>
  <si>
    <t>2026-04-05</t>
  </si>
  <si>
    <t>13:08</t>
  </si>
  <si>
    <t>ORD-00510</t>
  </si>
  <si>
    <t>ORD-00511</t>
  </si>
  <si>
    <t>ORD-00512</t>
  </si>
  <si>
    <t>ORD-00513</t>
  </si>
  <si>
    <t xml:space="preserve">Kunafa </t>
  </si>
  <si>
    <t>ORD-00514</t>
  </si>
  <si>
    <t>21:38</t>
  </si>
  <si>
    <t>ORD-00515</t>
  </si>
  <si>
    <t>22:03</t>
  </si>
  <si>
    <t>ORD-00516</t>
  </si>
  <si>
    <t>2026-04-06</t>
  </si>
  <si>
    <t>13:53</t>
  </si>
  <si>
    <t>ORD-00517</t>
  </si>
  <si>
    <t>15:17</t>
  </si>
  <si>
    <t>ORD-00518</t>
  </si>
  <si>
    <t>15:35</t>
  </si>
  <si>
    <t>4,000 IQD</t>
  </si>
  <si>
    <t>ORD-00519</t>
  </si>
  <si>
    <t>ORD-00520</t>
  </si>
  <si>
    <t>19:29</t>
  </si>
  <si>
    <t>ORD-00521</t>
  </si>
  <si>
    <t>ORD-00522</t>
  </si>
  <si>
    <t xml:space="preserve"> Chicken Tikka</t>
  </si>
  <si>
    <t>ORD-00523</t>
  </si>
  <si>
    <t>4,000</t>
  </si>
  <si>
    <t>ORD-00524</t>
  </si>
  <si>
    <t>2026-04-07</t>
  </si>
  <si>
    <t>ORD-00525</t>
  </si>
  <si>
    <t>15:21</t>
  </si>
  <si>
    <t>ORD-00526</t>
  </si>
  <si>
    <t>19:33</t>
  </si>
  <si>
    <t>ORD-00527</t>
  </si>
  <si>
    <t>19:51</t>
  </si>
  <si>
    <t>ORD-00528</t>
  </si>
  <si>
    <t>2550 IQD</t>
  </si>
  <si>
    <t>ORD-00529</t>
  </si>
  <si>
    <t>ORD-00530</t>
  </si>
  <si>
    <t>23:58</t>
  </si>
  <si>
    <t>ORD-00531</t>
  </si>
  <si>
    <t>2026-04-08</t>
  </si>
  <si>
    <t>ORD-00532</t>
  </si>
  <si>
    <t>15:19</t>
  </si>
  <si>
    <t>ORD-00533</t>
  </si>
  <si>
    <t>18:03</t>
  </si>
  <si>
    <t xml:space="preserve"> DINE-IN</t>
  </si>
  <si>
    <t>ORD-00534</t>
  </si>
  <si>
    <t>19:12</t>
  </si>
  <si>
    <t>ORD-00535</t>
  </si>
  <si>
    <t>ORD-00536</t>
  </si>
  <si>
    <t>ORD-00537</t>
  </si>
  <si>
    <t>ORD-00538</t>
  </si>
  <si>
    <t>2026-04-09</t>
  </si>
  <si>
    <t>ORD-00539</t>
  </si>
  <si>
    <t>12,000 IQD</t>
  </si>
  <si>
    <t>ORD-00540</t>
  </si>
  <si>
    <t>13:18</t>
  </si>
  <si>
    <t xml:space="preserve"> Mixed Grill Platter</t>
  </si>
  <si>
    <t>ORD-00541</t>
  </si>
  <si>
    <t>15:31</t>
  </si>
  <si>
    <t>ORD-00542</t>
  </si>
  <si>
    <t>Mixed Grill Plater</t>
  </si>
  <si>
    <t>ORD-00543</t>
  </si>
  <si>
    <t>19:44</t>
  </si>
  <si>
    <t>ORD-00544</t>
  </si>
  <si>
    <t>ORD-00545</t>
  </si>
  <si>
    <t>23:41</t>
  </si>
  <si>
    <t>ORD-00546</t>
  </si>
  <si>
    <t>2026-04-10</t>
  </si>
  <si>
    <t>13:07</t>
  </si>
  <si>
    <t>ORD-00547</t>
  </si>
  <si>
    <t>ORD-00548</t>
  </si>
  <si>
    <t>April 10 2026</t>
  </si>
  <si>
    <t>10-Apr-2026</t>
  </si>
  <si>
    <t>hummus</t>
  </si>
  <si>
    <t>ORD-00549</t>
  </si>
  <si>
    <t>16:49</t>
  </si>
  <si>
    <t>ORD-00550</t>
  </si>
  <si>
    <t>ORD-00551</t>
  </si>
  <si>
    <t>ORD-00552</t>
  </si>
  <si>
    <t>10/04/2026</t>
  </si>
  <si>
    <t>ORD-00553</t>
  </si>
  <si>
    <t>19:41</t>
  </si>
  <si>
    <t>ORD-00554</t>
  </si>
  <si>
    <t>20:06</t>
  </si>
  <si>
    <t>ORD-00555</t>
  </si>
  <si>
    <t>ORD-00556</t>
  </si>
  <si>
    <t>ORD-00557</t>
  </si>
  <si>
    <t>ORD-00558</t>
  </si>
  <si>
    <t>ORD-00559</t>
  </si>
  <si>
    <t>ORD-00560</t>
  </si>
  <si>
    <t>2026-04-11</t>
  </si>
  <si>
    <t>DELIVERY</t>
  </si>
  <si>
    <t>ORD-00561</t>
  </si>
  <si>
    <t>13:11</t>
  </si>
  <si>
    <t>ORD-00562</t>
  </si>
  <si>
    <t>14:23</t>
  </si>
  <si>
    <t>ORD-00563</t>
  </si>
  <si>
    <t>11/04/2026</t>
  </si>
  <si>
    <t>15:34</t>
  </si>
  <si>
    <t>ORD-00564</t>
  </si>
  <si>
    <t>ORD-00565</t>
  </si>
  <si>
    <t>18:59</t>
  </si>
  <si>
    <t xml:space="preserve">  Sandwiches </t>
  </si>
  <si>
    <t>ORD-00566</t>
  </si>
  <si>
    <t>ORD-00567</t>
  </si>
  <si>
    <t>20:43</t>
  </si>
  <si>
    <t>ORD-00568</t>
  </si>
  <si>
    <t>22:52</t>
  </si>
  <si>
    <t>ORD-00569</t>
  </si>
  <si>
    <t>April 12 2026</t>
  </si>
  <si>
    <t>12:23</t>
  </si>
  <si>
    <t>ORD-00570</t>
  </si>
  <si>
    <t>2026-04-12</t>
  </si>
  <si>
    <t>14:15</t>
  </si>
  <si>
    <t>ORD-00571</t>
  </si>
  <si>
    <t>18:20</t>
  </si>
  <si>
    <t>ORD-00572</t>
  </si>
  <si>
    <t>12/04/2026</t>
  </si>
  <si>
    <t>19:32</t>
  </si>
  <si>
    <t>ORD-00573</t>
  </si>
  <si>
    <t>ORD-00574</t>
  </si>
  <si>
    <t>13/04/2026</t>
  </si>
  <si>
    <t>ORD-00575</t>
  </si>
  <si>
    <t>2026-04-13</t>
  </si>
  <si>
    <t>ORD-00576</t>
  </si>
  <si>
    <t>April 13 2026</t>
  </si>
  <si>
    <t>20:05</t>
  </si>
  <si>
    <t>ORD-00577</t>
  </si>
  <si>
    <t>ORD-00578</t>
  </si>
  <si>
    <t>ORD-00579</t>
  </si>
  <si>
    <t>22:39</t>
  </si>
  <si>
    <t>ORD-00580</t>
  </si>
  <si>
    <t>2026-04-14</t>
  </si>
  <si>
    <t>12:52</t>
  </si>
  <si>
    <t>ORD-00581</t>
  </si>
  <si>
    <t>12:58</t>
  </si>
  <si>
    <t>ORD-00582</t>
  </si>
  <si>
    <t>ORD-00583</t>
  </si>
  <si>
    <t>14/04/2026</t>
  </si>
  <si>
    <t>ORD-00584</t>
  </si>
  <si>
    <t>ORD-00585</t>
  </si>
  <si>
    <t>ORD-00586</t>
  </si>
  <si>
    <t>April 14 2026</t>
  </si>
  <si>
    <t>ORD-00587</t>
  </si>
  <si>
    <t>22:20</t>
  </si>
  <si>
    <t>ORD-00588</t>
  </si>
  <si>
    <t>22:49</t>
  </si>
  <si>
    <t>ORD-00589</t>
  </si>
  <si>
    <t>15/04/2026</t>
  </si>
  <si>
    <t>13:59</t>
  </si>
  <si>
    <t>2026-04-15</t>
  </si>
  <si>
    <t>ORD-00590</t>
  </si>
  <si>
    <t>ORD-00591</t>
  </si>
  <si>
    <t>2026-04-16</t>
  </si>
  <si>
    <t>13:44</t>
  </si>
  <si>
    <t>ORD-00592</t>
  </si>
  <si>
    <t>ORD-00593</t>
  </si>
  <si>
    <t>18:32</t>
  </si>
  <si>
    <t>ORD-00594</t>
  </si>
  <si>
    <t>19:40</t>
  </si>
  <si>
    <t>ORD-00595</t>
  </si>
  <si>
    <t>ORD-00596</t>
  </si>
  <si>
    <t>April 16 2026</t>
  </si>
  <si>
    <t>ORD-00597</t>
  </si>
  <si>
    <t>16-Apr-2026</t>
  </si>
  <si>
    <t>ORD-00598</t>
  </si>
  <si>
    <t>16/04/2026</t>
  </si>
  <si>
    <t>22:47</t>
  </si>
  <si>
    <t>ORD-00599</t>
  </si>
  <si>
    <t>23:05</t>
  </si>
  <si>
    <t>ORD-00600</t>
  </si>
  <si>
    <t>2026-04-17</t>
  </si>
  <si>
    <t>12:22</t>
  </si>
  <si>
    <t>ORD-00601</t>
  </si>
  <si>
    <t>April 17 2026</t>
  </si>
  <si>
    <t>12:41</t>
  </si>
  <si>
    <t>ORD-00602</t>
  </si>
  <si>
    <t>17/04/2026</t>
  </si>
  <si>
    <t>ORD-00603</t>
  </si>
  <si>
    <t>14:13</t>
  </si>
  <si>
    <t>ORD-00604</t>
  </si>
  <si>
    <t>ORD-00605</t>
  </si>
  <si>
    <t>19:02</t>
  </si>
  <si>
    <t>ORD-00606</t>
  </si>
  <si>
    <t>ORD-00607</t>
  </si>
  <si>
    <t xml:space="preserve">Takeaway </t>
  </si>
  <si>
    <t>15300</t>
  </si>
  <si>
    <t>ORD-00608</t>
  </si>
  <si>
    <t>ORD-00609</t>
  </si>
  <si>
    <t>22:57</t>
  </si>
  <si>
    <t>ORD-00610</t>
  </si>
  <si>
    <t>2026-04-18</t>
  </si>
  <si>
    <t>ORD-00611</t>
  </si>
  <si>
    <t>14:50</t>
  </si>
  <si>
    <t>ORD-00612</t>
  </si>
  <si>
    <t>50,000</t>
  </si>
  <si>
    <t>ORD-00613</t>
  </si>
  <si>
    <t>16:44</t>
  </si>
  <si>
    <t>ORD-00614</t>
  </si>
  <si>
    <t>April 18 2026</t>
  </si>
  <si>
    <t>18:27</t>
  </si>
  <si>
    <t>Shish Tawok</t>
  </si>
  <si>
    <t>ORD-00615</t>
  </si>
  <si>
    <t xml:space="preserve">  Ali Hassan </t>
  </si>
  <si>
    <t>ORD-00616</t>
  </si>
  <si>
    <t>19:25</t>
  </si>
  <si>
    <t>ORD-00617</t>
  </si>
  <si>
    <t>ORD-00618</t>
  </si>
  <si>
    <t>ORD-00619</t>
  </si>
  <si>
    <t>21:02</t>
  </si>
  <si>
    <t>ORD-00620</t>
  </si>
  <si>
    <t>ORD-00621</t>
  </si>
  <si>
    <t>19-Apr-2026</t>
  </si>
  <si>
    <t>14:24</t>
  </si>
  <si>
    <t>ORD-00622</t>
  </si>
  <si>
    <t>2026-04-19</t>
  </si>
  <si>
    <t>18:53</t>
  </si>
  <si>
    <t>ORD-00623</t>
  </si>
  <si>
    <t>ORD-00624</t>
  </si>
  <si>
    <t>ORD-00625</t>
  </si>
  <si>
    <t>April 19 2026</t>
  </si>
  <si>
    <t>Fattosh Salad</t>
  </si>
  <si>
    <t>ORD-00626</t>
  </si>
  <si>
    <t>ORD-00627</t>
  </si>
  <si>
    <t>18,000 IQD</t>
  </si>
  <si>
    <t>ORD-00628</t>
  </si>
  <si>
    <t>2026-04-20</t>
  </si>
  <si>
    <t>16:15</t>
  </si>
  <si>
    <t>ORD-00629</t>
  </si>
  <si>
    <t>ORD-00630</t>
  </si>
  <si>
    <t>ORD-00631</t>
  </si>
  <si>
    <t>21:05</t>
  </si>
  <si>
    <t>ORD-00632</t>
  </si>
  <si>
    <t>April 20 2026</t>
  </si>
  <si>
    <t>ORD-00633</t>
  </si>
  <si>
    <t>2026-04-21</t>
  </si>
  <si>
    <t>ORD-00634</t>
  </si>
  <si>
    <t>16:04</t>
  </si>
  <si>
    <t>ORD-00635</t>
  </si>
  <si>
    <t>3000 IQD</t>
  </si>
  <si>
    <t>ORD-00636</t>
  </si>
  <si>
    <t>2026-04-22</t>
  </si>
  <si>
    <t>13:46</t>
  </si>
  <si>
    <t>13,500</t>
  </si>
  <si>
    <t>ORD-00637</t>
  </si>
  <si>
    <t>14:02</t>
  </si>
  <si>
    <t>ORD-00638</t>
  </si>
  <si>
    <t>16:53</t>
  </si>
  <si>
    <t>ORD-00639</t>
  </si>
  <si>
    <t>ORD-00640</t>
  </si>
  <si>
    <t>22/04/2026</t>
  </si>
  <si>
    <t>ORD-00641</t>
  </si>
  <si>
    <t>ORD-00642</t>
  </si>
  <si>
    <t>ORD-00643</t>
  </si>
  <si>
    <t>2026-04-23</t>
  </si>
  <si>
    <t>18:56</t>
  </si>
  <si>
    <t>ORD-00644</t>
  </si>
  <si>
    <t>ORD-00645</t>
  </si>
  <si>
    <t>ORD-00646</t>
  </si>
  <si>
    <t>20:07</t>
  </si>
  <si>
    <t>ORD-00647</t>
  </si>
  <si>
    <t>ORD-00648</t>
  </si>
  <si>
    <t>ORD-00649</t>
  </si>
  <si>
    <t>23/04/2026</t>
  </si>
  <si>
    <t>ORD-00650</t>
  </si>
  <si>
    <t>ORD-00651</t>
  </si>
  <si>
    <t>April 23 2026</t>
  </si>
  <si>
    <t>ORD-00652</t>
  </si>
  <si>
    <t>ORD-00653</t>
  </si>
  <si>
    <t>23:20</t>
  </si>
  <si>
    <t>ORD-00654</t>
  </si>
  <si>
    <t>2026-04-24</t>
  </si>
  <si>
    <t>13:20</t>
  </si>
  <si>
    <t>4,500</t>
  </si>
  <si>
    <t>ORD-00655</t>
  </si>
  <si>
    <t>13:23</t>
  </si>
  <si>
    <t>ORD-00656</t>
  </si>
  <si>
    <t>18:55</t>
  </si>
  <si>
    <t>ORD-00657</t>
  </si>
  <si>
    <t>ORD-00658</t>
  </si>
  <si>
    <t>ORD-00659</t>
  </si>
  <si>
    <t>ORD-00660</t>
  </si>
  <si>
    <t>ORD-00661</t>
  </si>
  <si>
    <t>ORD-00662</t>
  </si>
  <si>
    <t>ORD-00663</t>
  </si>
  <si>
    <t>24/04/2026</t>
  </si>
  <si>
    <t>ORD-00664</t>
  </si>
  <si>
    <t>ORD-00665</t>
  </si>
  <si>
    <t>ORD-00666</t>
  </si>
  <si>
    <t>ORD-00667</t>
  </si>
  <si>
    <t>2026-04-25</t>
  </si>
  <si>
    <t>13:22</t>
  </si>
  <si>
    <t>ORD-00696</t>
  </si>
  <si>
    <t>2026-04-30</t>
  </si>
  <si>
    <t>ORD-00669</t>
  </si>
  <si>
    <t>ORD-00670</t>
  </si>
  <si>
    <t>6800</t>
  </si>
  <si>
    <t>ORD-00671</t>
  </si>
  <si>
    <t>April 26 2026</t>
  </si>
  <si>
    <t>13:12</t>
  </si>
  <si>
    <t>ORD-00672</t>
  </si>
  <si>
    <t>26/04/2026</t>
  </si>
  <si>
    <t>14:49</t>
  </si>
  <si>
    <t>ORD-00673</t>
  </si>
  <si>
    <t>2026-04-26</t>
  </si>
  <si>
    <t>16:22</t>
  </si>
  <si>
    <t>ORD-00674</t>
  </si>
  <si>
    <t>22:26</t>
  </si>
  <si>
    <t>ORD-00675</t>
  </si>
  <si>
    <t>2026-04-27</t>
  </si>
  <si>
    <t>12:13</t>
  </si>
  <si>
    <t>ORD-00676</t>
  </si>
  <si>
    <t>ORD-00677</t>
  </si>
  <si>
    <t>ORD-00678</t>
  </si>
  <si>
    <t>4050</t>
  </si>
  <si>
    <t>ORD-00679</t>
  </si>
  <si>
    <t>ORD-00680</t>
  </si>
  <si>
    <t>27-Apr-2026</t>
  </si>
  <si>
    <t>ORD-00681</t>
  </si>
  <si>
    <t>ORD-00682</t>
  </si>
  <si>
    <t>2026-04-28</t>
  </si>
  <si>
    <t>ORD-00683</t>
  </si>
  <si>
    <t>ORD-00684</t>
  </si>
  <si>
    <t>22:09</t>
  </si>
  <si>
    <t xml:space="preserve">  Shish Tawook </t>
  </si>
  <si>
    <t>ORD-00685</t>
  </si>
  <si>
    <t>2026-04-29</t>
  </si>
  <si>
    <t>12:21</t>
  </si>
  <si>
    <t>ORD-00686</t>
  </si>
  <si>
    <t>ORD-00687</t>
  </si>
  <si>
    <t>19:52</t>
  </si>
  <si>
    <t>ORD-00688</t>
  </si>
  <si>
    <t>ORD-00689</t>
  </si>
  <si>
    <t>29/04/2026</t>
  </si>
  <si>
    <t>ORD-00690</t>
  </si>
  <si>
    <t>ORD-00691</t>
  </si>
  <si>
    <t>12:38</t>
  </si>
  <si>
    <t>ORD-00692</t>
  </si>
  <si>
    <t>30-Apr-2026</t>
  </si>
  <si>
    <t xml:space="preserve">  Hummus </t>
  </si>
  <si>
    <t>ORD-00693</t>
  </si>
  <si>
    <t>14:04</t>
  </si>
  <si>
    <t>ORD-00694</t>
  </si>
  <si>
    <t>ORD-00695</t>
  </si>
  <si>
    <t>19:05</t>
  </si>
  <si>
    <t>ORD-00668</t>
  </si>
  <si>
    <t>14:36</t>
  </si>
  <si>
    <t>ORD-00697</t>
  </si>
  <si>
    <t>ORD-00698</t>
  </si>
  <si>
    <t>ORD-00699</t>
  </si>
  <si>
    <t>ORD-00700</t>
  </si>
  <si>
    <t>April 30 2026</t>
  </si>
  <si>
    <t xml:space="preserve"> delivary</t>
  </si>
  <si>
    <t>ORD-00701</t>
  </si>
  <si>
    <t>2026-05-01</t>
  </si>
  <si>
    <t>13:52</t>
  </si>
  <si>
    <t>ORD-00702</t>
  </si>
  <si>
    <t>14:00</t>
  </si>
  <si>
    <t>ORD-00703</t>
  </si>
  <si>
    <t>01/05/2026</t>
  </si>
  <si>
    <t>15:45</t>
  </si>
  <si>
    <t>ORD-00704</t>
  </si>
  <si>
    <t>15:49</t>
  </si>
  <si>
    <t>ORD-00705</t>
  </si>
  <si>
    <t>ORD-00706</t>
  </si>
  <si>
    <t xml:space="preserve"> Delivry</t>
  </si>
  <si>
    <t>ORD-00707</t>
  </si>
  <si>
    <t>May 1 2026</t>
  </si>
  <si>
    <t>ORD-00708</t>
  </si>
  <si>
    <t>ORD-00709</t>
  </si>
  <si>
    <t>ORD-00710</t>
  </si>
  <si>
    <t>21:57</t>
  </si>
  <si>
    <t>ORD-00711</t>
  </si>
  <si>
    <t xml:space="preserve">Desserts </t>
  </si>
  <si>
    <t>ORD-00712</t>
  </si>
  <si>
    <t>02/05/2026</t>
  </si>
  <si>
    <t>ORD-00713</t>
  </si>
  <si>
    <t>2026-05-02</t>
  </si>
  <si>
    <t>16:42</t>
  </si>
  <si>
    <t>ORD-00714</t>
  </si>
  <si>
    <t>ORD-00715</t>
  </si>
  <si>
    <t>ORD-00716</t>
  </si>
  <si>
    <t>ORD-00717</t>
  </si>
  <si>
    <t>ORD-00719</t>
  </si>
  <si>
    <t>ORD-00718</t>
  </si>
  <si>
    <t>ORD-00720</t>
  </si>
  <si>
    <t>ORD-00721</t>
  </si>
  <si>
    <t>ORD-00722</t>
  </si>
  <si>
    <t>ORD-00723</t>
  </si>
  <si>
    <t>20:59</t>
  </si>
  <si>
    <t>ORD-00724</t>
  </si>
  <si>
    <t>ORD-00725</t>
  </si>
  <si>
    <t>21:27</t>
  </si>
  <si>
    <t>ORD-00726</t>
  </si>
  <si>
    <t>ORD-00727</t>
  </si>
  <si>
    <t>ORD-00728</t>
  </si>
  <si>
    <t>ORD-00729</t>
  </si>
  <si>
    <t>ORD-00730</t>
  </si>
  <si>
    <t>ORD-00731</t>
  </si>
  <si>
    <t>2026-05-03</t>
  </si>
  <si>
    <t>ORD-00732</t>
  </si>
  <si>
    <t>May 3 2026</t>
  </si>
  <si>
    <t>18:15</t>
  </si>
  <si>
    <t>ORD-00733</t>
  </si>
  <si>
    <t>19:21</t>
  </si>
  <si>
    <t>ORD-00734</t>
  </si>
  <si>
    <t>03/05/2026</t>
  </si>
  <si>
    <t>19:26</t>
  </si>
  <si>
    <t>ORD-00735</t>
  </si>
  <si>
    <t>20:02</t>
  </si>
  <si>
    <t>ORD-00736</t>
  </si>
  <si>
    <t>ORD-00737</t>
  </si>
  <si>
    <t>ORD-00738</t>
  </si>
  <si>
    <t>2026-05-04</t>
  </si>
  <si>
    <t>ORD-00739</t>
  </si>
  <si>
    <t>May 4 2026</t>
  </si>
  <si>
    <t>ORD-00740</t>
  </si>
  <si>
    <t>2026-05-05</t>
  </si>
  <si>
    <t>13:19</t>
  </si>
  <si>
    <t>25,000</t>
  </si>
  <si>
    <t>ORD-00741</t>
  </si>
  <si>
    <t>15:04</t>
  </si>
  <si>
    <t>ORD-00742</t>
  </si>
  <si>
    <t>05/05/2026</t>
  </si>
  <si>
    <t>ORD-00743</t>
  </si>
  <si>
    <t>ORD-00744</t>
  </si>
  <si>
    <t>May 5 2026</t>
  </si>
  <si>
    <t>ORD-00745</t>
  </si>
  <si>
    <t>ORD-00746</t>
  </si>
  <si>
    <t>2026-05-06</t>
  </si>
  <si>
    <t>ORD-00747</t>
  </si>
  <si>
    <t>19:43</t>
  </si>
  <si>
    <t>ORD-00748</t>
  </si>
  <si>
    <t>ORD-00749</t>
  </si>
  <si>
    <t>ORD-00750</t>
  </si>
  <si>
    <t>ORD-00751</t>
  </si>
  <si>
    <t>20:41</t>
  </si>
  <si>
    <t>ORD-00752</t>
  </si>
  <si>
    <t>21:00</t>
  </si>
  <si>
    <t>ORD-00753</t>
  </si>
  <si>
    <t>ORD-00754</t>
  </si>
  <si>
    <t>ORD-00755</t>
  </si>
  <si>
    <t>May 6 2026</t>
  </si>
  <si>
    <t>16200</t>
  </si>
  <si>
    <t>ORD-00756</t>
  </si>
  <si>
    <t>ORD-00757</t>
  </si>
  <si>
    <t>ORD-00758</t>
  </si>
  <si>
    <t>2026-05-07</t>
  </si>
  <si>
    <t>ORD-00759</t>
  </si>
  <si>
    <t>10000 IQD</t>
  </si>
  <si>
    <t>ORD-00760</t>
  </si>
  <si>
    <t>07/05/2026</t>
  </si>
  <si>
    <t>ORD-00761</t>
  </si>
  <si>
    <t>21:09</t>
  </si>
  <si>
    <t>ORD-00762</t>
  </si>
  <si>
    <t>ORD-00763</t>
  </si>
  <si>
    <t>ORD-00764</t>
  </si>
  <si>
    <t>23:22</t>
  </si>
  <si>
    <t>ORD-00765</t>
  </si>
  <si>
    <t>2026-05-08</t>
  </si>
  <si>
    <t>12:08</t>
  </si>
  <si>
    <t xml:space="preserve">Shish Tawook </t>
  </si>
  <si>
    <t>ORD-00766</t>
  </si>
  <si>
    <t>ORD-00767</t>
  </si>
  <si>
    <t>17:53</t>
  </si>
  <si>
    <t>ORD-00768</t>
  </si>
  <si>
    <t>18:12</t>
  </si>
  <si>
    <t>ORD-00769</t>
  </si>
  <si>
    <t>ORD-00770</t>
  </si>
  <si>
    <t>08/05/2026</t>
  </si>
  <si>
    <t>ORD-00771</t>
  </si>
  <si>
    <t>ORD-00772</t>
  </si>
  <si>
    <t>May 8 2026</t>
  </si>
  <si>
    <t>20:49</t>
  </si>
  <si>
    <t>ORD-00773</t>
  </si>
  <si>
    <t>ORD-00774</t>
  </si>
  <si>
    <t>ORD-00775</t>
  </si>
  <si>
    <t>22:36</t>
  </si>
  <si>
    <t>ORD-00776</t>
  </si>
  <si>
    <t>23:09</t>
  </si>
  <si>
    <t>ORD-00777</t>
  </si>
  <si>
    <t>2026-05-09</t>
  </si>
  <si>
    <t>12:00</t>
  </si>
  <si>
    <t>ORD-00778</t>
  </si>
  <si>
    <t>ORD-00779</t>
  </si>
  <si>
    <t>ORD-00780</t>
  </si>
  <si>
    <t>ORD-00781</t>
  </si>
  <si>
    <t>ORD-00782</t>
  </si>
  <si>
    <t>ORD-00783</t>
  </si>
  <si>
    <t>ORD-00784</t>
  </si>
  <si>
    <t>ORD-00785</t>
  </si>
  <si>
    <t>ORD-00786</t>
  </si>
  <si>
    <t>ORD-00787</t>
  </si>
  <si>
    <t>ORD-00788</t>
  </si>
  <si>
    <t>ORD-00789</t>
  </si>
  <si>
    <t>21:50</t>
  </si>
  <si>
    <t>ORD-00790</t>
  </si>
  <si>
    <t>22:15</t>
  </si>
  <si>
    <t xml:space="preserve">  Desserts </t>
  </si>
  <si>
    <t>ORD-00791</t>
  </si>
  <si>
    <t>ORD-00792</t>
  </si>
  <si>
    <t>2026-05-10</t>
  </si>
  <si>
    <t>ORD-00793</t>
  </si>
  <si>
    <t>19:08</t>
  </si>
  <si>
    <t>ORD-00794</t>
  </si>
  <si>
    <t>ORD-00795</t>
  </si>
  <si>
    <t>ORD-00796</t>
  </si>
  <si>
    <t>23:21</t>
  </si>
  <si>
    <t>ORD-00797</t>
  </si>
  <si>
    <t>11/05/2026</t>
  </si>
  <si>
    <t>11:53</t>
  </si>
  <si>
    <t>ORD-00798</t>
  </si>
  <si>
    <t>2026-05-11</t>
  </si>
  <si>
    <t>ORD-00799</t>
  </si>
  <si>
    <t>ORD-00800</t>
  </si>
  <si>
    <t>ORD-00801</t>
  </si>
  <si>
    <t>22:38</t>
  </si>
  <si>
    <t>ORD-00802</t>
  </si>
  <si>
    <t>2026-05-12</t>
  </si>
  <si>
    <t>12:56</t>
  </si>
  <si>
    <t>ORD-00803</t>
  </si>
  <si>
    <t>18:34</t>
  </si>
  <si>
    <t>ORD-00804</t>
  </si>
  <si>
    <t>ORD-00805</t>
  </si>
  <si>
    <t>ORD-00806</t>
  </si>
  <si>
    <t>23:39</t>
  </si>
  <si>
    <t>ORD-00807</t>
  </si>
  <si>
    <t>13/05/2026</t>
  </si>
  <si>
    <t>11:12</t>
  </si>
  <si>
    <t>ORD-00808</t>
  </si>
  <si>
    <t>2026-05-13</t>
  </si>
  <si>
    <t>13:13</t>
  </si>
  <si>
    <t>ORD-00809</t>
  </si>
  <si>
    <t>13:42</t>
  </si>
  <si>
    <t>ORD-00810</t>
  </si>
  <si>
    <t>17:35</t>
  </si>
  <si>
    <t>ORD-00811</t>
  </si>
  <si>
    <t>18:04</t>
  </si>
  <si>
    <t>ORD-00812</t>
  </si>
  <si>
    <t>42500</t>
  </si>
  <si>
    <t>ORD-00813</t>
  </si>
  <si>
    <t>ORD-00814</t>
  </si>
  <si>
    <t>ORD-00815</t>
  </si>
  <si>
    <t>23:02</t>
  </si>
  <si>
    <t>ORD-00816</t>
  </si>
  <si>
    <t>14/05/2026</t>
  </si>
  <si>
    <t>ORD-00817</t>
  </si>
  <si>
    <t>2026-05-14</t>
  </si>
  <si>
    <t>ORD-00818</t>
  </si>
  <si>
    <t>22:33</t>
  </si>
  <si>
    <t>ORD-00819</t>
  </si>
  <si>
    <t>2026-05-15</t>
  </si>
  <si>
    <t>14:12</t>
  </si>
  <si>
    <t>ORD-00820</t>
  </si>
  <si>
    <t>ORD-00821</t>
  </si>
  <si>
    <t>15/05/2026</t>
  </si>
  <si>
    <t>14:18</t>
  </si>
  <si>
    <t>ORD-00822</t>
  </si>
  <si>
    <t>ORD-00823</t>
  </si>
  <si>
    <t>ORD-00824</t>
  </si>
  <si>
    <t>ORD-00825</t>
  </si>
  <si>
    <t>ORD-00826</t>
  </si>
  <si>
    <t>ORD-00827</t>
  </si>
  <si>
    <t>ORD-00828</t>
  </si>
  <si>
    <t>21:10</t>
  </si>
  <si>
    <t>ORD-00829</t>
  </si>
  <si>
    <t>ORD-00830</t>
  </si>
  <si>
    <t>May 15 2026</t>
  </si>
  <si>
    <t>ORD-00831</t>
  </si>
  <si>
    <t>ORD-00832</t>
  </si>
  <si>
    <t>ORD-00833</t>
  </si>
  <si>
    <t>ORD-00834</t>
  </si>
  <si>
    <t>ORD-00835</t>
  </si>
  <si>
    <t>2026-05-16</t>
  </si>
  <si>
    <t>ORD-00836</t>
  </si>
  <si>
    <t>16/05/2026</t>
  </si>
  <si>
    <t>ORD-00837</t>
  </si>
  <si>
    <t>ORD-00838</t>
  </si>
  <si>
    <t xml:space="preserve"> Grills</t>
  </si>
  <si>
    <t>ORD-00839</t>
  </si>
  <si>
    <t>ORD-00840</t>
  </si>
  <si>
    <t>10800</t>
  </si>
  <si>
    <t>ORD-00841</t>
  </si>
  <si>
    <t>2026-05-17</t>
  </si>
  <si>
    <t>12:17</t>
  </si>
  <si>
    <t>ORD-00842</t>
  </si>
  <si>
    <t>ORD-00843</t>
  </si>
  <si>
    <t>17-May-2026</t>
  </si>
  <si>
    <t>22:41</t>
  </si>
  <si>
    <t>ORD-00844</t>
  </si>
  <si>
    <t>23:36</t>
  </si>
  <si>
    <t>ORD-00845</t>
  </si>
  <si>
    <t>2026-05-18</t>
  </si>
  <si>
    <t>ORD-00846</t>
  </si>
  <si>
    <t>13:21</t>
  </si>
  <si>
    <t>ORD-00847</t>
  </si>
  <si>
    <t>14:44</t>
  </si>
  <si>
    <t xml:space="preserve"> Hummus</t>
  </si>
  <si>
    <t>ORD-00848</t>
  </si>
  <si>
    <t>17:34</t>
  </si>
  <si>
    <t>ORD-00849</t>
  </si>
  <si>
    <t>ORD-00850</t>
  </si>
  <si>
    <t>ORD-00851</t>
  </si>
  <si>
    <t>2026-05-19</t>
  </si>
  <si>
    <t>18:58</t>
  </si>
  <si>
    <t>Mixed grill platter</t>
  </si>
  <si>
    <t>ORD-00852</t>
  </si>
  <si>
    <t>ORD-00853</t>
  </si>
  <si>
    <t>ORD-00854</t>
  </si>
  <si>
    <t>ORD-00855</t>
  </si>
  <si>
    <t>ORD-00856</t>
  </si>
  <si>
    <t>2026-05-20</t>
  </si>
  <si>
    <t>ORD-00857</t>
  </si>
  <si>
    <t>ORD-00858</t>
  </si>
  <si>
    <t>16:27</t>
  </si>
  <si>
    <t>ORD-00859</t>
  </si>
  <si>
    <t>ORD-00860</t>
  </si>
  <si>
    <t>38400</t>
  </si>
  <si>
    <t>ORD-00861</t>
  </si>
  <si>
    <t>ORD-00862</t>
  </si>
  <si>
    <t>ORD-00863</t>
  </si>
  <si>
    <t>ORD-00864</t>
  </si>
  <si>
    <t xml:space="preserve">DINE-IN </t>
  </si>
  <si>
    <t>ORD-00865</t>
  </si>
  <si>
    <t>ORD-00866</t>
  </si>
  <si>
    <t>21:34</t>
  </si>
  <si>
    <t>ORD-00867</t>
  </si>
  <si>
    <t>ORD-00868</t>
  </si>
  <si>
    <t>2026-05-21</t>
  </si>
  <si>
    <t xml:space="preserve">  Lamb Kebab </t>
  </si>
  <si>
    <t>ORD-00869</t>
  </si>
  <si>
    <t>ORD-00870</t>
  </si>
  <si>
    <t>chicken tika</t>
  </si>
  <si>
    <t>ORD-00871</t>
  </si>
  <si>
    <t>ORD-00872</t>
  </si>
  <si>
    <t>21/05/2026</t>
  </si>
  <si>
    <t>ORD-00873</t>
  </si>
  <si>
    <t>ORD-00874</t>
  </si>
  <si>
    <t>ORD-00875</t>
  </si>
  <si>
    <t>2026-05-22</t>
  </si>
  <si>
    <t>ORD-00876</t>
  </si>
  <si>
    <t>ORD-00877</t>
  </si>
  <si>
    <t>ORD-00878</t>
  </si>
  <si>
    <t>ORD-00879</t>
  </si>
  <si>
    <t>ORD-00880</t>
  </si>
  <si>
    <t xml:space="preserve"> Mustafa Karim</t>
  </si>
  <si>
    <t>ORD-00881</t>
  </si>
  <si>
    <t>ORD-00882</t>
  </si>
  <si>
    <t xml:space="preserve">Chicken Sandwich </t>
  </si>
  <si>
    <t>ORD-00883</t>
  </si>
  <si>
    <t>2026-05-23</t>
  </si>
  <si>
    <t>ORD-00884</t>
  </si>
  <si>
    <t>ORD-00885</t>
  </si>
  <si>
    <t>ORD-00886</t>
  </si>
  <si>
    <t>ORD-00887</t>
  </si>
  <si>
    <t>ORD-00888</t>
  </si>
  <si>
    <t>ORD-00889</t>
  </si>
  <si>
    <t>ORD-00890</t>
  </si>
  <si>
    <t>2026-05-24</t>
  </si>
  <si>
    <t>11:06</t>
  </si>
  <si>
    <t>ORD-00891</t>
  </si>
  <si>
    <t>16:10</t>
  </si>
  <si>
    <t>ORD-00892</t>
  </si>
  <si>
    <t>ORD-00893</t>
  </si>
  <si>
    <t>ORD-00894</t>
  </si>
  <si>
    <t>5,000</t>
  </si>
  <si>
    <t>ORD-00895</t>
  </si>
  <si>
    <t>ORD-00896</t>
  </si>
  <si>
    <t>ORD-00897</t>
  </si>
  <si>
    <t>May 25 2026</t>
  </si>
  <si>
    <t>ORD-00898</t>
  </si>
  <si>
    <t>2026-05-25</t>
  </si>
  <si>
    <t>ORD-00899</t>
  </si>
  <si>
    <t>ORD-00900</t>
  </si>
  <si>
    <t>ORD-00901</t>
  </si>
  <si>
    <t>ORD-00902</t>
  </si>
  <si>
    <t>ORD-00903</t>
  </si>
  <si>
    <t xml:space="preserve"> Ali Hassan</t>
  </si>
  <si>
    <t>ORD-00904</t>
  </si>
  <si>
    <t>ORD-00905</t>
  </si>
  <si>
    <t>May 26 2026</t>
  </si>
  <si>
    <t>14:21</t>
  </si>
  <si>
    <t>ORD-00906</t>
  </si>
  <si>
    <t>2026-05-26</t>
  </si>
  <si>
    <t>2000 IQD</t>
  </si>
  <si>
    <t>ORD-00907</t>
  </si>
  <si>
    <t>16:06</t>
  </si>
  <si>
    <t>ORD-00908</t>
  </si>
  <si>
    <t>26/05/2026</t>
  </si>
  <si>
    <t>ORD-00909</t>
  </si>
  <si>
    <t>19:46</t>
  </si>
  <si>
    <t>ORD-00910</t>
  </si>
  <si>
    <t>ORD-00911</t>
  </si>
  <si>
    <t>27/05/2026</t>
  </si>
  <si>
    <t>12:33</t>
  </si>
  <si>
    <t>ORD-00912</t>
  </si>
  <si>
    <t>2026-05-27</t>
  </si>
  <si>
    <t>ORD-00913</t>
  </si>
  <si>
    <t>ORD-00914</t>
  </si>
  <si>
    <t>ORD-00915</t>
  </si>
  <si>
    <t>ORD-00916</t>
  </si>
  <si>
    <t>ORD-00917</t>
  </si>
  <si>
    <t>ORD-00918</t>
  </si>
  <si>
    <t>2026-05-28</t>
  </si>
  <si>
    <t>ORD-00919</t>
  </si>
  <si>
    <t>14:14</t>
  </si>
  <si>
    <t>ORD-00920</t>
  </si>
  <si>
    <t>May 28 2026</t>
  </si>
  <si>
    <t>18:06</t>
  </si>
  <si>
    <t>ORD-00921</t>
  </si>
  <si>
    <t>ORD-00922</t>
  </si>
  <si>
    <t>19:48</t>
  </si>
  <si>
    <t>ORD-00923</t>
  </si>
  <si>
    <t>ORD-00924</t>
  </si>
  <si>
    <t>ORD-00925</t>
  </si>
  <si>
    <t>ORD-00926</t>
  </si>
  <si>
    <t>22:18</t>
  </si>
  <si>
    <t>ORD-00927</t>
  </si>
  <si>
    <t>23:47</t>
  </si>
  <si>
    <t>ORD-00928</t>
  </si>
  <si>
    <t>May 29 2026</t>
  </si>
  <si>
    <t>15:06</t>
  </si>
  <si>
    <t>ORD-00929</t>
  </si>
  <si>
    <t>2026-05-29</t>
  </si>
  <si>
    <t>16:31</t>
  </si>
  <si>
    <t>ORD-00930</t>
  </si>
  <si>
    <t>ORD-00931</t>
  </si>
  <si>
    <t>ORD-00932</t>
  </si>
  <si>
    <t>ORD-00933</t>
  </si>
  <si>
    <t>ORD-00934</t>
  </si>
  <si>
    <t>22:06</t>
  </si>
  <si>
    <t>ORD-00935</t>
  </si>
  <si>
    <t>ORD-00936</t>
  </si>
  <si>
    <t>29-May-2026</t>
  </si>
  <si>
    <t>ORD-00937</t>
  </si>
  <si>
    <t>ORD-00976</t>
  </si>
  <si>
    <t>June 4 2026</t>
  </si>
  <si>
    <t>ORD-00939</t>
  </si>
  <si>
    <t>2026-05-30</t>
  </si>
  <si>
    <t>ORD-00940</t>
  </si>
  <si>
    <t>30/05/2026</t>
  </si>
  <si>
    <t>ORD-00941</t>
  </si>
  <si>
    <t>ORD-00942</t>
  </si>
  <si>
    <t>ORD-00943</t>
  </si>
  <si>
    <t>48600</t>
  </si>
  <si>
    <t>ORD-00944</t>
  </si>
  <si>
    <t>ORD-00945</t>
  </si>
  <si>
    <t>2026-05-31</t>
  </si>
  <si>
    <t>ORD-00946</t>
  </si>
  <si>
    <t>31/05/2026</t>
  </si>
  <si>
    <t>15:27</t>
  </si>
  <si>
    <t>ORD-00947</t>
  </si>
  <si>
    <t>ORD-00948</t>
  </si>
  <si>
    <t>12800</t>
  </si>
  <si>
    <t>ORD-00949</t>
  </si>
  <si>
    <t>ORD-00950</t>
  </si>
  <si>
    <t>2026-06-01</t>
  </si>
  <si>
    <t>ORD-00951</t>
  </si>
  <si>
    <t>20:54</t>
  </si>
  <si>
    <t>ORD-00952</t>
  </si>
  <si>
    <t>2026-06-02</t>
  </si>
  <si>
    <t>ORD-00953</t>
  </si>
  <si>
    <t>ORD-00954</t>
  </si>
  <si>
    <t>17:41</t>
  </si>
  <si>
    <t>ORD-00955</t>
  </si>
  <si>
    <t>ORD-00956</t>
  </si>
  <si>
    <t>ORD-00957</t>
  </si>
  <si>
    <t>June 2 2026</t>
  </si>
  <si>
    <t>ORD-00958</t>
  </si>
  <si>
    <t>ORD-00959</t>
  </si>
  <si>
    <t>ORD-00960</t>
  </si>
  <si>
    <t>ORD-00961</t>
  </si>
  <si>
    <t>2026-06-03</t>
  </si>
  <si>
    <t>16:45</t>
  </si>
  <si>
    <t>ORD-00962</t>
  </si>
  <si>
    <t>17:15</t>
  </si>
  <si>
    <t>ORD-00963</t>
  </si>
  <si>
    <t>June 3 2026</t>
  </si>
  <si>
    <t>ORD-00964</t>
  </si>
  <si>
    <t>ORD-00965</t>
  </si>
  <si>
    <t>ORD-00966</t>
  </si>
  <si>
    <t>ORD-00967</t>
  </si>
  <si>
    <t>ORD-00968</t>
  </si>
  <si>
    <t>ORD-00969</t>
  </si>
  <si>
    <t>ORD-00970</t>
  </si>
  <si>
    <t>2026-06-04</t>
  </si>
  <si>
    <t>ORD-00971</t>
  </si>
  <si>
    <t>ORD-00972</t>
  </si>
  <si>
    <t>ORD-00973</t>
  </si>
  <si>
    <t>04/06/2026</t>
  </si>
  <si>
    <t>ORD-00974</t>
  </si>
  <si>
    <t>ORD-00975</t>
  </si>
  <si>
    <t>ORD-00938</t>
  </si>
  <si>
    <t>ORD-00977</t>
  </si>
  <si>
    <t>23:25</t>
  </si>
  <si>
    <t>ORD-00978</t>
  </si>
  <si>
    <t>2026-06-05</t>
  </si>
  <si>
    <t>14:39</t>
  </si>
  <si>
    <t>ORD-00979</t>
  </si>
  <si>
    <t>16:21</t>
  </si>
  <si>
    <t>ORD-00980</t>
  </si>
  <si>
    <t>ORD-00981</t>
  </si>
  <si>
    <t>ORD-00982</t>
  </si>
  <si>
    <t>ORD-00983</t>
  </si>
  <si>
    <t>June 5 2026</t>
  </si>
  <si>
    <t>ORD-00984</t>
  </si>
  <si>
    <t>ORD-00985</t>
  </si>
  <si>
    <t>2026-06-06</t>
  </si>
  <si>
    <t>14:28</t>
  </si>
  <si>
    <t>ORD-00986</t>
  </si>
  <si>
    <t>ORD-00987</t>
  </si>
  <si>
    <t>17:46</t>
  </si>
  <si>
    <t>ORD-00988</t>
  </si>
  <si>
    <t>ORD-00989</t>
  </si>
  <si>
    <t>ORD-00990</t>
  </si>
  <si>
    <t>ORD-00991</t>
  </si>
  <si>
    <t>ORD-00992</t>
  </si>
  <si>
    <t>06/06/2026</t>
  </si>
  <si>
    <t>ORD-00993</t>
  </si>
  <si>
    <t>ORD-00994</t>
  </si>
  <si>
    <t>ORD-00995</t>
  </si>
  <si>
    <t>ORD-00996</t>
  </si>
  <si>
    <t>07/06/2026</t>
  </si>
  <si>
    <t>ORD-00997</t>
  </si>
  <si>
    <t>2026-06-07</t>
  </si>
  <si>
    <t>18:57</t>
  </si>
  <si>
    <t>ORD-00998</t>
  </si>
  <si>
    <t>07-Jun-2026</t>
  </si>
  <si>
    <t>ORD-00999</t>
  </si>
  <si>
    <t>ORD-01000</t>
  </si>
  <si>
    <t>ORD-01001</t>
  </si>
  <si>
    <t>22:46</t>
  </si>
  <si>
    <t>ORD-01002</t>
  </si>
  <si>
    <t>2026-06-08</t>
  </si>
  <si>
    <t>ORD-01003</t>
  </si>
  <si>
    <t>17:59</t>
  </si>
  <si>
    <t>ORD-01004</t>
  </si>
  <si>
    <t>ORD-01005</t>
  </si>
  <si>
    <t>08/06/2026</t>
  </si>
  <si>
    <t>ORD-01006</t>
  </si>
  <si>
    <t>ORD-01007</t>
  </si>
  <si>
    <t>ORD-01008</t>
  </si>
  <si>
    <t>ORD-01009</t>
  </si>
  <si>
    <t>ORD-01010</t>
  </si>
  <si>
    <t>2026-06-09</t>
  </si>
  <si>
    <t>ORD-01011</t>
  </si>
  <si>
    <t>17:03</t>
  </si>
  <si>
    <t>ORD-01012</t>
  </si>
  <si>
    <t>12750 IQD</t>
  </si>
  <si>
    <t>ORD-01013</t>
  </si>
  <si>
    <t>ORD-01014</t>
  </si>
  <si>
    <t>ORD-01015</t>
  </si>
  <si>
    <t>ORD-01016</t>
  </si>
  <si>
    <t>ORD-01017</t>
  </si>
  <si>
    <t>ORD-01018</t>
  </si>
  <si>
    <t>2026-06-10</t>
  </si>
  <si>
    <t>ORD-01019</t>
  </si>
  <si>
    <t>ORD-01020</t>
  </si>
  <si>
    <t>ORD-01021</t>
  </si>
  <si>
    <t>ORD-01022</t>
  </si>
  <si>
    <t>10/06/2026</t>
  </si>
  <si>
    <t>ORD-01023</t>
  </si>
  <si>
    <t>23:51</t>
  </si>
  <si>
    <t>ORD-01024</t>
  </si>
  <si>
    <t>2026-06-11</t>
  </si>
  <si>
    <t>15:28</t>
  </si>
  <si>
    <t>ORD-01025</t>
  </si>
  <si>
    <t>June 11 2026</t>
  </si>
  <si>
    <t>17:18</t>
  </si>
  <si>
    <t>ORD-01026</t>
  </si>
  <si>
    <t>13,500 IQD</t>
  </si>
  <si>
    <t>ORD-01027</t>
  </si>
  <si>
    <t>ORD-01028</t>
  </si>
  <si>
    <t>11/06/2026</t>
  </si>
  <si>
    <t>ORD-01029</t>
  </si>
  <si>
    <t>fattoush salad</t>
  </si>
  <si>
    <t>ORD-01030</t>
  </si>
  <si>
    <t>ORD-01031</t>
  </si>
  <si>
    <t>ORD-01032</t>
  </si>
  <si>
    <t>ORD-01033</t>
  </si>
  <si>
    <t>ORD-01034</t>
  </si>
  <si>
    <t>ORD-01035</t>
  </si>
  <si>
    <t>ORD-01036</t>
  </si>
  <si>
    <t>12/06/2026</t>
  </si>
  <si>
    <t>ORD-01037</t>
  </si>
  <si>
    <t>2026-06-12</t>
  </si>
  <si>
    <t>14:10</t>
  </si>
  <si>
    <t>ORD-01038</t>
  </si>
  <si>
    <t>15:53</t>
  </si>
  <si>
    <t>ORD-01039</t>
  </si>
  <si>
    <t>ORD-01040</t>
  </si>
  <si>
    <t>17:01</t>
  </si>
  <si>
    <t>ORD-01041</t>
  </si>
  <si>
    <t>17:07</t>
  </si>
  <si>
    <t>ORD-01042</t>
  </si>
  <si>
    <t>ORD-01043</t>
  </si>
  <si>
    <t>ORD-01044</t>
  </si>
  <si>
    <t>67500</t>
  </si>
  <si>
    <t>ORD-01045</t>
  </si>
  <si>
    <t>ORD-01046</t>
  </si>
  <si>
    <t>12-Jun-2026</t>
  </si>
  <si>
    <t>ORD-01047</t>
  </si>
  <si>
    <t>ORD-01048</t>
  </si>
  <si>
    <t>June 12 2026</t>
  </si>
  <si>
    <t>ORD-01049</t>
  </si>
  <si>
    <t>2026-06-13</t>
  </si>
  <si>
    <t>13:49</t>
  </si>
  <si>
    <t>ORD-01050</t>
  </si>
  <si>
    <t>ORD-01051</t>
  </si>
  <si>
    <t>June 13 2026</t>
  </si>
  <si>
    <t>2,700</t>
  </si>
  <si>
    <t>ORD-01052</t>
  </si>
  <si>
    <t>ORD-01053</t>
  </si>
  <si>
    <t>ORD-01054</t>
  </si>
  <si>
    <t>ORD-01055</t>
  </si>
  <si>
    <t>ORD-01056</t>
  </si>
  <si>
    <t>25,600</t>
  </si>
  <si>
    <t>ORD-01057</t>
  </si>
  <si>
    <t>ORD-01058</t>
  </si>
  <si>
    <t>13/06/2026</t>
  </si>
  <si>
    <t>ORD-01059</t>
  </si>
  <si>
    <t>ORD-01060</t>
  </si>
  <si>
    <t>2026-06-14</t>
  </si>
  <si>
    <t>11:03</t>
  </si>
  <si>
    <t>ORD-01061</t>
  </si>
  <si>
    <t>14:07</t>
  </si>
  <si>
    <t>ORD-01062</t>
  </si>
  <si>
    <t>ORD-01063</t>
  </si>
  <si>
    <t>ORD-01064</t>
  </si>
  <si>
    <t>ORD-01065</t>
  </si>
  <si>
    <t>ORD-01066</t>
  </si>
  <si>
    <t>ORD-01067</t>
  </si>
  <si>
    <t>ORD-01068</t>
  </si>
  <si>
    <t>ORD-01069</t>
  </si>
  <si>
    <t>2026-06-15</t>
  </si>
  <si>
    <t>ORD-01070</t>
  </si>
  <si>
    <t>ORD-01071</t>
  </si>
  <si>
    <t>June 15 2026</t>
  </si>
  <si>
    <t>ORD-01072</t>
  </si>
  <si>
    <t>15/06/2026</t>
  </si>
  <si>
    <t>ORD-01073</t>
  </si>
  <si>
    <t>ORD-01074</t>
  </si>
  <si>
    <t>ORD-01075</t>
  </si>
  <si>
    <t>June 16 2026</t>
  </si>
  <si>
    <t>17:51</t>
  </si>
  <si>
    <t>ORD-01076</t>
  </si>
  <si>
    <t>2026-06-16</t>
  </si>
  <si>
    <t>ORD-01077</t>
  </si>
  <si>
    <t>17/06/2026</t>
  </si>
  <si>
    <t xml:space="preserve">  take away </t>
  </si>
  <si>
    <t>ORD-01078</t>
  </si>
  <si>
    <t>2026-06-17</t>
  </si>
  <si>
    <t>ORD-01079</t>
  </si>
  <si>
    <t>ORD-01080</t>
  </si>
  <si>
    <t>ORD-01081</t>
  </si>
  <si>
    <t>ORD-01082</t>
  </si>
  <si>
    <t>ORD-01083</t>
  </si>
  <si>
    <t>23:16</t>
  </si>
  <si>
    <t>ORD-01084</t>
  </si>
  <si>
    <t>2026-06-18</t>
  </si>
  <si>
    <t>ORD-01085</t>
  </si>
  <si>
    <t>14:20</t>
  </si>
  <si>
    <t>ORD-01086</t>
  </si>
  <si>
    <t>ORD-01087</t>
  </si>
  <si>
    <t>19:07</t>
  </si>
  <si>
    <t>ORD-01088</t>
  </si>
  <si>
    <t>ORD-01089</t>
  </si>
  <si>
    <t>18/06/2026</t>
  </si>
  <si>
    <t>ORD-01090</t>
  </si>
  <si>
    <t>ORD-01091</t>
  </si>
  <si>
    <t>ORD-01092</t>
  </si>
  <si>
    <t>2026-06-19</t>
  </si>
  <si>
    <t>9,000 IQD</t>
  </si>
  <si>
    <t>ORD-01093</t>
  </si>
  <si>
    <t>ORD-01094</t>
  </si>
  <si>
    <t>ORD-01095</t>
  </si>
  <si>
    <t>15:40</t>
  </si>
  <si>
    <t>ORD-01096</t>
  </si>
  <si>
    <t>16:14</t>
  </si>
  <si>
    <t>ORD-01097</t>
  </si>
  <si>
    <t>ORD-01098</t>
  </si>
  <si>
    <t>ORD-01099</t>
  </si>
  <si>
    <t>ORD-01100</t>
  </si>
  <si>
    <t>19/06/2026</t>
  </si>
  <si>
    <t>ORD-01101</t>
  </si>
  <si>
    <t>ORD-01102</t>
  </si>
  <si>
    <t>ORD-01103</t>
  </si>
  <si>
    <t>ORD-01104</t>
  </si>
  <si>
    <t>2026-06-20</t>
  </si>
  <si>
    <t>ORD-01105</t>
  </si>
  <si>
    <t>18:43</t>
  </si>
  <si>
    <t>ORD-01106</t>
  </si>
  <si>
    <t>ORD-01107</t>
  </si>
  <si>
    <t>ORD-01108</t>
  </si>
  <si>
    <t>ORD-01112</t>
  </si>
  <si>
    <t>2026-06-21</t>
  </si>
  <si>
    <t>17:50</t>
  </si>
  <si>
    <t>ORD-01110</t>
  </si>
  <si>
    <t>ORD-01111</t>
  </si>
  <si>
    <t>June 20 2026</t>
  </si>
  <si>
    <t>ORD-01109</t>
  </si>
  <si>
    <t>20/06/2026</t>
  </si>
  <si>
    <t>ORD-01113</t>
  </si>
  <si>
    <t>ORD-01114</t>
  </si>
  <si>
    <t>ORD-01115</t>
  </si>
  <si>
    <t>ORD-01116</t>
  </si>
  <si>
    <t>2026-06-22</t>
  </si>
  <si>
    <t>ORD-01117</t>
  </si>
  <si>
    <t>ORD-01118</t>
  </si>
  <si>
    <t>ORD-01119</t>
  </si>
  <si>
    <t>ORD-01120</t>
  </si>
  <si>
    <t>June 22 2026</t>
  </si>
  <si>
    <t>ORD-01121</t>
  </si>
  <si>
    <t>ORD-01122</t>
  </si>
  <si>
    <t>ORD-01123</t>
  </si>
  <si>
    <t>ORD-01124</t>
  </si>
  <si>
    <t>2026-06-23</t>
  </si>
  <si>
    <t>ORD-01125</t>
  </si>
  <si>
    <t>ORD-01126</t>
  </si>
  <si>
    <t>ORD-01127</t>
  </si>
  <si>
    <t>75000</t>
  </si>
  <si>
    <t>ORD-01128</t>
  </si>
  <si>
    <t>ORD-01129</t>
  </si>
  <si>
    <t>23-Jun-2026</t>
  </si>
  <si>
    <t>ORD-01130</t>
  </si>
  <si>
    <t xml:space="preserve"> Fresh Lemon Mint</t>
  </si>
  <si>
    <t>ORD-01131</t>
  </si>
  <si>
    <t>ORD-01143</t>
  </si>
  <si>
    <t>2026-06-25</t>
  </si>
  <si>
    <t>ORD-01133</t>
  </si>
  <si>
    <t>2026-06-24</t>
  </si>
  <si>
    <t xml:space="preserve">  Chicken Sandwich </t>
  </si>
  <si>
    <t>ORD-01134</t>
  </si>
  <si>
    <t>ORD-01135</t>
  </si>
  <si>
    <t>ORD-01136</t>
  </si>
  <si>
    <t>ORD-01137</t>
  </si>
  <si>
    <t>June 24 2026</t>
  </si>
  <si>
    <t>ORD-01138</t>
  </si>
  <si>
    <t>ORD-01139</t>
  </si>
  <si>
    <t>22:42</t>
  </si>
  <si>
    <t>ORD-01140</t>
  </si>
  <si>
    <t>ORD-01141</t>
  </si>
  <si>
    <t>ORD-01142</t>
  </si>
  <si>
    <t>ORD-01132</t>
  </si>
  <si>
    <t>ORD-01144</t>
  </si>
  <si>
    <t>2026-06-26</t>
  </si>
  <si>
    <t>12:35</t>
  </si>
  <si>
    <t>ORD-01145</t>
  </si>
  <si>
    <t>26/06/2026</t>
  </si>
  <si>
    <t>12:47</t>
  </si>
  <si>
    <t>ORD-01146</t>
  </si>
  <si>
    <t>ORD-01147</t>
  </si>
  <si>
    <t>ORD-01148</t>
  </si>
  <si>
    <t>ORD-01149</t>
  </si>
  <si>
    <t>June 26 2026</t>
  </si>
  <si>
    <t>ORD-01150</t>
  </si>
  <si>
    <t>ORD-01151</t>
  </si>
  <si>
    <t>ORD-01152</t>
  </si>
  <si>
    <t>ORD-01153</t>
  </si>
  <si>
    <t>ORD-01154</t>
  </si>
  <si>
    <t>ORD-01155</t>
  </si>
  <si>
    <t>ORD-01156</t>
  </si>
  <si>
    <t>ORD-01157</t>
  </si>
  <si>
    <t>ORD-01158</t>
  </si>
  <si>
    <t>27/06/2026</t>
  </si>
  <si>
    <t>ORD-01159</t>
  </si>
  <si>
    <t>2026-06-27</t>
  </si>
  <si>
    <t>13:34</t>
  </si>
  <si>
    <t>ORD-01160</t>
  </si>
  <si>
    <t>15:48</t>
  </si>
  <si>
    <t>ORD-01161</t>
  </si>
  <si>
    <t>ORD-01162</t>
  </si>
  <si>
    <t>ORD-01163</t>
  </si>
  <si>
    <t>17:45</t>
  </si>
  <si>
    <t>ORD-01164</t>
  </si>
  <si>
    <t>ORD-01165</t>
  </si>
  <si>
    <t>ORD-01166</t>
  </si>
  <si>
    <t>ORD-01167</t>
  </si>
  <si>
    <t>ORD-01168</t>
  </si>
  <si>
    <t>ORD-01169</t>
  </si>
  <si>
    <t>ORD-01170</t>
  </si>
  <si>
    <t>2026-06-28</t>
  </si>
  <si>
    <t>17:17</t>
  </si>
  <si>
    <t>ORD-01171</t>
  </si>
  <si>
    <t>14,400 IQD</t>
  </si>
  <si>
    <t>ORD-01172</t>
  </si>
  <si>
    <t>ORD-01173</t>
  </si>
  <si>
    <t>28-Jun-2026</t>
  </si>
  <si>
    <t>ORD-01174</t>
  </si>
  <si>
    <t>ORD-01175</t>
  </si>
  <si>
    <t>ORD-01176</t>
  </si>
  <si>
    <t>22:12</t>
  </si>
  <si>
    <t>ORD-01177</t>
  </si>
  <si>
    <t>ORD-01178</t>
  </si>
  <si>
    <t>23:15</t>
  </si>
  <si>
    <t>ORD-01179</t>
  </si>
  <si>
    <t>ORD-01180</t>
  </si>
  <si>
    <t>2026-06-29</t>
  </si>
  <si>
    <t>ORD-01181</t>
  </si>
  <si>
    <t>June 29 2026</t>
  </si>
  <si>
    <t>ORD-01182</t>
  </si>
  <si>
    <t>ORD-01183</t>
  </si>
  <si>
    <t>ORD-01184</t>
  </si>
  <si>
    <t>ORD-01185</t>
  </si>
  <si>
    <t>ORD-01186</t>
  </si>
  <si>
    <t xml:space="preserve"> MUSTAFA KARIM</t>
  </si>
  <si>
    <t>ORD-01187</t>
  </si>
  <si>
    <t>2026-06-30</t>
  </si>
  <si>
    <t>11:01</t>
  </si>
  <si>
    <t>ORD-01188</t>
  </si>
  <si>
    <t>30-Jun-2026</t>
  </si>
  <si>
    <t>13:29</t>
  </si>
  <si>
    <t>ORD-01189</t>
  </si>
  <si>
    <t>30/06/2026</t>
  </si>
  <si>
    <t>ORD-01190</t>
  </si>
  <si>
    <t>ORD-01191</t>
  </si>
  <si>
    <t>01-Jul-2026</t>
  </si>
  <si>
    <t>ORD-01192</t>
  </si>
  <si>
    <t>2026-07-01</t>
  </si>
  <si>
    <t>ORD-01230</t>
  </si>
  <si>
    <t>2026-07-04</t>
  </si>
  <si>
    <t>ORD-01194</t>
  </si>
  <si>
    <t>ORD-01195</t>
  </si>
  <si>
    <t>ORD-01196</t>
  </si>
  <si>
    <t>ORD-01197</t>
  </si>
  <si>
    <t>ORD-01198</t>
  </si>
  <si>
    <t>ORD-01199</t>
  </si>
  <si>
    <t>ORD-01200</t>
  </si>
  <si>
    <t>ORD-01201</t>
  </si>
  <si>
    <t>23:11</t>
  </si>
  <si>
    <t>ORD-01202</t>
  </si>
  <si>
    <t>01/07/2026</t>
  </si>
  <si>
    <t>ORD-01203</t>
  </si>
  <si>
    <t>2026-07-02</t>
  </si>
  <si>
    <t>ORD-01204</t>
  </si>
  <si>
    <t>02-Jul-2026</t>
  </si>
  <si>
    <t>ORD-01205</t>
  </si>
  <si>
    <t>ORD-01206</t>
  </si>
  <si>
    <t>18:10</t>
  </si>
  <si>
    <t>ORD-01207</t>
  </si>
  <si>
    <t>ORD-01208</t>
  </si>
  <si>
    <t>ORD-01209</t>
  </si>
  <si>
    <t>ORD-01210</t>
  </si>
  <si>
    <t>ORD-01211</t>
  </si>
  <si>
    <t>ORD-01212</t>
  </si>
  <si>
    <t>ORD-01213</t>
  </si>
  <si>
    <t>03/07/2026</t>
  </si>
  <si>
    <t>13:26</t>
  </si>
  <si>
    <t>ORD-01214</t>
  </si>
  <si>
    <t>2026-07-03</t>
  </si>
  <si>
    <t>13:35</t>
  </si>
  <si>
    <t>13,600</t>
  </si>
  <si>
    <t>ORD-01215</t>
  </si>
  <si>
    <t>ORD-01216</t>
  </si>
  <si>
    <t>18000 IQD</t>
  </si>
  <si>
    <t>ORD-01217</t>
  </si>
  <si>
    <t>July 3 2026</t>
  </si>
  <si>
    <t>19:24</t>
  </si>
  <si>
    <t>ORD-01218</t>
  </si>
  <si>
    <t>19:35</t>
  </si>
  <si>
    <t>ORD-01219</t>
  </si>
  <si>
    <t>ORD-01220</t>
  </si>
  <si>
    <t>ORD-01221</t>
  </si>
  <si>
    <t>ORD-01222</t>
  </si>
  <si>
    <t>ORD-01223</t>
  </si>
  <si>
    <t>ORD-01224</t>
  </si>
  <si>
    <t>July 4 2026</t>
  </si>
  <si>
    <t>ORD-01225</t>
  </si>
  <si>
    <t>13:25</t>
  </si>
  <si>
    <t>ORD-01226</t>
  </si>
  <si>
    <t>14:22</t>
  </si>
  <si>
    <t>ORD-01227</t>
  </si>
  <si>
    <t>ORD-01228</t>
  </si>
  <si>
    <t>ORD-01229</t>
  </si>
  <si>
    <t>ORD-01193</t>
  </si>
  <si>
    <t>ORD-01231</t>
  </si>
  <si>
    <t>ORD-01232</t>
  </si>
  <si>
    <t>ORD-01233</t>
  </si>
  <si>
    <t>ORD-01234</t>
  </si>
  <si>
    <t>23:06</t>
  </si>
  <si>
    <t>ORD-01235</t>
  </si>
  <si>
    <t>2026-07-05</t>
  </si>
  <si>
    <t>ORD-01236</t>
  </si>
  <si>
    <t>ORD-01237</t>
  </si>
  <si>
    <t>05/07/2026</t>
  </si>
  <si>
    <t>22:25</t>
  </si>
  <si>
    <t>ORD-01238</t>
  </si>
  <si>
    <t>2026-07-06</t>
  </si>
  <si>
    <t xml:space="preserve">Soft Drink </t>
  </si>
  <si>
    <t>ORD-01239</t>
  </si>
  <si>
    <t>ORD-01240</t>
  </si>
  <si>
    <t>ORD-01241</t>
  </si>
  <si>
    <t>ORD-01242</t>
  </si>
  <si>
    <t>ORD-01243</t>
  </si>
  <si>
    <t>ORD-01244</t>
  </si>
  <si>
    <t>ORD-01245</t>
  </si>
  <si>
    <t>ORD-01246</t>
  </si>
  <si>
    <t>2026-07-07</t>
  </si>
  <si>
    <t>ORD-01247</t>
  </si>
  <si>
    <t>2026-07-08</t>
  </si>
  <si>
    <t>17:29</t>
  </si>
  <si>
    <t>ORD-01248</t>
  </si>
  <si>
    <t>08/07/2026</t>
  </si>
  <si>
    <t>ORD-01249</t>
  </si>
  <si>
    <t>July 8 2026</t>
  </si>
  <si>
    <t>ORD-01251</t>
  </si>
  <si>
    <t>23:10</t>
  </si>
  <si>
    <t>ORD-01250</t>
  </si>
  <si>
    <t>ORD-01252</t>
  </si>
  <si>
    <t>2026-07-09</t>
  </si>
  <si>
    <t>15:43</t>
  </si>
  <si>
    <t>ORD-01253</t>
  </si>
  <si>
    <t>July 9 2026</t>
  </si>
  <si>
    <t>ORD-01254</t>
  </si>
  <si>
    <t xml:space="preserve">Fresh Lemon Mint </t>
  </si>
  <si>
    <t>ORD-01255</t>
  </si>
  <si>
    <t>ORD-01256</t>
  </si>
  <si>
    <t>ORD-01257</t>
  </si>
  <si>
    <t>ORD-01258</t>
  </si>
  <si>
    <t>ORD-01259</t>
  </si>
  <si>
    <t>ORD-01260</t>
  </si>
  <si>
    <t>ORD-01261</t>
  </si>
  <si>
    <t>ORD-01262</t>
  </si>
  <si>
    <t>09/07/2026</t>
  </si>
  <si>
    <t>ORD-01263</t>
  </si>
  <si>
    <t>10/07/2026</t>
  </si>
  <si>
    <t>ORD-01264</t>
  </si>
  <si>
    <t>2026-07-10</t>
  </si>
  <si>
    <t>15:15</t>
  </si>
  <si>
    <t>ORD-01265</t>
  </si>
  <si>
    <t>17:25</t>
  </si>
  <si>
    <t>ORD-01266</t>
  </si>
  <si>
    <t>ORD-01267</t>
  </si>
  <si>
    <t>ORD-01268</t>
  </si>
  <si>
    <t>ORD-01269</t>
  </si>
  <si>
    <t>ORD-01270</t>
  </si>
  <si>
    <t>ORD-01271</t>
  </si>
  <si>
    <t>ORD-01272</t>
  </si>
  <si>
    <t>ORD-01273</t>
  </si>
  <si>
    <t>ORD-01274</t>
  </si>
  <si>
    <t>2026-07-11</t>
  </si>
  <si>
    <t>14:56</t>
  </si>
  <si>
    <t>ORD-01275</t>
  </si>
  <si>
    <t>16:29</t>
  </si>
  <si>
    <t>ORD-01276</t>
  </si>
  <si>
    <t>18:23</t>
  </si>
  <si>
    <t>ORD-01277</t>
  </si>
  <si>
    <t>ORD-01278</t>
  </si>
  <si>
    <t>ORD-01279</t>
  </si>
  <si>
    <t xml:space="preserve">  Shish Tawok </t>
  </si>
  <si>
    <t>ORD-01280</t>
  </si>
  <si>
    <t>ORD-01281</t>
  </si>
  <si>
    <t>2026-07-12</t>
  </si>
  <si>
    <t>ORD-01282</t>
  </si>
  <si>
    <t>ORD-01283</t>
  </si>
  <si>
    <t>ORD-01284</t>
  </si>
  <si>
    <t>ORD-01285</t>
  </si>
  <si>
    <t>ORD-01286</t>
  </si>
  <si>
    <t>2026-07-13</t>
  </si>
  <si>
    <t>12:28</t>
  </si>
  <si>
    <t>ORD-01287</t>
  </si>
  <si>
    <t>18:16</t>
  </si>
  <si>
    <t>ORD-01288</t>
  </si>
  <si>
    <t>ORD-01289</t>
  </si>
  <si>
    <t>13/07/2026</t>
  </si>
  <si>
    <t>ORD-01290</t>
  </si>
  <si>
    <t>July 13 2026</t>
  </si>
  <si>
    <t>ORD-01291</t>
  </si>
  <si>
    <t>ORD-01292</t>
  </si>
  <si>
    <t>2026-07-14</t>
  </si>
  <si>
    <t>ORD-01293</t>
  </si>
  <si>
    <t>ORD-01294</t>
  </si>
  <si>
    <t>ORD-01295</t>
  </si>
  <si>
    <t>ORD-01296</t>
  </si>
  <si>
    <t>ORD-01297</t>
  </si>
  <si>
    <t>ORD-01298</t>
  </si>
  <si>
    <t>ORD-01299</t>
  </si>
  <si>
    <t>2026-07-15</t>
  </si>
  <si>
    <t>ORD-01300</t>
  </si>
  <si>
    <t>ORD-01301</t>
  </si>
  <si>
    <t>ORD-01302</t>
  </si>
  <si>
    <t>ORD-01303</t>
  </si>
  <si>
    <t>18:07</t>
  </si>
  <si>
    <t>ORD-01304</t>
  </si>
  <si>
    <t>ORD-01305</t>
  </si>
  <si>
    <t>ORD-01306</t>
  </si>
  <si>
    <t>ORD-01307</t>
  </si>
  <si>
    <t>15/07/2026</t>
  </si>
  <si>
    <t>ORD-01308</t>
  </si>
  <si>
    <t>ORD-01309</t>
  </si>
  <si>
    <t>ORD-01310</t>
  </si>
  <si>
    <t>15000 IQD</t>
  </si>
  <si>
    <t>ORD-01311</t>
  </si>
  <si>
    <t>23:29</t>
  </si>
  <si>
    <t>ORD-01312</t>
  </si>
  <si>
    <t>ORD-01313</t>
  </si>
  <si>
    <t>2026-07-16</t>
  </si>
  <si>
    <t>ORD-01314</t>
  </si>
  <si>
    <t>ORD-01315</t>
  </si>
  <si>
    <t>17:39</t>
  </si>
  <si>
    <t>ORD-01316</t>
  </si>
  <si>
    <t>16/07/2026</t>
  </si>
  <si>
    <t>ORD-01317</t>
  </si>
  <si>
    <t>ORD-01318</t>
  </si>
  <si>
    <t>3200</t>
  </si>
  <si>
    <t>ORD-01319</t>
  </si>
  <si>
    <t>ORD-01320</t>
  </si>
  <si>
    <t>ORD-01321</t>
  </si>
  <si>
    <t>21:56</t>
  </si>
  <si>
    <t>ORD-01322</t>
  </si>
  <si>
    <t>ORD-01323</t>
  </si>
  <si>
    <t>ORD-01324</t>
  </si>
  <si>
    <t>ORD-01325</t>
  </si>
  <si>
    <t>ORD-01327</t>
  </si>
  <si>
    <t>ORD-01326</t>
  </si>
  <si>
    <t>ORD-01328</t>
  </si>
  <si>
    <t>ORD-01329</t>
  </si>
  <si>
    <t>2026-07-17</t>
  </si>
  <si>
    <t>ORD-01330</t>
  </si>
  <si>
    <t>13:50</t>
  </si>
  <si>
    <t>ORD-01331</t>
  </si>
  <si>
    <t>ORD-01332</t>
  </si>
  <si>
    <t>ORD-01333</t>
  </si>
  <si>
    <t>ORD-01334</t>
  </si>
  <si>
    <t>ORD-01335</t>
  </si>
  <si>
    <t>ORD-01336</t>
  </si>
  <si>
    <t>17/07/2026</t>
  </si>
  <si>
    <t>ORD-01337</t>
  </si>
  <si>
    <t>2026-07-18</t>
  </si>
  <si>
    <t>12:15</t>
  </si>
  <si>
    <t>ORD-01338</t>
  </si>
  <si>
    <t>18/07/2026</t>
  </si>
  <si>
    <t>ORD-01339</t>
  </si>
  <si>
    <t>ORD-01340</t>
  </si>
  <si>
    <t>ORD-01341</t>
  </si>
  <si>
    <t>ORD-01342</t>
  </si>
  <si>
    <t>ORD-01343</t>
  </si>
  <si>
    <t xml:space="preserve">Beverages </t>
  </si>
  <si>
    <t>ORD-01344</t>
  </si>
  <si>
    <t>ORD-01345</t>
  </si>
  <si>
    <t>ORD-01346</t>
  </si>
  <si>
    <t>ORD-01347</t>
  </si>
  <si>
    <t>ORD-01348</t>
  </si>
  <si>
    <t>ORD-01349</t>
  </si>
  <si>
    <t>ORD-01350</t>
  </si>
  <si>
    <t>2026-07-19</t>
  </si>
  <si>
    <t>ORD-01351</t>
  </si>
  <si>
    <t>ORD-01352</t>
  </si>
  <si>
    <t>ORD-01353</t>
  </si>
  <si>
    <t>ORD-01354</t>
  </si>
  <si>
    <t>ORD-01355</t>
  </si>
  <si>
    <t>20-Jul-2026</t>
  </si>
  <si>
    <t>11:08</t>
  </si>
  <si>
    <t>ORD-01356</t>
  </si>
  <si>
    <t>2026-07-20</t>
  </si>
  <si>
    <t>ORD-01357</t>
  </si>
  <si>
    <t>July 20 2026</t>
  </si>
  <si>
    <t>ORD-01358</t>
  </si>
  <si>
    <t>ORD-01359</t>
  </si>
  <si>
    <t>ORD-01360</t>
  </si>
  <si>
    <t>ORD-01361</t>
  </si>
  <si>
    <t>ORD-01362</t>
  </si>
  <si>
    <t>ORD-01363</t>
  </si>
  <si>
    <t>2026-07-21</t>
  </si>
  <si>
    <t>12,750</t>
  </si>
  <si>
    <t>ORD-01364</t>
  </si>
  <si>
    <t>22/07/2026</t>
  </si>
  <si>
    <t>12:16</t>
  </si>
  <si>
    <t>ORD-01365</t>
  </si>
  <si>
    <t>July 22 2026</t>
  </si>
  <si>
    <t>2026-07-22</t>
  </si>
  <si>
    <t>ORD-01366</t>
  </si>
  <si>
    <t>13:36</t>
  </si>
  <si>
    <t xml:space="preserve">  delivery </t>
  </si>
  <si>
    <t>ORD-01367</t>
  </si>
  <si>
    <t>16:11</t>
  </si>
  <si>
    <t>ORD-01368</t>
  </si>
  <si>
    <t>ORD-01369</t>
  </si>
  <si>
    <t>ORD-01370</t>
  </si>
  <si>
    <t>ORD-01371</t>
  </si>
  <si>
    <t>18,000</t>
  </si>
  <si>
    <t>ORD-01372</t>
  </si>
  <si>
    <t>ORD-01373</t>
  </si>
  <si>
    <t>July 23 2026</t>
  </si>
  <si>
    <t>15:44</t>
  </si>
  <si>
    <t>ORD-01374</t>
  </si>
  <si>
    <t>2026-07-23</t>
  </si>
  <si>
    <t>18:24</t>
  </si>
  <si>
    <t>ORD-01375</t>
  </si>
  <si>
    <t>18:28</t>
  </si>
  <si>
    <t>ORD-01376</t>
  </si>
  <si>
    <t>ORD-01377</t>
  </si>
  <si>
    <t>23/07/2026</t>
  </si>
  <si>
    <t>ORD-01378</t>
  </si>
  <si>
    <t>ORD-01379</t>
  </si>
  <si>
    <t>ORD-01380</t>
  </si>
  <si>
    <t>ORD-01381</t>
  </si>
  <si>
    <t>2026-07-24</t>
  </si>
  <si>
    <t>13:04</t>
  </si>
  <si>
    <t>ORD-01382</t>
  </si>
  <si>
    <t>ORD-01383</t>
  </si>
  <si>
    <t>ORD-01384</t>
  </si>
  <si>
    <t>18:29</t>
  </si>
  <si>
    <t>ORD-01385</t>
  </si>
  <si>
    <t>ORD-01386</t>
  </si>
  <si>
    <t>ORD-01387</t>
  </si>
  <si>
    <t>ORD-01388</t>
  </si>
  <si>
    <t>ORD-01389</t>
  </si>
  <si>
    <t>2026-07-25</t>
  </si>
  <si>
    <t>13:40</t>
  </si>
  <si>
    <t>ORD-01390</t>
  </si>
  <si>
    <t>July 25 2026</t>
  </si>
  <si>
    <t>16:47</t>
  </si>
  <si>
    <t>15,000</t>
  </si>
  <si>
    <t>ORD-01391</t>
  </si>
  <si>
    <t>17:56</t>
  </si>
  <si>
    <t>ORD-01392</t>
  </si>
  <si>
    <t>ORD-01393</t>
  </si>
  <si>
    <t>ORD-01394</t>
  </si>
  <si>
    <t>25/07/2026</t>
  </si>
  <si>
    <t>ORD-01395</t>
  </si>
  <si>
    <t>ORD-01396</t>
  </si>
  <si>
    <t>ORD-01397</t>
  </si>
  <si>
    <t>ORD-01398</t>
  </si>
  <si>
    <t>ORD-01399</t>
  </si>
  <si>
    <t>ORD-01400</t>
  </si>
  <si>
    <t>ORD-01401</t>
  </si>
  <si>
    <t>2026-07-26</t>
  </si>
  <si>
    <t>ORD-01402</t>
  </si>
  <si>
    <t>14:11</t>
  </si>
  <si>
    <t>ORD-01403</t>
  </si>
  <si>
    <t>ORD-01404</t>
  </si>
  <si>
    <t>17:09</t>
  </si>
  <si>
    <t>ORD-01405</t>
  </si>
  <si>
    <t>ORD-01406</t>
  </si>
  <si>
    <t>ORD-01407</t>
  </si>
  <si>
    <t>2026-07-27</t>
  </si>
  <si>
    <t>12:51</t>
  </si>
  <si>
    <t>ORD-01408</t>
  </si>
  <si>
    <t>27-Jul-2026</t>
  </si>
  <si>
    <t>ORD-01409</t>
  </si>
  <si>
    <t>ORD-01410</t>
  </si>
  <si>
    <t>ORD-01411</t>
  </si>
  <si>
    <t>ORD-01412</t>
  </si>
  <si>
    <t>ORD-01413</t>
  </si>
  <si>
    <t>July 27 2026</t>
  </si>
  <si>
    <t>ORD-01447</t>
  </si>
  <si>
    <t>2026-07-31</t>
  </si>
  <si>
    <t>ORD-01415</t>
  </si>
  <si>
    <t>28-Jul-2026</t>
  </si>
  <si>
    <t>ORD-01416</t>
  </si>
  <si>
    <t>2026-07-28</t>
  </si>
  <si>
    <t>ORD-01417</t>
  </si>
  <si>
    <t>2026-07-29</t>
  </si>
  <si>
    <t>ORD-01418</t>
  </si>
  <si>
    <t>July 29 2026</t>
  </si>
  <si>
    <t xml:space="preserve">  Grills </t>
  </si>
  <si>
    <t>ORD-01419</t>
  </si>
  <si>
    <t>15:12</t>
  </si>
  <si>
    <t>ORD-01420</t>
  </si>
  <si>
    <t>ORD-01421</t>
  </si>
  <si>
    <t>19:30</t>
  </si>
  <si>
    <t>ORD-01422</t>
  </si>
  <si>
    <t>ORD-01423</t>
  </si>
  <si>
    <t>ORD-01424</t>
  </si>
  <si>
    <t>ORD-01425</t>
  </si>
  <si>
    <t>2026-07-30</t>
  </si>
  <si>
    <t>ORD-01426</t>
  </si>
  <si>
    <t>ORD-01427</t>
  </si>
  <si>
    <t>ORD-01428</t>
  </si>
  <si>
    <t>July 30 2026</t>
  </si>
  <si>
    <t>16:32</t>
  </si>
  <si>
    <t>ORD-01429</t>
  </si>
  <si>
    <t>ORD-01430</t>
  </si>
  <si>
    <t>ORD-01431</t>
  </si>
  <si>
    <t>ORD-01432</t>
  </si>
  <si>
    <t>11:04</t>
  </si>
  <si>
    <t>ORD-01433</t>
  </si>
  <si>
    <t>11:58</t>
  </si>
  <si>
    <t>ORD-01434</t>
  </si>
  <si>
    <t>12:14</t>
  </si>
  <si>
    <t>ORD-01435</t>
  </si>
  <si>
    <t>ORD-01436</t>
  </si>
  <si>
    <t>31/07/2026</t>
  </si>
  <si>
    <t>ORD-01437</t>
  </si>
  <si>
    <t>31-Jul-2026</t>
  </si>
  <si>
    <t>ORD-01438</t>
  </si>
  <si>
    <t>ORD-01439</t>
  </si>
  <si>
    <t>19:11</t>
  </si>
  <si>
    <t>ORD-01440</t>
  </si>
  <si>
    <t>ORD-01441</t>
  </si>
  <si>
    <t>ORD-01442</t>
  </si>
  <si>
    <t>4,500 IQD</t>
  </si>
  <si>
    <t>ORD-01443</t>
  </si>
  <si>
    <t>ORD-01444</t>
  </si>
  <si>
    <t>ORD-01445</t>
  </si>
  <si>
    <t>ORD-01446</t>
  </si>
  <si>
    <t>ORD-01414</t>
  </si>
  <si>
    <t>ORD-01448</t>
  </si>
  <si>
    <t>ORD-01449</t>
  </si>
  <si>
    <t>ORD-01450</t>
  </si>
  <si>
    <t>Hour</t>
  </si>
  <si>
    <t>weekday</t>
  </si>
  <si>
    <t>(ALL)</t>
  </si>
  <si>
    <t>Monthly Revenue by Channel</t>
  </si>
  <si>
    <t>Peak Hours Matrix by Day of Week</t>
  </si>
  <si>
    <t>ز</t>
  </si>
  <si>
    <t>.2</t>
  </si>
  <si>
    <t>.</t>
  </si>
  <si>
    <t>Sales Breakdown by Category</t>
  </si>
  <si>
    <t>Grand Total</t>
  </si>
  <si>
    <t>Sunday</t>
  </si>
  <si>
    <t>Monday</t>
  </si>
  <si>
    <t>Tuesday</t>
  </si>
  <si>
    <t>Wednesday</t>
  </si>
  <si>
    <t>Thursday</t>
  </si>
  <si>
    <t>Friday</t>
  </si>
  <si>
    <t>Saturday</t>
  </si>
  <si>
    <t>SUM o total_price</t>
  </si>
  <si>
    <t xml:space="preserve"> </t>
  </si>
  <si>
    <t>Average Customer Rating per Item</t>
  </si>
  <si>
    <t>Total Orders by Hour of Day</t>
  </si>
  <si>
    <t>Monthly Revenue Share by Payment Method</t>
  </si>
  <si>
    <t>Top 10 Best Selling Items</t>
  </si>
  <si>
    <t>AVERAGE rating</t>
  </si>
  <si>
    <t xml:space="preserve">hour </t>
  </si>
  <si>
    <t>COUNTA of order_id</t>
  </si>
  <si>
    <t>order_date - Month</t>
  </si>
  <si>
    <t>SUM of quantity</t>
  </si>
  <si>
    <t>SUM of total_price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</si>
  <si>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</si>
  <si>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</si>
  <si>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</si>
  <si>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</si>
  <si>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</si>
  <si>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</si>
  <si>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</si>
  <si>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</si>
  <si>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</si>
  <si>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</si>
  <si>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</si>
  <si>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</si>
  <si>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Log ID</t>
  </si>
  <si>
    <t xml:space="preserve"> Issue Identified_Column(s)</t>
  </si>
  <si>
    <t xml:space="preserve">Original Problem Description </t>
  </si>
  <si>
    <t xml:space="preserve">Action Taken_Formula </t>
  </si>
  <si>
    <t>Tool Used_Row Count</t>
  </si>
  <si>
    <t xml:space="preserve"> Impact</t>
  </si>
  <si>
    <t>Duplicate Records</t>
  </si>
  <si>
    <t>All Columns (A:Z)</t>
  </si>
  <si>
    <t>50 identical duplicate order rows causing inflated sales metrics and distorted counts.</t>
  </si>
  <si>
    <t>Highlighted duplicate primary keys using Conditional Formatting, reviewed for exact matches, and removed all 50 duplicate records to streamline the dataset to 1,450 unique orders..</t>
  </si>
  <si>
    <t>Tool Used: =COUNTIF(A:A, A1) &gt; 1 + Data Cleanup tool / Remove Duplicates</t>
  </si>
  <si>
    <t>50 rows removed (Reduced 1,500 to 1,450)</t>
  </si>
  <si>
    <t>Text Standardisation &amp; Typo Correction</t>
  </si>
  <si>
    <t>item_name, category, payment_method, server_name</t>
  </si>
  <si>
    <t>Inconsistent text casing (e.g., lowercase entries), inconsistent payment method tags (e.g., CASH vs cash), typos in server names, and trailing whitespace across product and transaction details.</t>
  </si>
  <si>
    <t>Extracted unique string lists to locate all variant spellings and casing errors, trimmed hidden spaces, standardized text to Proper Case, and replaced incorrect entries with unified standard terms.</t>
  </si>
  <si>
    <t xml:space="preserve"> =TRIM(), =PROPER(), =UNIQUE(), and Find &amp; Replace</t>
  </si>
  <si>
    <t>100+ rows cleaned and standardized across text columns</t>
  </si>
  <si>
    <t>Data Type &amp; Formatting Corrections</t>
  </si>
  <si>
    <t>order_date, unit_price, total_price</t>
  </si>
  <si>
    <t>Dates were formatted as raw numbers/general text, and monetary values lacked standard currency formatting and thousand separators.</t>
  </si>
  <si>
    <t>Converted text numbers in the date column to proper Date data types (YYYY-MM-DD) and applied financial number formatting (comma separators) to price columns for clean visual presentation and accurate mathematical operations.</t>
  </si>
  <si>
    <t>Format $\rightarrow$ Number $\rightarrow$ Date and Format $\rightarrow$ Number $\rightarrow$ Financial / Custom Currency</t>
  </si>
  <si>
    <t>1,450 clean rows</t>
  </si>
  <si>
    <t>Discount Logic &amp; Price Reconciliation</t>
  </si>
  <si>
    <t>discount_pct, total_price, unit_price</t>
  </si>
  <si>
    <t>Discrepancies where discounts were flagged but not applied to totals. Additionally, text currency symbols (IQD) inside cells blocked direct mathematical formula evaluation.</t>
  </si>
  <si>
    <t>Temporarily removed the text currency symbol IQD from price cells to enable numeric math operations. Used a temporary helper column with a filter to recalculate true net totals for the 204 discounted orders, pasted the calculated values into total_price, and finally reapplied IQD standard currency formatting across the column.</t>
  </si>
  <si>
    <t>unit_price * quantity * (1 - (discount_pct / 100))via Helper Column + Filter + Paste Values + Custom Currency Formatting</t>
  </si>
  <si>
    <t>204 discounted orders reconciled</t>
  </si>
  <si>
    <t>Missing Values &amp; Data Imputation</t>
  </si>
  <si>
    <t>category, unit_price, total_price, quantity</t>
  </si>
  <si>
    <t>Missing values across key transactional fields (category: 87, unit_price: 68, total_price: 65, quantity: 25) following duplicate removal.
Transformation / Action Taken: Imputed missing values to preserve record integrity. Cross-referenced item names against the master lookup tab (02_Menu_Lookup) to restore categories and base unit prices, while mathematically calculating missing total prices and quantities using dependent arithmetic formulas.</t>
  </si>
  <si>
    <t>Imputed missing values to preserve record integrity. Cross-referenced item names against the master lookup tab (02_Menu_Lookup) to restore categories and base unit prices, while mathematically calculating missing total prices and quantities using arithmetic formulas.</t>
  </si>
  <si>
    <t>IFERROR(VLOOKUP(A2, '02_Menu_Lookup'!A:C, 2, FALSE), unit_price * quantity)</t>
  </si>
  <si>
    <t>245 missing data points imputed across 1,450 records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</si>
</sst>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\ h:mm:ss"/>
    <numFmt numFmtId="179" formatCode="dd/mm/yyyy"/>
    <numFmt numFmtId="180" formatCode="h:mm:ss\ AM/PM"/>
  </numFmts>
  <fonts count="36">
    <font>
      <sz val="10"/>
      <color rgb="FF000000"/>
      <name val="Arial"/>
      <charset val="134"/>
      <scheme val="minor"/>
    </font>
    <font>
      <b/>
      <sz val="11"/>
      <color rgb="FFFFFFFF"/>
      <name val="Arial"/>
      <charset val="134"/>
      <scheme val="minor"/>
    </font>
    <font>
      <sz val="10"/>
      <color theme="1"/>
      <name val="Arial"/>
      <charset val="134"/>
      <scheme val="minor"/>
    </font>
    <font>
      <b/>
      <sz val="10"/>
      <color theme="1"/>
      <name val="Arial"/>
      <charset val="134"/>
      <scheme val="minor"/>
    </font>
    <font>
      <b/>
      <sz val="15"/>
      <color theme="1"/>
      <name val="Arial"/>
      <charset val="134"/>
      <scheme val="minor"/>
    </font>
    <font>
      <b/>
      <sz val="13"/>
      <color theme="1"/>
      <name val="Arial"/>
      <charset val="134"/>
      <scheme val="minor"/>
    </font>
    <font>
      <sz val="10"/>
      <color rgb="FFFFFFFF"/>
      <name val="Arial"/>
      <charset val="134"/>
      <scheme val="minor"/>
    </font>
    <font>
      <sz val="10"/>
      <color theme="0"/>
      <name val="Arial"/>
      <charset val="134"/>
      <scheme val="minor"/>
    </font>
    <font>
      <b/>
      <sz val="11"/>
      <color theme="1"/>
      <name val="Arial"/>
      <charset val="134"/>
      <scheme val="minor"/>
    </font>
    <font>
      <sz val="7"/>
      <color rgb="FFFFFFFF"/>
      <name val="Arial"/>
      <charset val="134"/>
      <scheme val="minor"/>
    </font>
    <font>
      <b/>
      <sz val="10"/>
      <color rgb="FFFFFFFF"/>
      <name val="Arial"/>
      <charset val="134"/>
    </font>
    <font>
      <sz val="10"/>
      <color theme="1"/>
      <name val="Arial"/>
      <charset val="134"/>
    </font>
    <font>
      <b/>
      <sz val="11"/>
      <color rgb="FFFFFFFF"/>
      <name val="Arial"/>
      <charset val="134"/>
    </font>
    <font>
      <sz val="11"/>
      <color theme="1"/>
      <name val="Arial"/>
      <charset val="134"/>
    </font>
    <font>
      <b/>
      <sz val="11"/>
      <color theme="1"/>
      <name val="Arial"/>
      <charset val="134"/>
    </font>
    <font>
      <sz val="11"/>
      <color theme="1"/>
      <name val="Calibri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0B5394"/>
        <bgColor rgb="FF0B5394"/>
      </patternFill>
    </fill>
    <fill>
      <patternFill patternType="solid">
        <fgColor rgb="FF073763"/>
        <bgColor rgb="FF073763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CDD9D4"/>
        <bgColor rgb="FFCDD9D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/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/>
      <bottom/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6" fillId="0" borderId="0" applyFont="0" applyFill="0" applyBorder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7" borderId="15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4" fillId="0" borderId="17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8" borderId="18" applyNumberFormat="0" applyAlignment="0" applyProtection="0">
      <alignment vertical="center"/>
    </xf>
    <xf numFmtId="0" fontId="26" fillId="9" borderId="19" applyNumberFormat="0" applyAlignment="0" applyProtection="0">
      <alignment vertical="center"/>
    </xf>
    <xf numFmtId="0" fontId="27" fillId="9" borderId="18" applyNumberFormat="0" applyAlignment="0" applyProtection="0">
      <alignment vertical="center"/>
    </xf>
    <xf numFmtId="0" fontId="28" fillId="10" borderId="20" applyNumberFormat="0" applyAlignment="0" applyProtection="0">
      <alignment vertical="center"/>
    </xf>
    <xf numFmtId="0" fontId="29" fillId="0" borderId="21" applyNumberFormat="0" applyFill="0" applyAlignment="0" applyProtection="0">
      <alignment vertical="center"/>
    </xf>
    <xf numFmtId="0" fontId="30" fillId="0" borderId="22" applyNumberFormat="0" applyFill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</cellStyleXfs>
  <cellXfs count="60">
    <xf numFmtId="0" fontId="0" fillId="0" borderId="0" xfId="0" applyFont="1" applyAlignment="1"/>
    <xf numFmtId="0" fontId="1" fillId="2" borderId="0" xfId="0" applyFont="1" applyFill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2" fillId="3" borderId="0" xfId="0" applyFont="1" applyFill="1"/>
    <xf numFmtId="0" fontId="0" fillId="0" borderId="1" xfId="0" applyFont="1" applyBorder="1" applyAlignment="1"/>
    <xf numFmtId="0" fontId="4" fillId="4" borderId="0" xfId="0" applyFont="1" applyFill="1" applyAlignment="1"/>
    <xf numFmtId="0" fontId="2" fillId="4" borderId="0" xfId="0" applyFont="1" applyFill="1"/>
    <xf numFmtId="0" fontId="5" fillId="4" borderId="0" xfId="0" applyFont="1" applyFill="1" applyAlignment="1"/>
    <xf numFmtId="0" fontId="0" fillId="0" borderId="2" xfId="0" applyFont="1" applyBorder="1" applyAlignment="1"/>
    <xf numFmtId="0" fontId="0" fillId="0" borderId="3" xfId="0" applyFont="1" applyBorder="1" applyAlignment="1"/>
    <xf numFmtId="0" fontId="0" fillId="0" borderId="4" xfId="0" applyFont="1" applyBorder="1" applyAlignment="1"/>
    <xf numFmtId="0" fontId="0" fillId="0" borderId="5" xfId="0" applyFont="1" applyBorder="1" applyAlignment="1"/>
    <xf numFmtId="0" fontId="0" fillId="0" borderId="6" xfId="0" applyFont="1" applyBorder="1" applyAlignment="1"/>
    <xf numFmtId="0" fontId="0" fillId="0" borderId="7" xfId="0" applyFont="1" applyBorder="1" applyAlignment="1"/>
    <xf numFmtId="0" fontId="6" fillId="2" borderId="0" xfId="0" applyFont="1" applyFill="1"/>
    <xf numFmtId="0" fontId="0" fillId="0" borderId="8" xfId="0" applyFont="1" applyBorder="1" applyAlignment="1"/>
    <xf numFmtId="0" fontId="0" fillId="0" borderId="9" xfId="0" applyFont="1" applyBorder="1" applyAlignment="1"/>
    <xf numFmtId="49" fontId="2" fillId="5" borderId="0" xfId="0" applyNumberFormat="1" applyFont="1" applyFill="1"/>
    <xf numFmtId="10" fontId="2" fillId="5" borderId="0" xfId="0" applyNumberFormat="1" applyFont="1" applyFill="1"/>
    <xf numFmtId="0" fontId="0" fillId="0" borderId="10" xfId="0" applyFont="1" applyBorder="1" applyAlignment="1"/>
    <xf numFmtId="0" fontId="0" fillId="0" borderId="10" xfId="0" applyFont="1" applyBorder="1" applyAlignment="1"/>
    <xf numFmtId="0" fontId="0" fillId="0" borderId="11" xfId="0" applyFont="1" applyBorder="1" applyAlignment="1"/>
    <xf numFmtId="0" fontId="7" fillId="2" borderId="0" xfId="0" applyFont="1" applyFill="1"/>
    <xf numFmtId="10" fontId="7" fillId="2" borderId="0" xfId="0" applyNumberFormat="1" applyFont="1" applyFill="1"/>
    <xf numFmtId="0" fontId="8" fillId="4" borderId="0" xfId="0" applyFont="1" applyFill="1" applyAlignment="1"/>
    <xf numFmtId="0" fontId="9" fillId="4" borderId="0" xfId="0" applyFont="1" applyFill="1"/>
    <xf numFmtId="0" fontId="6" fillId="4" borderId="0" xfId="0" applyFont="1" applyFill="1"/>
    <xf numFmtId="49" fontId="6" fillId="2" borderId="0" xfId="0" applyNumberFormat="1" applyFont="1" applyFill="1"/>
    <xf numFmtId="0" fontId="0" fillId="0" borderId="12" xfId="0" applyFont="1" applyBorder="1" applyAlignment="1"/>
    <xf numFmtId="178" fontId="2" fillId="5" borderId="0" xfId="0" applyNumberFormat="1" applyFont="1" applyFill="1"/>
    <xf numFmtId="0" fontId="0" fillId="0" borderId="13" xfId="0" applyFont="1" applyBorder="1" applyAlignment="1"/>
    <xf numFmtId="0" fontId="2" fillId="5" borderId="0" xfId="0" applyFont="1" applyFill="1"/>
    <xf numFmtId="10" fontId="6" fillId="2" borderId="0" xfId="0" applyNumberFormat="1" applyFont="1" applyFill="1"/>
    <xf numFmtId="0" fontId="0" fillId="0" borderId="14" xfId="0" applyFont="1" applyBorder="1" applyAlignment="1"/>
    <xf numFmtId="0" fontId="3" fillId="4" borderId="0" xfId="0" applyFont="1" applyFill="1" applyAlignment="1"/>
    <xf numFmtId="0" fontId="10" fillId="2" borderId="0" xfId="0" applyFont="1" applyFill="1" applyAlignment="1">
      <alignment horizontal="center"/>
    </xf>
    <xf numFmtId="0" fontId="11" fillId="0" borderId="0" xfId="0" applyFont="1"/>
    <xf numFmtId="0" fontId="11" fillId="6" borderId="0" xfId="0" applyFont="1" applyFill="1"/>
    <xf numFmtId="0" fontId="12" fillId="0" borderId="0" xfId="0" applyFont="1" applyAlignment="1">
      <alignment horizontal="center"/>
    </xf>
    <xf numFmtId="179" fontId="12" fillId="0" borderId="0" xfId="0" applyNumberFormat="1" applyFont="1" applyAlignment="1">
      <alignment horizontal="center"/>
    </xf>
    <xf numFmtId="180" fontId="12" fillId="0" borderId="0" xfId="0" applyNumberFormat="1" applyFont="1" applyAlignment="1">
      <alignment horizontal="center"/>
    </xf>
    <xf numFmtId="3" fontId="12" fillId="0" borderId="0" xfId="0" applyNumberFormat="1" applyFont="1" applyAlignment="1">
      <alignment horizontal="center"/>
    </xf>
    <xf numFmtId="49" fontId="13" fillId="0" borderId="0" xfId="0" applyNumberFormat="1" applyFont="1"/>
    <xf numFmtId="179" fontId="13" fillId="0" borderId="0" xfId="0" applyNumberFormat="1" applyFont="1" applyAlignment="1">
      <alignment horizontal="center"/>
    </xf>
    <xf numFmtId="180" fontId="13" fillId="0" borderId="0" xfId="0" applyNumberFormat="1" applyFont="1"/>
    <xf numFmtId="0" fontId="13" fillId="0" borderId="0" xfId="0" applyFont="1" applyAlignment="1"/>
    <xf numFmtId="49" fontId="13" fillId="0" borderId="0" xfId="0" applyNumberFormat="1" applyFont="1" applyAlignment="1"/>
    <xf numFmtId="0" fontId="13" fillId="0" borderId="0" xfId="0" applyFont="1"/>
    <xf numFmtId="3" fontId="13" fillId="0" borderId="0" xfId="0" applyNumberFormat="1" applyFont="1"/>
    <xf numFmtId="3" fontId="13" fillId="0" borderId="0" xfId="0" applyNumberFormat="1" applyFont="1" applyAlignment="1"/>
    <xf numFmtId="9" fontId="13" fillId="0" borderId="0" xfId="0" applyNumberFormat="1" applyFont="1" applyAlignment="1"/>
    <xf numFmtId="180" fontId="13" fillId="0" borderId="0" xfId="0" applyNumberFormat="1" applyFont="1" applyAlignment="1"/>
    <xf numFmtId="179" fontId="2" fillId="0" borderId="0" xfId="0" applyNumberFormat="1" applyFont="1" applyAlignment="1">
      <alignment horizontal="center"/>
    </xf>
    <xf numFmtId="180" fontId="2" fillId="0" borderId="0" xfId="0" applyNumberFormat="1" applyFont="1"/>
    <xf numFmtId="0" fontId="2" fillId="0" borderId="0" xfId="0" applyFont="1"/>
    <xf numFmtId="3" fontId="2" fillId="0" borderId="0" xfId="0" applyNumberFormat="1" applyFont="1"/>
    <xf numFmtId="179" fontId="2" fillId="0" borderId="0" xfId="0" applyNumberFormat="1" applyFont="1"/>
    <xf numFmtId="0" fontId="14" fillId="0" borderId="0" xfId="0" applyFont="1" applyAlignment="1">
      <alignment horizontal="center"/>
    </xf>
    <xf numFmtId="49" fontId="15" fillId="0" borderId="0" xfId="0" applyNumberFormat="1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9"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color rgb="FF000000"/>
      </font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0B5394"/>
          <bgColor rgb="FF0B5394"/>
        </patternFill>
      </fill>
    </dxf>
  </dxfs>
  <tableStyles count="1">
    <tableStyle name="01-clean-style" pivot="0" count="3" xr9:uid="{3FDA49A9-F31A-4CB2-A5B2-60A3CA4F0325}">
      <tableStyleElement type="headerRow" dxfId="18"/>
      <tableStyleElement type="firstRowStripe" dxfId="17"/>
      <tableStyleElement type="secondRowStripe" dxfId="1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pivotCacheDefinition" Target="pivotCache/pivotCacheDefinition2.xml"/><Relationship Id="rId7" Type="http://schemas.openxmlformats.org/officeDocument/2006/relationships/pivotCacheDefinition" Target="pivotCache/pivotCacheDefinition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800" b="1" i="0" u="none" strike="noStrike" kern="1200" baseline="0">
                <a:solidFill>
                  <a:schemeClr val="dk1"/>
                </a:solidFill>
                <a:latin typeface="Georgia" panose="02040502050405020303"/>
                <a:ea typeface="+mn-ea"/>
                <a:cs typeface="+mn-cs"/>
              </a:defRPr>
            </a:pPr>
            <a:r>
              <a:rPr b="1">
                <a:solidFill>
                  <a:schemeClr val="dk1"/>
                </a:solidFill>
                <a:latin typeface="Georgia" panose="02040502050405020303"/>
              </a:rPr>
              <a:t>Monthly Revenue by Channel</a:t>
            </a:r>
            <a:endParaRPr b="1">
              <a:solidFill>
                <a:schemeClr val="dk1"/>
              </a:solidFill>
              <a:latin typeface="Georgia" panose="02040502050405020303"/>
            </a:endParaRPr>
          </a:p>
        </c:rich>
      </c:tx>
      <c:layout/>
      <c:overlay val="0"/>
    </c:title>
    <c:autoTitleDeleted val="0"/>
    <c:plotArea>
      <c:layout/>
      <c:lineChart>
        <c:grouping val="none"/>
        <c:varyColors val="0"/>
        <c:ser>
          <c:idx val="0"/>
          <c:order val="0"/>
          <c:tx>
            <c:strRef>
              <c:f>'03-ِAnalysis'!$B$2:$B$4</c:f>
              <c:strCache>
                <c:ptCount val="1"/>
                <c:pt idx="0">
                  <c:v>Monthly Revenue by Channel ز Delivery</c:v>
                </c:pt>
              </c:strCache>
            </c:strRef>
          </c:tx>
          <c:spPr>
            <a:ln w="19050" cap="rnd" cmpd="sng" algn="ctr">
              <a:solidFill>
                <a:srgbClr val="4285F4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'03-ِAnalysis'!$A$5:$A$16</c:f>
              <c:strCache>
                <c:ptCount val="12"/>
                <c:pt idx="0">
                  <c:v> </c:v>
                </c:pt>
              </c:strCache>
            </c:strRef>
          </c:cat>
          <c:val>
            <c:numRef>
              <c:f>'03-ِAnalysis'!$B$5:$B$16</c:f>
              <c:numCache>
                <c:formatCode>General</c:formatCode>
                <c:ptCount val="12"/>
                <c:pt idx="0">
                  <c:v>4162330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'03-ِAnalysis'!$C$2:$C$4</c:f>
              <c:strCache>
                <c:ptCount val="1"/>
                <c:pt idx="0">
                  <c:v>Monthly Revenue by Channel ز Dine-in</c:v>
                </c:pt>
              </c:strCache>
            </c:strRef>
          </c:tx>
          <c:spPr>
            <a:ln w="19050" cap="rnd" cmpd="sng" algn="ctr">
              <a:solidFill>
                <a:srgbClr val="EA4335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'03-ِAnalysis'!$A$5:$A$16</c:f>
              <c:strCache>
                <c:ptCount val="12"/>
                <c:pt idx="0">
                  <c:v> </c:v>
                </c:pt>
              </c:strCache>
            </c:strRef>
          </c:cat>
          <c:val>
            <c:numRef>
              <c:f>'03-ِAnalysis'!$C$5:$C$16</c:f>
              <c:numCache>
                <c:formatCode>General</c:formatCode>
                <c:ptCount val="12"/>
                <c:pt idx="0">
                  <c:v>6971020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'03-ِAnalysis'!$D$2:$D$4</c:f>
              <c:strCache>
                <c:ptCount val="1"/>
                <c:pt idx="0">
                  <c:v>Monthly Revenue by Channel ز Takeaway</c:v>
                </c:pt>
              </c:strCache>
            </c:strRef>
          </c:tx>
          <c:spPr>
            <a:ln w="19050" cap="rnd" cmpd="sng" algn="ctr">
              <a:solidFill>
                <a:srgbClr val="FBBC04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'03-ِAnalysis'!$A$5:$A$16</c:f>
              <c:strCache>
                <c:ptCount val="12"/>
                <c:pt idx="0">
                  <c:v> </c:v>
                </c:pt>
              </c:strCache>
            </c:strRef>
          </c:cat>
          <c:val>
            <c:numRef>
              <c:f>'03-ِAnalysis'!$D$5:$D$16</c:f>
              <c:numCache>
                <c:formatCode>General</c:formatCode>
                <c:ptCount val="12"/>
                <c:pt idx="0">
                  <c:v>2849025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085208988"/>
        <c:axId val="475990926"/>
      </c:lineChart>
      <c:catAx>
        <c:axId val="108520898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lvl="0">
                  <a:defRPr lang="en-US" sz="1000" b="1" i="0" u="none" strike="noStrike" kern="1200" baseline="0">
                    <a:solidFill>
                      <a:schemeClr val="dk1"/>
                    </a:solidFill>
                    <a:latin typeface="serif"/>
                    <a:ea typeface="+mn-ea"/>
                    <a:cs typeface="+mn-cs"/>
                  </a:defRPr>
                </a:pPr>
                <a:r>
                  <a:rPr b="1" i="0">
                    <a:solidFill>
                      <a:schemeClr val="dk1"/>
                    </a:solidFill>
                    <a:latin typeface="serif"/>
                  </a:rPr>
                  <a:t>Month</a:t>
                </a:r>
                <a:endParaRPr b="1" i="0">
                  <a:solidFill>
                    <a:schemeClr val="dk1"/>
                  </a:solidFill>
                  <a:latin typeface="serif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475990926"/>
        <c:crosses val="autoZero"/>
        <c:auto val="1"/>
        <c:lblAlgn val="ctr"/>
        <c:lblOffset val="100"/>
        <c:noMultiLvlLbl val="0"/>
      </c:catAx>
      <c:valAx>
        <c:axId val="475990926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</c:spPr>
        </c:minorGridlines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085208988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33ea7cb-51cf-4217-bee1-ba4333a5a157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800" b="1" i="0" u="none" strike="noStrike" kern="1200" baseline="0">
                <a:solidFill>
                  <a:srgbClr val="0C343D"/>
                </a:solidFill>
                <a:latin typeface="Georgia" panose="02040502050405020303"/>
                <a:ea typeface="+mn-ea"/>
                <a:cs typeface="+mn-cs"/>
              </a:defRPr>
            </a:pPr>
            <a:r>
              <a:rPr b="1">
                <a:solidFill>
                  <a:srgbClr val="0C343D"/>
                </a:solidFill>
                <a:latin typeface="Georgia" panose="02040502050405020303"/>
              </a:rPr>
              <a:t>Total Orders by Hour of Day</a:t>
            </a:r>
            <a:endParaRPr b="1">
              <a:solidFill>
                <a:srgbClr val="0C343D"/>
              </a:solidFill>
              <a:latin typeface="Georgia" panose="02040502050405020303"/>
            </a:endParaRPr>
          </a:p>
        </c:rich>
      </c:tx>
      <c:layout/>
      <c:overlay val="0"/>
    </c:title>
    <c:autoTitleDeleted val="0"/>
    <c:plotArea>
      <c:layout/>
      <c:barChart>
        <c:barDir val="bar"/>
        <c:grouping val="none"/>
        <c:varyColors val="0"/>
        <c:ser>
          <c:idx val="0"/>
          <c:order val="0"/>
          <c:tx>
            <c:strRef>
              <c:f>'03-ِAnalysis'!$E$23</c:f>
              <c:strCache>
                <c:ptCount val="1"/>
                <c:pt idx="0">
                  <c:v>COUNTA of order_id</c:v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'03-ِAnalysis'!$D$24:$D$35</c:f>
              <c:numCache>
                <c:formatCode>General</c:formatCode>
                <c:ptCount val="12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  <c:pt idx="10">
                  <c:v>21</c:v>
                </c:pt>
                <c:pt idx="11">
                  <c:v>22</c:v>
                </c:pt>
              </c:numCache>
            </c:numRef>
          </c:cat>
          <c:val>
            <c:numRef>
              <c:f>'03-ِAnalysis'!$E$24:$E$35</c:f>
              <c:numCache>
                <c:formatCode>General</c:formatCode>
                <c:ptCount val="12"/>
                <c:pt idx="0">
                  <c:v>16</c:v>
                </c:pt>
                <c:pt idx="1">
                  <c:v>59</c:v>
                </c:pt>
                <c:pt idx="2">
                  <c:v>97</c:v>
                </c:pt>
                <c:pt idx="3">
                  <c:v>93</c:v>
                </c:pt>
                <c:pt idx="4">
                  <c:v>53</c:v>
                </c:pt>
                <c:pt idx="5">
                  <c:v>34</c:v>
                </c:pt>
                <c:pt idx="6">
                  <c:v>41</c:v>
                </c:pt>
                <c:pt idx="7">
                  <c:v>67</c:v>
                </c:pt>
                <c:pt idx="8">
                  <c:v>179</c:v>
                </c:pt>
                <c:pt idx="9">
                  <c:v>267</c:v>
                </c:pt>
                <c:pt idx="10">
                  <c:v>266</c:v>
                </c:pt>
                <c:pt idx="11">
                  <c:v>197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637852971"/>
        <c:axId val="926929078"/>
      </c:barChart>
      <c:catAx>
        <c:axId val="1637852971"/>
        <c:scaling>
          <c:orientation val="maxMin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lvl="0">
                  <a:defRPr lang="en-US" sz="1000" b="0" i="0" u="none" strike="noStrike" kern="1200" baseline="0">
                    <a:solidFill>
                      <a:srgbClr val="000000"/>
                    </a:solidFill>
                    <a:latin typeface="serif"/>
                    <a:ea typeface="+mn-ea"/>
                    <a:cs typeface="+mn-cs"/>
                  </a:defRPr>
                </a:pPr>
                <a:r>
                  <a:rPr b="0">
                    <a:solidFill>
                      <a:srgbClr val="000000"/>
                    </a:solidFill>
                    <a:latin typeface="serif"/>
                  </a:rPr>
                  <a:t>hour </a:t>
                </a:r>
                <a:endParaRPr b="0">
                  <a:solidFill>
                    <a:srgbClr val="000000"/>
                  </a:solidFill>
                  <a:latin typeface="serif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926929078"/>
        <c:crosses val="autoZero"/>
        <c:auto val="1"/>
        <c:lblAlgn val="ctr"/>
        <c:lblOffset val="100"/>
        <c:noMultiLvlLbl val="0"/>
      </c:catAx>
      <c:valAx>
        <c:axId val="926929078"/>
        <c:scaling>
          <c:orientation val="minMax"/>
        </c:scaling>
        <c:delete val="0"/>
        <c:axPos val="b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</c:spPr>
        </c:minorGridlines>
        <c:title>
          <c:tx>
            <c:rich>
              <a:bodyPr rot="0" spcFirstLastPara="0" vertOverflow="ellipsis" vert="horz" wrap="square" anchor="ctr" anchorCtr="1"/>
              <a:lstStyle/>
              <a:p>
                <a:pPr lvl="0">
                  <a:defRPr lang="en-US" sz="1000" b="1" i="0" u="none" strike="noStrike" kern="1200" baseline="0">
                    <a:solidFill>
                      <a:schemeClr val="dk1"/>
                    </a:solidFill>
                    <a:latin typeface="serif"/>
                    <a:ea typeface="+mn-ea"/>
                    <a:cs typeface="+mn-cs"/>
                  </a:defRPr>
                </a:pPr>
                <a:r>
                  <a:rPr b="1">
                    <a:solidFill>
                      <a:schemeClr val="dk1"/>
                    </a:solidFill>
                    <a:latin typeface="serif"/>
                  </a:rPr>
                  <a:t>Total Orders</a:t>
                </a:r>
                <a:endParaRPr b="1">
                  <a:solidFill>
                    <a:schemeClr val="dk1"/>
                  </a:solidFill>
                  <a:latin typeface="serif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637852971"/>
        <c:crosses val="max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1919ed0-15bd-4297-b20f-66bfc82b119c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800" b="1" i="0" u="none" strike="noStrike" kern="1200" baseline="0">
                <a:solidFill>
                  <a:schemeClr val="dk1"/>
                </a:solidFill>
                <a:latin typeface="serif"/>
                <a:ea typeface="+mn-ea"/>
                <a:cs typeface="+mn-cs"/>
              </a:defRPr>
            </a:pPr>
            <a:r>
              <a:rPr b="1">
                <a:solidFill>
                  <a:schemeClr val="dk1"/>
                </a:solidFill>
                <a:latin typeface="serif"/>
              </a:rPr>
              <a:t>Top 10 Best Selling Items</a:t>
            </a:r>
            <a:endParaRPr b="1">
              <a:solidFill>
                <a:schemeClr val="dk1"/>
              </a:solidFill>
              <a:latin typeface="serif"/>
            </a:endParaRPr>
          </a:p>
        </c:rich>
      </c:tx>
      <c:layout/>
      <c:overlay val="0"/>
    </c:title>
    <c:autoTitleDeleted val="0"/>
    <c:plotArea>
      <c:layout/>
      <c:barChart>
        <c:barDir val="bar"/>
        <c:grouping val="none"/>
        <c:varyColors val="0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'03-ِAnalysis'!$L$24:$L$33</c:f>
              <c:strCache>
                <c:ptCount val="10"/>
                <c:pt idx="0">
                  <c:v>item_name</c:v>
                </c:pt>
                <c:pt idx="1">
                  <c:v>Baklava</c:v>
                </c:pt>
                <c:pt idx="2">
                  <c:v>Chicken Sandwich</c:v>
                </c:pt>
                <c:pt idx="3">
                  <c:v>Chicken Tikka</c:v>
                </c:pt>
                <c:pt idx="4">
                  <c:v>Falafel Sandwich</c:v>
                </c:pt>
                <c:pt idx="5">
                  <c:v>Fattoush Salad</c:v>
                </c:pt>
                <c:pt idx="6">
                  <c:v>Fresh Lemon Mint</c:v>
                </c:pt>
                <c:pt idx="7">
                  <c:v>Hummus</c:v>
                </c:pt>
                <c:pt idx="8">
                  <c:v>Kunafa</c:v>
                </c:pt>
                <c:pt idx="9">
                  <c:v>Lamb Kebab</c:v>
                </c:pt>
              </c:strCache>
            </c:strRef>
          </c:cat>
          <c:val>
            <c:numRef>
              <c:f>'03-ِAnalysis'!$M$24:$M$33</c:f>
              <c:numCache>
                <c:formatCode>General</c:formatCode>
                <c:ptCount val="10"/>
                <c:pt idx="0">
                  <c:v>0</c:v>
                </c:pt>
                <c:pt idx="1">
                  <c:v>45</c:v>
                </c:pt>
                <c:pt idx="2">
                  <c:v>164</c:v>
                </c:pt>
                <c:pt idx="3">
                  <c:v>122</c:v>
                </c:pt>
                <c:pt idx="4">
                  <c:v>147</c:v>
                </c:pt>
                <c:pt idx="5">
                  <c:v>75</c:v>
                </c:pt>
                <c:pt idx="6">
                  <c:v>43</c:v>
                </c:pt>
                <c:pt idx="7">
                  <c:v>116</c:v>
                </c:pt>
                <c:pt idx="8">
                  <c:v>78</c:v>
                </c:pt>
                <c:pt idx="9">
                  <c:v>108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820519595"/>
        <c:axId val="1840024497"/>
      </c:barChart>
      <c:catAx>
        <c:axId val="1820519595"/>
        <c:scaling>
          <c:orientation val="maxMin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lvl="0">
                  <a:defRPr lang="en-US" sz="1000" b="1" i="0" u="none" strike="noStrike" kern="1200" baseline="0">
                    <a:solidFill>
                      <a:srgbClr val="000000"/>
                    </a:solidFill>
                    <a:latin typeface="serif"/>
                    <a:ea typeface="+mn-ea"/>
                    <a:cs typeface="+mn-cs"/>
                  </a:defRPr>
                </a:pPr>
                <a:r>
                  <a:rPr b="1">
                    <a:solidFill>
                      <a:srgbClr val="000000"/>
                    </a:solidFill>
                    <a:latin typeface="serif"/>
                  </a:rPr>
                  <a:t>Items</a:t>
                </a:r>
                <a:endParaRPr b="1">
                  <a:solidFill>
                    <a:srgbClr val="000000"/>
                  </a:solidFill>
                  <a:latin typeface="serif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840024497"/>
        <c:crosses val="autoZero"/>
        <c:auto val="1"/>
        <c:lblAlgn val="ctr"/>
        <c:lblOffset val="100"/>
        <c:noMultiLvlLbl val="0"/>
      </c:catAx>
      <c:valAx>
        <c:axId val="1840024497"/>
        <c:scaling>
          <c:orientation val="minMax"/>
        </c:scaling>
        <c:delete val="0"/>
        <c:axPos val="b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</c:spPr>
        </c:minorGridlines>
        <c:title>
          <c:tx>
            <c:rich>
              <a:bodyPr rot="0" spcFirstLastPara="0" vertOverflow="ellipsis" vert="horz" wrap="square" anchor="ctr" anchorCtr="1"/>
              <a:lstStyle/>
              <a:p>
                <a:pPr lvl="0">
                  <a:defRPr lang="en-US" sz="1000" b="1" i="0" u="none" strike="noStrike" kern="1200" baseline="0">
                    <a:solidFill>
                      <a:srgbClr val="000000"/>
                    </a:solidFill>
                    <a:latin typeface="serif"/>
                    <a:ea typeface="+mn-ea"/>
                    <a:cs typeface="+mn-cs"/>
                  </a:defRPr>
                </a:pPr>
                <a:r>
                  <a:rPr b="1">
                    <a:solidFill>
                      <a:srgbClr val="000000"/>
                    </a:solidFill>
                    <a:latin typeface="serif"/>
                  </a:rPr>
                  <a:t>Quantity</a:t>
                </a:r>
                <a:endParaRPr b="1">
                  <a:solidFill>
                    <a:srgbClr val="000000"/>
                  </a:solidFill>
                  <a:latin typeface="serif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solidFill>
              <a:srgbClr val="FFFFFF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820519595"/>
        <c:crosses val="max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97b4da7-6a22-4a71-a793-a9a2506f50a2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800" b="1" i="0" u="none" strike="noStrike" kern="1200" baseline="0">
                <a:solidFill>
                  <a:schemeClr val="dk1"/>
                </a:solidFill>
                <a:latin typeface="serif"/>
                <a:ea typeface="+mn-ea"/>
                <a:cs typeface="+mn-cs"/>
              </a:defRPr>
            </a:pPr>
            <a:r>
              <a:rPr b="1">
                <a:solidFill>
                  <a:schemeClr val="dk1"/>
                </a:solidFill>
                <a:latin typeface="serif"/>
              </a:rPr>
              <a:t>Sales Breakdown by Category</a:t>
            </a:r>
            <a:endParaRPr b="1">
              <a:solidFill>
                <a:schemeClr val="dk1"/>
              </a:solidFill>
              <a:latin typeface="serif"/>
            </a:endParaRP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'03-ِAnalysis'!$R$3:$R$4</c:f>
              <c:strCache>
                <c:ptCount val="1"/>
                <c:pt idx="0">
                  <c:v>Sales Breakdown by Category SUM o total_price</c:v>
                </c:pt>
              </c:strCache>
            </c:strRef>
          </c:tx>
          <c:explosion val="0"/>
          <c:dPt>
            <c:idx val="0"/>
            <c:bubble3D val="0"/>
            <c:spPr>
              <a:solidFill>
                <a:srgbClr val="4285F4"/>
              </a:solidFill>
            </c:spPr>
          </c:dPt>
          <c:dPt>
            <c:idx val="1"/>
            <c:bubble3D val="0"/>
            <c:spPr>
              <a:solidFill>
                <a:srgbClr val="EA4335"/>
              </a:solidFill>
            </c:spPr>
          </c:dPt>
          <c:dPt>
            <c:idx val="2"/>
            <c:bubble3D val="0"/>
            <c:spPr>
              <a:solidFill>
                <a:srgbClr val="FBBC04"/>
              </a:solidFill>
            </c:spPr>
          </c:dPt>
          <c:dPt>
            <c:idx val="3"/>
            <c:bubble3D val="0"/>
            <c:spPr>
              <a:solidFill>
                <a:srgbClr val="34A853"/>
              </a:solidFill>
            </c:spPr>
          </c:dPt>
          <c:dPt>
            <c:idx val="4"/>
            <c:bubble3D val="0"/>
            <c:spPr>
              <a:solidFill>
                <a:srgbClr val="FF6D01"/>
              </a:solidFill>
            </c:spPr>
          </c:dPt>
          <c:dLbls>
            <c:delete val="1"/>
          </c:dLbls>
          <c:cat>
            <c:strRef>
              <c:f>'03-ِAnalysis'!$Q$5:$Q$9</c:f>
              <c:strCache>
                <c:ptCount val="5"/>
                <c:pt idx="0" c:formatCode="@">
                  <c:v>Appetizers</c:v>
                </c:pt>
                <c:pt idx="1" c:formatCode="@">
                  <c:v>Beverages</c:v>
                </c:pt>
                <c:pt idx="2" c:formatCode="@">
                  <c:v>Desserts</c:v>
                </c:pt>
                <c:pt idx="3" c:formatCode="@">
                  <c:v>Grills</c:v>
                </c:pt>
                <c:pt idx="4" c:formatCode="@">
                  <c:v>Sandwiches</c:v>
                </c:pt>
              </c:strCache>
            </c:strRef>
          </c:cat>
          <c:val>
            <c:numRef>
              <c:f>'03-ِAnalysis'!$R$5:$R$9</c:f>
              <c:numCache>
                <c:formatCode>0.00%</c:formatCode>
                <c:ptCount val="5"/>
                <c:pt idx="0">
                  <c:v>0.0689020999651347</c:v>
                </c:pt>
                <c:pt idx="1">
                  <c:v>0.0545021857874646</c:v>
                </c:pt>
                <c:pt idx="2">
                  <c:v>0.0573579238148026</c:v>
                </c:pt>
                <c:pt idx="3">
                  <c:v>0.641730035133516</c:v>
                </c:pt>
                <c:pt idx="4">
                  <c:v>0.177507755299082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0ecb1e2-12cc-4855-b1c2-d89b6985c9a4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800" b="1" i="0" u="none" strike="noStrike" kern="1200" baseline="0">
                <a:solidFill>
                  <a:schemeClr val="dk1"/>
                </a:solidFill>
                <a:latin typeface="serif"/>
                <a:ea typeface="+mn-ea"/>
                <a:cs typeface="+mn-cs"/>
              </a:defRPr>
            </a:pPr>
            <a:r>
              <a:rPr b="1">
                <a:solidFill>
                  <a:schemeClr val="dk1"/>
                </a:solidFill>
                <a:latin typeface="serif"/>
              </a:rPr>
              <a:t>Average Customer Rating by Item</a:t>
            </a:r>
            <a:endParaRPr b="1">
              <a:solidFill>
                <a:schemeClr val="dk1"/>
              </a:solidFill>
              <a:latin typeface="serif"/>
            </a:endParaRPr>
          </a:p>
        </c:rich>
      </c:tx>
      <c:layout>
        <c:manualLayout>
          <c:xMode val="edge"/>
          <c:yMode val="edge"/>
          <c:x val="0.0275833333333333"/>
          <c:y val="0.0553908355795148"/>
        </c:manualLayout>
      </c:layout>
      <c:overlay val="0"/>
    </c:title>
    <c:autoTitleDeleted val="0"/>
    <c:plotArea>
      <c:layout/>
      <c:barChart>
        <c:barDir val="bar"/>
        <c:grouping val="none"/>
        <c:varyColors val="0"/>
        <c:ser>
          <c:idx val="0"/>
          <c:order val="0"/>
          <c:tx>
            <c:strRef>
              <c:f>'03-ِAnalysis'!$B$22:$B$23</c:f>
              <c:strCache>
                <c:ptCount val="1"/>
                <c:pt idx="0">
                  <c:v>Average Customer Rating per Item AVERAGE rating</c:v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'03-ِAnalysis'!$A$24:$A$38</c:f>
              <c:strCache>
                <c:ptCount val="15"/>
                <c:pt idx="0">
                  <c:v>Baklava</c:v>
                </c:pt>
                <c:pt idx="1">
                  <c:v>Chicken Sandwich</c:v>
                </c:pt>
                <c:pt idx="2">
                  <c:v>Chicken Tikka</c:v>
                </c:pt>
                <c:pt idx="3">
                  <c:v>Falafel Sandwich</c:v>
                </c:pt>
                <c:pt idx="4">
                  <c:v>Fattoush Salad</c:v>
                </c:pt>
                <c:pt idx="5">
                  <c:v>Fresh Lemon Mint</c:v>
                </c:pt>
                <c:pt idx="6">
                  <c:v>Hummus</c:v>
                </c:pt>
                <c:pt idx="7">
                  <c:v>Kunafa</c:v>
                </c:pt>
                <c:pt idx="8">
                  <c:v>Lamb Kebab</c:v>
                </c:pt>
                <c:pt idx="9">
                  <c:v>Mixed Grill Platter</c:v>
                </c:pt>
                <c:pt idx="10">
                  <c:v>Mutabbal</c:v>
                </c:pt>
                <c:pt idx="11">
                  <c:v>Shawarma Sandwich</c:v>
                </c:pt>
                <c:pt idx="12">
                  <c:v>Shish Tawook</c:v>
                </c:pt>
                <c:pt idx="13">
                  <c:v>Soft Drink</c:v>
                </c:pt>
                <c:pt idx="14">
                  <c:v>Tea</c:v>
                </c:pt>
              </c:strCache>
            </c:strRef>
          </c:cat>
          <c:val>
            <c:numRef>
              <c:f>'03-ِAnalysis'!$B$24:$B$38</c:f>
              <c:numCache>
                <c:formatCode>General</c:formatCode>
                <c:ptCount val="15"/>
                <c:pt idx="0">
                  <c:v>3.8</c:v>
                </c:pt>
                <c:pt idx="1">
                  <c:v>4.04</c:v>
                </c:pt>
                <c:pt idx="2">
                  <c:v>4.05714285714286</c:v>
                </c:pt>
                <c:pt idx="3">
                  <c:v>3.75</c:v>
                </c:pt>
                <c:pt idx="4">
                  <c:v>3.89473684210526</c:v>
                </c:pt>
                <c:pt idx="5">
                  <c:v>4.58333333333333</c:v>
                </c:pt>
                <c:pt idx="6">
                  <c:v>4.1219512195122</c:v>
                </c:pt>
                <c:pt idx="7">
                  <c:v>4.21739130434783</c:v>
                </c:pt>
                <c:pt idx="8">
                  <c:v>4.15625</c:v>
                </c:pt>
                <c:pt idx="9">
                  <c:v>4.34285714285714</c:v>
                </c:pt>
                <c:pt idx="10">
                  <c:v>2.5</c:v>
                </c:pt>
                <c:pt idx="11">
                  <c:v>4.21311475409836</c:v>
                </c:pt>
                <c:pt idx="12">
                  <c:v>4.26470588235294</c:v>
                </c:pt>
                <c:pt idx="13">
                  <c:v>3.7972972972973</c:v>
                </c:pt>
                <c:pt idx="14">
                  <c:v>3.95384615384615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95905624"/>
        <c:axId val="1356100856"/>
      </c:barChart>
      <c:catAx>
        <c:axId val="295905624"/>
        <c:scaling>
          <c:orientation val="maxMin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lvl="0">
                  <a:defRPr lang="en-US" sz="10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>
                    <a:solidFill>
                      <a:schemeClr val="dk1"/>
                    </a:solidFill>
                    <a:latin typeface="+mn-lt"/>
                  </a:rPr>
                  <a:t>item_name</a:t>
                </a:r>
                <a:endParaRPr b="1">
                  <a:solidFill>
                    <a:schemeClr val="dk1"/>
                  </a:solidFill>
                  <a:latin typeface="+mn-lt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356100856"/>
        <c:crosses val="autoZero"/>
        <c:auto val="1"/>
        <c:lblAlgn val="ctr"/>
        <c:lblOffset val="100"/>
        <c:noMultiLvlLbl val="0"/>
      </c:catAx>
      <c:valAx>
        <c:axId val="1356100856"/>
        <c:scaling>
          <c:orientation val="minMax"/>
        </c:scaling>
        <c:delete val="0"/>
        <c:axPos val="b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</c:spPr>
        </c:minorGridlines>
        <c:title>
          <c:tx>
            <c:rich>
              <a:bodyPr rot="0" spcFirstLastPara="0" vertOverflow="ellipsis" vert="horz" wrap="square" anchor="ctr" anchorCtr="1"/>
              <a:lstStyle/>
              <a:p>
                <a:pPr lvl="0">
                  <a:defRPr lang="en-US" sz="10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Average Rating</a:t>
                </a:r>
                <a:endParaRPr b="1">
                  <a:solidFill>
                    <a:srgbClr val="000000"/>
                  </a:solidFill>
                  <a:latin typeface="+mn-lt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solidFill>
              <a:srgbClr val="FFFFFF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295905624"/>
        <c:crosses val="max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6756ce9-9dfe-4118-bfdb-20b3a6790cb1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104775</xdr:colOff>
      <xdr:row>0</xdr:row>
      <xdr:rowOff>66675</xdr:rowOff>
    </xdr:from>
    <xdr:ext cx="5981700" cy="3533775"/>
    <xdr:graphicFrame>
      <xdr:nvGraphicFramePr>
        <xdr:cNvPr id="2" name="Chart 1" title="Chart"/>
        <xdr:cNvGraphicFramePr/>
      </xdr:nvGraphicFramePr>
      <xdr:xfrm>
        <a:off x="104775" y="66675"/>
        <a:ext cx="5981700" cy="35337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6</xdr:col>
      <xdr:colOff>895350</xdr:colOff>
      <xdr:row>0</xdr:row>
      <xdr:rowOff>66675</xdr:rowOff>
    </xdr:from>
    <xdr:ext cx="5715000" cy="3533775"/>
    <xdr:graphicFrame>
      <xdr:nvGraphicFramePr>
        <xdr:cNvPr id="3" name="Chart 2" title="Chart"/>
        <xdr:cNvGraphicFramePr/>
      </xdr:nvGraphicFramePr>
      <xdr:xfrm>
        <a:off x="6062980" y="66675"/>
        <a:ext cx="5715000" cy="35337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0</xdr:col>
      <xdr:colOff>104775</xdr:colOff>
      <xdr:row>23</xdr:row>
      <xdr:rowOff>57150</xdr:rowOff>
    </xdr:from>
    <xdr:ext cx="5981700" cy="3695700"/>
    <xdr:graphicFrame>
      <xdr:nvGraphicFramePr>
        <xdr:cNvPr id="4" name="Chart 3" title="Chart"/>
        <xdr:cNvGraphicFramePr/>
      </xdr:nvGraphicFramePr>
      <xdr:xfrm>
        <a:off x="104775" y="4657725"/>
        <a:ext cx="5981700" cy="36957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6</xdr:col>
      <xdr:colOff>733425</xdr:colOff>
      <xdr:row>23</xdr:row>
      <xdr:rowOff>57150</xdr:rowOff>
    </xdr:from>
    <xdr:ext cx="5876925" cy="3695700"/>
    <xdr:graphicFrame>
      <xdr:nvGraphicFramePr>
        <xdr:cNvPr id="5" name="Chart 4" title="Chart"/>
        <xdr:cNvGraphicFramePr/>
      </xdr:nvGraphicFramePr>
      <xdr:xfrm>
        <a:off x="5930265" y="4657725"/>
        <a:ext cx="5876925" cy="36957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3</xdr:col>
      <xdr:colOff>904875</xdr:colOff>
      <xdr:row>44</xdr:row>
      <xdr:rowOff>142875</xdr:rowOff>
    </xdr:from>
    <xdr:ext cx="5715000" cy="3533775"/>
    <xdr:graphicFrame>
      <xdr:nvGraphicFramePr>
        <xdr:cNvPr id="6" name="Chart 5" title="Chart"/>
        <xdr:cNvGraphicFramePr/>
      </xdr:nvGraphicFramePr>
      <xdr:xfrm>
        <a:off x="3464560" y="8943975"/>
        <a:ext cx="5715000" cy="35337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invalid="1" refreshOnLoad="1" refreshedVersion="5" refreshedDate="46286.3600347222" refreshedBy="MSI" recordCount="1450">
  <cacheSource type="worksheet">
    <worksheetSource ref="A1:O1451" sheet="01-clean"/>
  </cacheSource>
  <cacheFields count="15">
    <cacheField name="order_id" numFmtId="49">
      <sharedItems count="1450">
        <s v="ORD-00001"/>
        <s v="ORD-00002"/>
        <s v="ORD-00003"/>
        <s v="ORD-00004"/>
        <s v="ORD-00005"/>
        <s v="ORD-00006"/>
        <s v="ORD-00007"/>
        <s v="ORD-00008"/>
        <s v="ORD-00009"/>
        <s v="ORD-00010"/>
        <s v="ORD-00011"/>
        <s v="ORD-00012"/>
        <s v="ORD-00013"/>
        <s v="ORD-00014"/>
        <s v="ORD-00015"/>
        <s v="ORD-00016"/>
        <s v="ORD-00017"/>
        <s v="ORD-00018"/>
        <s v="ORD-00019"/>
        <s v="ORD-00020"/>
        <s v="ORD-00021"/>
        <s v="ORD-00022"/>
        <s v="ORD-00023"/>
        <s v="ORD-00024"/>
        <s v="ORD-00025"/>
        <s v="ORD-00026"/>
        <s v="ORD-00027"/>
        <s v="ORD-00028"/>
        <s v="ORD-00029"/>
        <s v="ORD-00030"/>
        <s v="ORD-00031"/>
        <s v="ORD-00032"/>
        <s v="ORD-00033"/>
        <s v="ORD-00034"/>
        <s v="ORD-00035"/>
        <s v="ORD-00036"/>
        <s v="ORD-00037"/>
        <s v="ORD-00038"/>
        <s v="ORD-00039"/>
        <s v="ORD-00040"/>
        <s v="ORD-00041"/>
        <s v="ORD-00042"/>
        <s v="ORD-00043"/>
        <s v="ORD-00044"/>
        <s v="ORD-00045"/>
        <s v="ORD-00046"/>
        <s v="ORD-00047"/>
        <s v="ORD-00048"/>
        <s v="ORD-00049"/>
        <s v="ORD-00050"/>
        <s v="ORD-00051"/>
        <s v="ORD-00052"/>
        <s v="ORD-00053"/>
        <s v="ORD-00054"/>
        <s v="ORD-00055"/>
        <s v="ORD-00056"/>
        <s v="ORD-00057"/>
        <s v="ORD-00058"/>
        <s v="ORD-00059"/>
        <s v="ORD-00060"/>
        <s v="ORD-00061"/>
        <s v="ORD-00062"/>
        <s v="ORD-00063"/>
        <s v="ORD-00064"/>
        <s v="ORD-00065"/>
        <s v="ORD-00066"/>
        <s v="ORD-00067"/>
        <s v="ORD-00068"/>
        <s v="ORD-00069"/>
        <s v="ORD-00070"/>
        <s v="ORD-00071"/>
        <s v="ORD-00072"/>
        <s v="ORD-00073"/>
        <s v="ORD-00074"/>
        <s v="ORD-00075"/>
        <s v="ORD-00076"/>
        <s v="ORD-00077"/>
        <s v="ORD-00078"/>
        <s v="ORD-00079"/>
        <s v="ORD-00080"/>
        <s v="ORD-00081"/>
        <s v="ORD-00082"/>
        <s v="ORD-00083"/>
        <s v="ORD-00084"/>
        <s v="ORD-00085"/>
        <s v="ORD-00086"/>
        <s v="ORD-00087"/>
        <s v="ORD-00088"/>
        <s v="ORD-00089"/>
        <s v="ORD-00090"/>
        <s v="ORD-00091"/>
        <s v="ORD-00092"/>
        <s v="ORD-00093"/>
        <s v="ORD-00094"/>
        <s v="ORD-00095"/>
        <s v="ORD-00096"/>
        <s v="ORD-00097"/>
        <s v="ORD-00098"/>
        <s v="ORD-00099"/>
        <s v="ORD-00100"/>
        <s v="ORD-00101"/>
        <s v="ORD-00102"/>
        <s v="ORD-00103"/>
        <s v="ORD-00104"/>
        <s v="ORD-00105"/>
        <s v="ORD-00106"/>
        <s v="ORD-00107"/>
        <s v="ORD-00108"/>
        <s v="ORD-00109"/>
        <s v="ORD-00110"/>
        <s v="ORD-00111"/>
        <s v="ORD-00112"/>
        <s v="ORD-00113"/>
        <s v="ORD-00114"/>
        <s v="ORD-00115"/>
        <s v="ORD-00116"/>
        <s v="ORD-00117"/>
        <s v="ORD-00118"/>
        <s v="ORD-00119"/>
        <s v="ORD-00120"/>
        <s v="ORD-00121"/>
        <s v="ORD-00122"/>
        <s v="ORD-00123"/>
        <s v="ORD-00124"/>
        <s v="ORD-00125"/>
        <s v="ORD-00126"/>
        <s v="ORD-00127"/>
        <s v="ORD-00128"/>
        <s v="ORD-00129"/>
        <s v="ORD-00130"/>
        <s v="ORD-00131"/>
        <s v="ORD-00132"/>
        <s v="ORD-00133"/>
        <s v="ORD-00134"/>
        <s v="ORD-00135"/>
        <s v="ORD-00136"/>
        <s v="ORD-00137"/>
        <s v="ORD-00138"/>
        <s v="ORD-00139"/>
        <s v="ORD-00140"/>
        <s v="ORD-00141"/>
        <s v="ORD-00142"/>
        <s v="ORD-00143"/>
        <s v="ORD-00144"/>
        <s v="ORD-00145"/>
        <s v="ORD-00146"/>
        <s v="ORD-00163"/>
        <s v="ORD-00148"/>
        <s v="ORD-00149"/>
        <s v="ORD-00150"/>
        <s v="ORD-00151"/>
        <s v="ORD-00152"/>
        <s v="ORD-00153"/>
        <s v="ORD-00154"/>
        <s v="ORD-00156"/>
        <s v="ORD-00155"/>
        <s v="ORD-00157"/>
        <s v="ORD-00158"/>
        <s v="ORD-00159"/>
        <s v="ORD-00160"/>
        <s v="ORD-00161"/>
        <s v="ORD-00162"/>
        <s v="ORD-00147"/>
        <s v="ORD-00164"/>
        <s v="ORD-00165"/>
        <s v="ORD-00166"/>
        <s v="ORD-00167"/>
        <s v="ORD-00168"/>
        <s v="ORD-00169"/>
        <s v="ORD-00170"/>
        <s v="ORD-00171"/>
        <s v="ORD-00172"/>
        <s v="ORD-00173"/>
        <s v="ORD-00174"/>
        <s v="ORD-00175"/>
        <s v="ORD-00176"/>
        <s v="ORD-00177"/>
        <s v="ORD-00178"/>
        <s v="ORD-00179"/>
        <s v="ORD-00180"/>
        <s v="ORD-00181"/>
        <s v="ORD-00182"/>
        <s v="ORD-00183"/>
        <s v="ORD-00184"/>
        <s v="ORD-00185"/>
        <s v="ORD-00186"/>
        <s v="ORD-00187"/>
        <s v="ORD-00188"/>
        <s v="ORD-00189"/>
        <s v="ORD-00190"/>
        <s v="ORD-00191"/>
        <s v="ORD-00192"/>
        <s v="ORD-00193"/>
        <s v="ORD-00194"/>
        <s v="ORD-00195"/>
        <s v="ORD-00196"/>
        <s v="ORD-00197"/>
        <s v="ORD-00198"/>
        <s v="ORD-00199"/>
        <s v="ORD-00200"/>
        <s v="ORD-00201"/>
        <s v="ORD-00202"/>
        <s v="ORD-00203"/>
        <s v="ORD-00204"/>
        <s v="ORD-00205"/>
        <s v="ORD-00206"/>
        <s v="ORD-00207"/>
        <s v="ORD-00208"/>
        <s v="ORD-00209"/>
        <s v="ORD-00210"/>
        <s v="ORD-00211"/>
        <s v="ORD-00212"/>
        <s v="ORD-00213"/>
        <s v="ORD-00214"/>
        <s v="ORD-00215"/>
        <s v="ORD-00216"/>
        <s v="ORD-00217"/>
        <s v="ORD-00218"/>
        <s v="ORD-00219"/>
        <s v="ORD-00220"/>
        <s v="ORD-00221"/>
        <s v="ORD-00222"/>
        <s v="ORD-00223"/>
        <s v="ORD-00224"/>
        <s v="ORD-00225"/>
        <s v="ORD-00226"/>
        <s v="ORD-00227"/>
        <s v="ORD-00228"/>
        <s v="ORD-00229"/>
        <s v="ORD-00230"/>
        <s v="ORD-00231"/>
        <s v="ORD-00232"/>
        <s v="ORD-00233"/>
        <s v="ORD-00234"/>
        <s v="ORD-00235"/>
        <s v="ORD-00236"/>
        <s v="ORD-00237"/>
        <s v="ORD-00238"/>
        <s v="ORD-00239"/>
        <s v="ORD-00240"/>
        <s v="ORD-00241"/>
        <s v="ORD-00242"/>
        <s v="ORD-00243"/>
        <s v="ORD-00244"/>
        <s v="ORD-00245"/>
        <s v="ORD-00246"/>
        <s v="ORD-00247"/>
        <s v="ORD-00248"/>
        <s v="ORD-00249"/>
        <s v="ORD-00283"/>
        <s v="ORD-00251"/>
        <s v="ORD-00252"/>
        <s v="ORD-00253"/>
        <s v="ORD-00254"/>
        <s v="ORD-00255"/>
        <s v="ORD-00256"/>
        <s v="ORD-00257"/>
        <s v="ORD-00258"/>
        <s v="ORD-00259"/>
        <s v="ORD-00260"/>
        <s v="ORD-00261"/>
        <s v="ORD-00262"/>
        <s v="ORD-00263"/>
        <s v="ORD-00264"/>
        <s v="ORD-00265"/>
        <s v="ORD-00266"/>
        <s v="ORD-00267"/>
        <s v="ORD-00268"/>
        <s v="ORD-00269"/>
        <s v="ORD-00270"/>
        <s v="ORD-00271"/>
        <s v="ORD-00272"/>
        <s v="ORD-00273"/>
        <s v="ORD-00274"/>
        <s v="ORD-00275"/>
        <s v="ORD-00276"/>
        <s v="ORD-00277"/>
        <s v="ORD-00278"/>
        <s v="ORD-00279"/>
        <s v="ORD-00280"/>
        <s v="ORD-00281"/>
        <s v="ORD-00282"/>
        <s v="ORD-00250"/>
        <s v="ORD-00284"/>
        <s v="ORD-00285"/>
        <s v="ORD-00286"/>
        <s v="ORD-00287"/>
        <s v="ORD-00288"/>
        <s v="ORD-00289"/>
        <s v="ORD-00290"/>
        <s v="ORD-00291"/>
        <s v="ORD-00292"/>
        <s v="ORD-00293"/>
        <s v="ORD-00294"/>
        <s v="ORD-00295"/>
        <s v="ORD-00296"/>
        <s v="ORD-00297"/>
        <s v="ORD-00298"/>
        <s v="ORD-00299"/>
        <s v="ORD-00300"/>
        <s v="ORD-00301"/>
        <s v="ORD-00302"/>
        <s v="ORD-00303"/>
        <s v="ORD-00304"/>
        <s v="ORD-00305"/>
        <s v="ORD-00306"/>
        <s v="ORD-00307"/>
        <s v="ORD-00308"/>
        <s v="ORD-00309"/>
        <s v="ORD-00310"/>
        <s v="ORD-00311"/>
        <s v="ORD-00312"/>
        <s v="ORD-00313"/>
        <s v="ORD-00314"/>
        <s v="ORD-00315"/>
        <s v="ORD-00316"/>
        <s v="ORD-00317"/>
        <s v="ORD-00318"/>
        <s v="ORD-00319"/>
        <s v="ORD-00320"/>
        <s v="ORD-00321"/>
        <s v="ORD-00322"/>
        <s v="ORD-00323"/>
        <s v="ORD-00324"/>
        <s v="ORD-00325"/>
        <s v="ORD-00326"/>
        <s v="ORD-00327"/>
        <s v="ORD-00328"/>
        <s v="ORD-00329"/>
        <s v="ORD-00330"/>
        <s v="ORD-00331"/>
        <s v="ORD-00332"/>
        <s v="ORD-00333"/>
        <s v="ORD-00334"/>
        <s v="ORD-00335"/>
        <s v="ORD-00336"/>
        <s v="ORD-00337"/>
        <s v="ORD-00338"/>
        <s v="ORD-00339"/>
        <s v="ORD-00340"/>
        <s v="ORD-00341"/>
        <s v="ORD-00342"/>
        <s v="ORD-00343"/>
        <s v="ORD-00344"/>
        <s v="ORD-00345"/>
        <s v="ORD-00346"/>
        <s v="ORD-00347"/>
        <s v="ORD-00348"/>
        <s v="ORD-00349"/>
        <s v="ORD-00350"/>
        <s v="ORD-00351"/>
        <s v="ORD-00352"/>
        <s v="ORD-00353"/>
        <s v="ORD-00354"/>
        <s v="ORD-00355"/>
        <s v="ORD-00356"/>
        <s v="ORD-00357"/>
        <s v="ORD-00358"/>
        <s v="ORD-00359"/>
        <s v="ORD-00360"/>
        <s v="ORD-00361"/>
        <s v="ORD-00362"/>
        <s v="ORD-00363"/>
        <s v="ORD-00364"/>
        <s v="ORD-00365"/>
        <s v="ORD-00366"/>
        <s v="ORD-00367"/>
        <s v="ORD-00368"/>
        <s v="ORD-00369"/>
        <s v="ORD-00370"/>
        <s v="ORD-00371"/>
        <s v="ORD-00372"/>
        <s v="ORD-00373"/>
        <s v="ORD-00374"/>
        <s v="ORD-00375"/>
        <s v="ORD-00376"/>
        <s v="ORD-00377"/>
        <s v="ORD-00378"/>
        <s v="ORD-00379"/>
        <s v="ORD-00380"/>
        <s v="ORD-00381"/>
        <s v="ORD-00382"/>
        <s v="ORD-00383"/>
        <s v="ORD-00384"/>
        <s v="ORD-00385"/>
        <s v="ORD-00386"/>
        <s v="ORD-00387"/>
        <s v="ORD-00388"/>
        <s v="ORD-00389"/>
        <s v="ORD-00390"/>
        <s v="ORD-00391"/>
        <s v="ORD-00392"/>
        <s v="ORD-00393"/>
        <s v="ORD-00394"/>
        <s v="ORD-00395"/>
        <s v="ORD-00396"/>
        <s v="ORD-00397"/>
        <s v="ORD-00398"/>
        <s v="ORD-00399"/>
        <s v="ORD-00400"/>
        <s v="ORD-00401"/>
        <s v="ORD-00402"/>
        <s v="ORD-00403"/>
        <s v="ORD-00404"/>
        <s v="ORD-00405"/>
        <s v="ORD-00406"/>
        <s v="ORD-00407"/>
        <s v="ORD-00408"/>
        <s v="ORD-00409"/>
        <s v="ORD-00410"/>
        <s v="ORD-00411"/>
        <s v="ORD-00412"/>
        <s v="ORD-00413"/>
        <s v="ORD-00414"/>
        <s v="ORD-00415"/>
        <s v="ORD-00416"/>
        <s v="ORD-00417"/>
        <s v="ORD-00418"/>
        <s v="ORD-00419"/>
        <s v="ORD-00420"/>
        <s v="ORD-00421"/>
        <s v="ORD-00422"/>
        <s v="ORD-00423"/>
        <s v="ORD-00424"/>
        <s v="ORD-00425"/>
        <s v="ORD-00426"/>
        <s v="ORD-00427"/>
        <s v="ORD-00428"/>
        <s v="ORD-00429"/>
        <s v="ORD-00430"/>
        <s v="ORD-00431"/>
        <s v="ORD-00432"/>
        <s v="ORD-00433"/>
        <s v="ORD-00434"/>
        <s v="ORD-00435"/>
        <s v="ORD-00436"/>
        <s v="ORD-00437"/>
        <s v="ORD-00438"/>
        <s v="ORD-00439"/>
        <s v="ORD-00440"/>
        <s v="ORD-00441"/>
        <s v="ORD-00442"/>
        <s v="ORD-00443"/>
        <s v="ORD-00444"/>
        <s v="ORD-00445"/>
        <s v="ORD-00446"/>
        <s v="ORD-00447"/>
        <s v="ORD-00448"/>
        <s v="ORD-00449"/>
        <s v="ORD-00450"/>
        <s v="ORD-00451"/>
        <s v="ORD-00452"/>
        <s v="ORD-00453"/>
        <s v="ORD-00454"/>
        <s v="ORD-00455"/>
        <s v="ORD-00456"/>
        <s v="ORD-00457"/>
        <s v="ORD-00458"/>
        <s v="ORD-00459"/>
        <s v="ORD-00460"/>
        <s v="ORD-00461"/>
        <s v="ORD-00462"/>
        <s v="ORD-00463"/>
        <s v="ORD-00464"/>
        <s v="ORD-00465"/>
        <s v="ORD-00466"/>
        <s v="ORD-00467"/>
        <s v="ORD-00468"/>
        <s v="ORD-00469"/>
        <s v="ORD-00470"/>
        <s v="ORD-00471"/>
        <s v="ORD-00472"/>
        <s v="ORD-00473"/>
        <s v="ORD-00474"/>
        <s v="ORD-00475"/>
        <s v="ORD-00476"/>
        <s v="ORD-00477"/>
        <s v="ORD-00478"/>
        <s v="ORD-00479"/>
        <s v="ORD-00480"/>
        <s v="ORD-00481"/>
        <s v="ORD-00482"/>
        <s v="ORD-00483"/>
        <s v="ORD-00484"/>
        <s v="ORD-00485"/>
        <s v="ORD-00486"/>
        <s v="ORD-00487"/>
        <s v="ORD-00488"/>
        <s v="ORD-00489"/>
        <s v="ORD-00490"/>
        <s v="ORD-00491"/>
        <s v="ORD-00492"/>
        <s v="ORD-00493"/>
        <s v="ORD-00494"/>
        <s v="ORD-00495"/>
        <s v="ORD-00496"/>
        <s v="ORD-00497"/>
        <s v="ORD-00498"/>
        <s v="ORD-00499"/>
        <s v="ORD-00500"/>
        <s v="ORD-00501"/>
        <s v="ORD-00502"/>
        <s v="ORD-00503"/>
        <s v="ORD-00504"/>
        <s v="ORD-00505"/>
        <s v="ORD-00506"/>
        <s v="ORD-00507"/>
        <s v="ORD-00508"/>
        <s v="ORD-00509"/>
        <s v="ORD-00510"/>
        <s v="ORD-00511"/>
        <s v="ORD-00512"/>
        <s v="ORD-00513"/>
        <s v="ORD-00514"/>
        <s v="ORD-00515"/>
        <s v="ORD-00516"/>
        <s v="ORD-00517"/>
        <s v="ORD-00518"/>
        <s v="ORD-00519"/>
        <s v="ORD-00520"/>
        <s v="ORD-00521"/>
        <s v="ORD-00522"/>
        <s v="ORD-00523"/>
        <s v="ORD-00524"/>
        <s v="ORD-00525"/>
        <s v="ORD-00526"/>
        <s v="ORD-00527"/>
        <s v="ORD-00528"/>
        <s v="ORD-00529"/>
        <s v="ORD-00530"/>
        <s v="ORD-00531"/>
        <s v="ORD-00532"/>
        <s v="ORD-00533"/>
        <s v="ORD-00534"/>
        <s v="ORD-00535"/>
        <s v="ORD-00536"/>
        <s v="ORD-00537"/>
        <s v="ORD-00538"/>
        <s v="ORD-00539"/>
        <s v="ORD-00540"/>
        <s v="ORD-00541"/>
        <s v="ORD-00542"/>
        <s v="ORD-00543"/>
        <s v="ORD-00544"/>
        <s v="ORD-00545"/>
        <s v="ORD-00546"/>
        <s v="ORD-00547"/>
        <s v="ORD-00548"/>
        <s v="ORD-00549"/>
        <s v="ORD-00550"/>
        <s v="ORD-00551"/>
        <s v="ORD-00552"/>
        <s v="ORD-00553"/>
        <s v="ORD-00554"/>
        <s v="ORD-00555"/>
        <s v="ORD-00556"/>
        <s v="ORD-00557"/>
        <s v="ORD-00558"/>
        <s v="ORD-00559"/>
        <s v="ORD-00560"/>
        <s v="ORD-00561"/>
        <s v="ORD-00562"/>
        <s v="ORD-00563"/>
        <s v="ORD-00564"/>
        <s v="ORD-00565"/>
        <s v="ORD-00566"/>
        <s v="ORD-00567"/>
        <s v="ORD-00568"/>
        <s v="ORD-00569"/>
        <s v="ORD-00570"/>
        <s v="ORD-00571"/>
        <s v="ORD-00572"/>
        <s v="ORD-00573"/>
        <s v="ORD-00574"/>
        <s v="ORD-00575"/>
        <s v="ORD-00576"/>
        <s v="ORD-00577"/>
        <s v="ORD-00578"/>
        <s v="ORD-00579"/>
        <s v="ORD-00580"/>
        <s v="ORD-00581"/>
        <s v="ORD-00582"/>
        <s v="ORD-00583"/>
        <s v="ORD-00584"/>
        <s v="ORD-00585"/>
        <s v="ORD-00586"/>
        <s v="ORD-00587"/>
        <s v="ORD-00588"/>
        <s v="ORD-00589"/>
        <s v="ORD-00590"/>
        <s v="ORD-00591"/>
        <s v="ORD-00592"/>
        <s v="ORD-00593"/>
        <s v="ORD-00594"/>
        <s v="ORD-00595"/>
        <s v="ORD-00596"/>
        <s v="ORD-00597"/>
        <s v="ORD-00598"/>
        <s v="ORD-00599"/>
        <s v="ORD-00600"/>
        <s v="ORD-00601"/>
        <s v="ORD-00602"/>
        <s v="ORD-00603"/>
        <s v="ORD-00604"/>
        <s v="ORD-00605"/>
        <s v="ORD-00606"/>
        <s v="ORD-00607"/>
        <s v="ORD-00608"/>
        <s v="ORD-00609"/>
        <s v="ORD-00610"/>
        <s v="ORD-00611"/>
        <s v="ORD-00612"/>
        <s v="ORD-00613"/>
        <s v="ORD-00614"/>
        <s v="ORD-00615"/>
        <s v="ORD-00616"/>
        <s v="ORD-00617"/>
        <s v="ORD-00618"/>
        <s v="ORD-00619"/>
        <s v="ORD-00620"/>
        <s v="ORD-00621"/>
        <s v="ORD-00622"/>
        <s v="ORD-00623"/>
        <s v="ORD-00624"/>
        <s v="ORD-00625"/>
        <s v="ORD-00626"/>
        <s v="ORD-00627"/>
        <s v="ORD-00628"/>
        <s v="ORD-00629"/>
        <s v="ORD-00630"/>
        <s v="ORD-00631"/>
        <s v="ORD-00632"/>
        <s v="ORD-00633"/>
        <s v="ORD-00634"/>
        <s v="ORD-00635"/>
        <s v="ORD-00636"/>
        <s v="ORD-00637"/>
        <s v="ORD-00638"/>
        <s v="ORD-00639"/>
        <s v="ORD-00640"/>
        <s v="ORD-00641"/>
        <s v="ORD-00642"/>
        <s v="ORD-00643"/>
        <s v="ORD-00644"/>
        <s v="ORD-00645"/>
        <s v="ORD-00646"/>
        <s v="ORD-00647"/>
        <s v="ORD-00648"/>
        <s v="ORD-00649"/>
        <s v="ORD-00650"/>
        <s v="ORD-00651"/>
        <s v="ORD-00652"/>
        <s v="ORD-00653"/>
        <s v="ORD-00654"/>
        <s v="ORD-00655"/>
        <s v="ORD-00656"/>
        <s v="ORD-00657"/>
        <s v="ORD-00658"/>
        <s v="ORD-00659"/>
        <s v="ORD-00660"/>
        <s v="ORD-00661"/>
        <s v="ORD-00662"/>
        <s v="ORD-00663"/>
        <s v="ORD-00664"/>
        <s v="ORD-00665"/>
        <s v="ORD-00666"/>
        <s v="ORD-00667"/>
        <s v="ORD-00696"/>
        <s v="ORD-00669"/>
        <s v="ORD-00670"/>
        <s v="ORD-00671"/>
        <s v="ORD-00672"/>
        <s v="ORD-00673"/>
        <s v="ORD-00674"/>
        <s v="ORD-00675"/>
        <s v="ORD-00676"/>
        <s v="ORD-00677"/>
        <s v="ORD-00678"/>
        <s v="ORD-00679"/>
        <s v="ORD-00680"/>
        <s v="ORD-00681"/>
        <s v="ORD-00682"/>
        <s v="ORD-00683"/>
        <s v="ORD-00684"/>
        <s v="ORD-00685"/>
        <s v="ORD-00686"/>
        <s v="ORD-00687"/>
        <s v="ORD-00688"/>
        <s v="ORD-00689"/>
        <s v="ORD-00690"/>
        <s v="ORD-00691"/>
        <s v="ORD-00692"/>
        <s v="ORD-00693"/>
        <s v="ORD-00694"/>
        <s v="ORD-00695"/>
        <s v="ORD-00668"/>
        <s v="ORD-00697"/>
        <s v="ORD-00698"/>
        <s v="ORD-00699"/>
        <s v="ORD-00700"/>
        <s v="ORD-00701"/>
        <s v="ORD-00702"/>
        <s v="ORD-00703"/>
        <s v="ORD-00704"/>
        <s v="ORD-00705"/>
        <s v="ORD-00706"/>
        <s v="ORD-00707"/>
        <s v="ORD-00708"/>
        <s v="ORD-00709"/>
        <s v="ORD-00710"/>
        <s v="ORD-00711"/>
        <s v="ORD-00712"/>
        <s v="ORD-00713"/>
        <s v="ORD-00714"/>
        <s v="ORD-00715"/>
        <s v="ORD-00716"/>
        <s v="ORD-00717"/>
        <s v="ORD-00719"/>
        <s v="ORD-00718"/>
        <s v="ORD-00720"/>
        <s v="ORD-00721"/>
        <s v="ORD-00722"/>
        <s v="ORD-00723"/>
        <s v="ORD-00724"/>
        <s v="ORD-00725"/>
        <s v="ORD-00726"/>
        <s v="ORD-00727"/>
        <s v="ORD-00728"/>
        <s v="ORD-00729"/>
        <s v="ORD-00730"/>
        <s v="ORD-00731"/>
        <s v="ORD-00732"/>
        <s v="ORD-00733"/>
        <s v="ORD-00734"/>
        <s v="ORD-00735"/>
        <s v="ORD-00736"/>
        <s v="ORD-00737"/>
        <s v="ORD-00738"/>
        <s v="ORD-00739"/>
        <s v="ORD-00740"/>
        <s v="ORD-00741"/>
        <s v="ORD-00742"/>
        <s v="ORD-00743"/>
        <s v="ORD-00744"/>
        <s v="ORD-00745"/>
        <s v="ORD-00746"/>
        <s v="ORD-00747"/>
        <s v="ORD-00748"/>
        <s v="ORD-00749"/>
        <s v="ORD-00750"/>
        <s v="ORD-00751"/>
        <s v="ORD-00752"/>
        <s v="ORD-00753"/>
        <s v="ORD-00754"/>
        <s v="ORD-00755"/>
        <s v="ORD-00756"/>
        <s v="ORD-00757"/>
        <s v="ORD-00758"/>
        <s v="ORD-00759"/>
        <s v="ORD-00760"/>
        <s v="ORD-00761"/>
        <s v="ORD-00762"/>
        <s v="ORD-00763"/>
        <s v="ORD-00764"/>
        <s v="ORD-00765"/>
        <s v="ORD-00766"/>
        <s v="ORD-00767"/>
        <s v="ORD-00768"/>
        <s v="ORD-00769"/>
        <s v="ORD-00770"/>
        <s v="ORD-00771"/>
        <s v="ORD-00772"/>
        <s v="ORD-00773"/>
        <s v="ORD-00774"/>
        <s v="ORD-00775"/>
        <s v="ORD-00776"/>
        <s v="ORD-00777"/>
        <s v="ORD-00778"/>
        <s v="ORD-00779"/>
        <s v="ORD-00780"/>
        <s v="ORD-00781"/>
        <s v="ORD-00782"/>
        <s v="ORD-00783"/>
        <s v="ORD-00784"/>
        <s v="ORD-00785"/>
        <s v="ORD-00786"/>
        <s v="ORD-00787"/>
        <s v="ORD-00788"/>
        <s v="ORD-00789"/>
        <s v="ORD-00790"/>
        <s v="ORD-00791"/>
        <s v="ORD-00792"/>
        <s v="ORD-00793"/>
        <s v="ORD-00794"/>
        <s v="ORD-00795"/>
        <s v="ORD-00796"/>
        <s v="ORD-00797"/>
        <s v="ORD-00798"/>
        <s v="ORD-00799"/>
        <s v="ORD-00800"/>
        <s v="ORD-00801"/>
        <s v="ORD-00802"/>
        <s v="ORD-00803"/>
        <s v="ORD-00804"/>
        <s v="ORD-00805"/>
        <s v="ORD-00806"/>
        <s v="ORD-00807"/>
        <s v="ORD-00808"/>
        <s v="ORD-00809"/>
        <s v="ORD-00810"/>
        <s v="ORD-00811"/>
        <s v="ORD-00812"/>
        <s v="ORD-00813"/>
        <s v="ORD-00814"/>
        <s v="ORD-00815"/>
        <s v="ORD-00816"/>
        <s v="ORD-00817"/>
        <s v="ORD-00818"/>
        <s v="ORD-00819"/>
        <s v="ORD-00820"/>
        <s v="ORD-00821"/>
        <s v="ORD-00822"/>
        <s v="ORD-00823"/>
        <s v="ORD-00824"/>
        <s v="ORD-00825"/>
        <s v="ORD-00826"/>
        <s v="ORD-00827"/>
        <s v="ORD-00828"/>
        <s v="ORD-00829"/>
        <s v="ORD-00830"/>
        <s v="ORD-00831"/>
        <s v="ORD-00832"/>
        <s v="ORD-00833"/>
        <s v="ORD-00834"/>
        <s v="ORD-00835"/>
        <s v="ORD-00836"/>
        <s v="ORD-00837"/>
        <s v="ORD-00838"/>
        <s v="ORD-00839"/>
        <s v="ORD-00840"/>
        <s v="ORD-00841"/>
        <s v="ORD-00842"/>
        <s v="ORD-00843"/>
        <s v="ORD-00844"/>
        <s v="ORD-00845"/>
        <s v="ORD-00846"/>
        <s v="ORD-00847"/>
        <s v="ORD-00848"/>
        <s v="ORD-00849"/>
        <s v="ORD-00850"/>
        <s v="ORD-00851"/>
        <s v="ORD-00852"/>
        <s v="ORD-00853"/>
        <s v="ORD-00854"/>
        <s v="ORD-00855"/>
        <s v="ORD-00856"/>
        <s v="ORD-00857"/>
        <s v="ORD-00858"/>
        <s v="ORD-00859"/>
        <s v="ORD-00860"/>
        <s v="ORD-00861"/>
        <s v="ORD-00862"/>
        <s v="ORD-00863"/>
        <s v="ORD-00864"/>
        <s v="ORD-00865"/>
        <s v="ORD-00866"/>
        <s v="ORD-00867"/>
        <s v="ORD-00868"/>
        <s v="ORD-00869"/>
        <s v="ORD-00870"/>
        <s v="ORD-00871"/>
        <s v="ORD-00872"/>
        <s v="ORD-00873"/>
        <s v="ORD-00874"/>
        <s v="ORD-00875"/>
        <s v="ORD-00876"/>
        <s v="ORD-00877"/>
        <s v="ORD-00878"/>
        <s v="ORD-00879"/>
        <s v="ORD-00880"/>
        <s v="ORD-00881"/>
        <s v="ORD-00882"/>
        <s v="ORD-00883"/>
        <s v="ORD-00884"/>
        <s v="ORD-00885"/>
        <s v="ORD-00886"/>
        <s v="ORD-00887"/>
        <s v="ORD-00888"/>
        <s v="ORD-00889"/>
        <s v="ORD-00890"/>
        <s v="ORD-00891"/>
        <s v="ORD-00892"/>
        <s v="ORD-00893"/>
        <s v="ORD-00894"/>
        <s v="ORD-00895"/>
        <s v="ORD-00896"/>
        <s v="ORD-00897"/>
        <s v="ORD-00898"/>
        <s v="ORD-00899"/>
        <s v="ORD-00900"/>
        <s v="ORD-00901"/>
        <s v="ORD-00902"/>
        <s v="ORD-00903"/>
        <s v="ORD-00904"/>
        <s v="ORD-00905"/>
        <s v="ORD-00906"/>
        <s v="ORD-00907"/>
        <s v="ORD-00908"/>
        <s v="ORD-00909"/>
        <s v="ORD-00910"/>
        <s v="ORD-00911"/>
        <s v="ORD-00912"/>
        <s v="ORD-00913"/>
        <s v="ORD-00914"/>
        <s v="ORD-00915"/>
        <s v="ORD-00916"/>
        <s v="ORD-00917"/>
        <s v="ORD-00918"/>
        <s v="ORD-00919"/>
        <s v="ORD-00920"/>
        <s v="ORD-00921"/>
        <s v="ORD-00922"/>
        <s v="ORD-00923"/>
        <s v="ORD-00924"/>
        <s v="ORD-00925"/>
        <s v="ORD-00926"/>
        <s v="ORD-00927"/>
        <s v="ORD-00928"/>
        <s v="ORD-00929"/>
        <s v="ORD-00930"/>
        <s v="ORD-00931"/>
        <s v="ORD-00932"/>
        <s v="ORD-00933"/>
        <s v="ORD-00934"/>
        <s v="ORD-00935"/>
        <s v="ORD-00936"/>
        <s v="ORD-00937"/>
        <s v="ORD-00976"/>
        <s v="ORD-00939"/>
        <s v="ORD-00940"/>
        <s v="ORD-00941"/>
        <s v="ORD-00942"/>
        <s v="ORD-00943"/>
        <s v="ORD-00944"/>
        <s v="ORD-00945"/>
        <s v="ORD-00946"/>
        <s v="ORD-00947"/>
        <s v="ORD-00948"/>
        <s v="ORD-00949"/>
        <s v="ORD-00950"/>
        <s v="ORD-00951"/>
        <s v="ORD-00952"/>
        <s v="ORD-00953"/>
        <s v="ORD-00954"/>
        <s v="ORD-00955"/>
        <s v="ORD-00956"/>
        <s v="ORD-00957"/>
        <s v="ORD-00958"/>
        <s v="ORD-00959"/>
        <s v="ORD-00960"/>
        <s v="ORD-00961"/>
        <s v="ORD-00962"/>
        <s v="ORD-00963"/>
        <s v="ORD-00964"/>
        <s v="ORD-00965"/>
        <s v="ORD-00966"/>
        <s v="ORD-00967"/>
        <s v="ORD-00968"/>
        <s v="ORD-00969"/>
        <s v="ORD-00970"/>
        <s v="ORD-00971"/>
        <s v="ORD-00972"/>
        <s v="ORD-00973"/>
        <s v="ORD-00974"/>
        <s v="ORD-00975"/>
        <s v="ORD-00938"/>
        <s v="ORD-00977"/>
        <s v="ORD-00978"/>
        <s v="ORD-00979"/>
        <s v="ORD-00980"/>
        <s v="ORD-00981"/>
        <s v="ORD-00982"/>
        <s v="ORD-00983"/>
        <s v="ORD-00984"/>
        <s v="ORD-00985"/>
        <s v="ORD-00986"/>
        <s v="ORD-00987"/>
        <s v="ORD-00988"/>
        <s v="ORD-00989"/>
        <s v="ORD-00990"/>
        <s v="ORD-00991"/>
        <s v="ORD-00992"/>
        <s v="ORD-00993"/>
        <s v="ORD-00994"/>
        <s v="ORD-00995"/>
        <s v="ORD-00996"/>
        <s v="ORD-00997"/>
        <s v="ORD-00998"/>
        <s v="ORD-00999"/>
        <s v="ORD-01000"/>
        <s v="ORD-01001"/>
        <s v="ORD-01002"/>
        <s v="ORD-01003"/>
        <s v="ORD-01004"/>
        <s v="ORD-01005"/>
        <s v="ORD-01006"/>
        <s v="ORD-01007"/>
        <s v="ORD-01008"/>
        <s v="ORD-01009"/>
        <s v="ORD-01010"/>
        <s v="ORD-01011"/>
        <s v="ORD-01012"/>
        <s v="ORD-01013"/>
        <s v="ORD-01014"/>
        <s v="ORD-01015"/>
        <s v="ORD-01016"/>
        <s v="ORD-01017"/>
        <s v="ORD-01018"/>
        <s v="ORD-01019"/>
        <s v="ORD-01020"/>
        <s v="ORD-01021"/>
        <s v="ORD-01022"/>
        <s v="ORD-01023"/>
        <s v="ORD-01024"/>
        <s v="ORD-01025"/>
        <s v="ORD-01026"/>
        <s v="ORD-01027"/>
        <s v="ORD-01028"/>
        <s v="ORD-01029"/>
        <s v="ORD-01030"/>
        <s v="ORD-01031"/>
        <s v="ORD-01032"/>
        <s v="ORD-01033"/>
        <s v="ORD-01034"/>
        <s v="ORD-01035"/>
        <s v="ORD-01036"/>
        <s v="ORD-01037"/>
        <s v="ORD-01038"/>
        <s v="ORD-01039"/>
        <s v="ORD-01040"/>
        <s v="ORD-01041"/>
        <s v="ORD-01042"/>
        <s v="ORD-01043"/>
        <s v="ORD-01044"/>
        <s v="ORD-01045"/>
        <s v="ORD-01046"/>
        <s v="ORD-01047"/>
        <s v="ORD-01048"/>
        <s v="ORD-01049"/>
        <s v="ORD-01050"/>
        <s v="ORD-01051"/>
        <s v="ORD-01052"/>
        <s v="ORD-01053"/>
        <s v="ORD-01054"/>
        <s v="ORD-01055"/>
        <s v="ORD-01056"/>
        <s v="ORD-01057"/>
        <s v="ORD-01058"/>
        <s v="ORD-01059"/>
        <s v="ORD-01060"/>
        <s v="ORD-01061"/>
        <s v="ORD-01062"/>
        <s v="ORD-01063"/>
        <s v="ORD-01064"/>
        <s v="ORD-01065"/>
        <s v="ORD-01066"/>
        <s v="ORD-01067"/>
        <s v="ORD-01068"/>
        <s v="ORD-01069"/>
        <s v="ORD-01070"/>
        <s v="ORD-01071"/>
        <s v="ORD-01072"/>
        <s v="ORD-01073"/>
        <s v="ORD-01074"/>
        <s v="ORD-01075"/>
        <s v="ORD-01076"/>
        <s v="ORD-01077"/>
        <s v="ORD-01078"/>
        <s v="ORD-01079"/>
        <s v="ORD-01080"/>
        <s v="ORD-01081"/>
        <s v="ORD-01082"/>
        <s v="ORD-01083"/>
        <s v="ORD-01084"/>
        <s v="ORD-01085"/>
        <s v="ORD-01086"/>
        <s v="ORD-01087"/>
        <s v="ORD-01088"/>
        <s v="ORD-01089"/>
        <s v="ORD-01090"/>
        <s v="ORD-01091"/>
        <s v="ORD-01092"/>
        <s v="ORD-01093"/>
        <s v="ORD-01094"/>
        <s v="ORD-01095"/>
        <s v="ORD-01096"/>
        <s v="ORD-01097"/>
        <s v="ORD-01098"/>
        <s v="ORD-01099"/>
        <s v="ORD-01100"/>
        <s v="ORD-01101"/>
        <s v="ORD-01102"/>
        <s v="ORD-01103"/>
        <s v="ORD-01104"/>
        <s v="ORD-01105"/>
        <s v="ORD-01106"/>
        <s v="ORD-01107"/>
        <s v="ORD-01108"/>
        <s v="ORD-01112"/>
        <s v="ORD-01110"/>
        <s v="ORD-01111"/>
        <s v="ORD-01109"/>
        <s v="ORD-01113"/>
        <s v="ORD-01114"/>
        <s v="ORD-01115"/>
        <s v="ORD-01116"/>
        <s v="ORD-01117"/>
        <s v="ORD-01118"/>
        <s v="ORD-01119"/>
        <s v="ORD-01120"/>
        <s v="ORD-01121"/>
        <s v="ORD-01122"/>
        <s v="ORD-01123"/>
        <s v="ORD-01124"/>
        <s v="ORD-01125"/>
        <s v="ORD-01126"/>
        <s v="ORD-01127"/>
        <s v="ORD-01128"/>
        <s v="ORD-01129"/>
        <s v="ORD-01130"/>
        <s v="ORD-01131"/>
        <s v="ORD-01143"/>
        <s v="ORD-01133"/>
        <s v="ORD-01134"/>
        <s v="ORD-01135"/>
        <s v="ORD-01136"/>
        <s v="ORD-01137"/>
        <s v="ORD-01138"/>
        <s v="ORD-01139"/>
        <s v="ORD-01140"/>
        <s v="ORD-01141"/>
        <s v="ORD-01142"/>
        <s v="ORD-01132"/>
        <s v="ORD-01144"/>
        <s v="ORD-01145"/>
        <s v="ORD-01146"/>
        <s v="ORD-01147"/>
        <s v="ORD-01148"/>
        <s v="ORD-01149"/>
        <s v="ORD-01150"/>
        <s v="ORD-01151"/>
        <s v="ORD-01152"/>
        <s v="ORD-01153"/>
        <s v="ORD-01154"/>
        <s v="ORD-01155"/>
        <s v="ORD-01156"/>
        <s v="ORD-01157"/>
        <s v="ORD-01158"/>
        <s v="ORD-01159"/>
        <s v="ORD-01160"/>
        <s v="ORD-01161"/>
        <s v="ORD-01162"/>
        <s v="ORD-01163"/>
        <s v="ORD-01164"/>
        <s v="ORD-01165"/>
        <s v="ORD-01166"/>
        <s v="ORD-01167"/>
        <s v="ORD-01168"/>
        <s v="ORD-01169"/>
        <s v="ORD-01170"/>
        <s v="ORD-01171"/>
        <s v="ORD-01172"/>
        <s v="ORD-01173"/>
        <s v="ORD-01174"/>
        <s v="ORD-01175"/>
        <s v="ORD-01176"/>
        <s v="ORD-01177"/>
        <s v="ORD-01178"/>
        <s v="ORD-01179"/>
        <s v="ORD-01180"/>
        <s v="ORD-01181"/>
        <s v="ORD-01182"/>
        <s v="ORD-01183"/>
        <s v="ORD-01184"/>
        <s v="ORD-01185"/>
        <s v="ORD-01186"/>
        <s v="ORD-01187"/>
        <s v="ORD-01188"/>
        <s v="ORD-01189"/>
        <s v="ORD-01190"/>
        <s v="ORD-01191"/>
        <s v="ORD-01192"/>
        <s v="ORD-01230"/>
        <s v="ORD-01194"/>
        <s v="ORD-01195"/>
        <s v="ORD-01196"/>
        <s v="ORD-01197"/>
        <s v="ORD-01198"/>
        <s v="ORD-01199"/>
        <s v="ORD-01200"/>
        <s v="ORD-01201"/>
        <s v="ORD-01202"/>
        <s v="ORD-01203"/>
        <s v="ORD-01204"/>
        <s v="ORD-01205"/>
        <s v="ORD-01206"/>
        <s v="ORD-01207"/>
        <s v="ORD-01208"/>
        <s v="ORD-01209"/>
        <s v="ORD-01210"/>
        <s v="ORD-01211"/>
        <s v="ORD-01212"/>
        <s v="ORD-01213"/>
        <s v="ORD-01214"/>
        <s v="ORD-01215"/>
        <s v="ORD-01216"/>
        <s v="ORD-01217"/>
        <s v="ORD-01218"/>
        <s v="ORD-01219"/>
        <s v="ORD-01220"/>
        <s v="ORD-01221"/>
        <s v="ORD-01222"/>
        <s v="ORD-01223"/>
        <s v="ORD-01224"/>
        <s v="ORD-01225"/>
        <s v="ORD-01226"/>
        <s v="ORD-01227"/>
        <s v="ORD-01228"/>
        <s v="ORD-01229"/>
        <s v="ORD-01193"/>
        <s v="ORD-01231"/>
        <s v="ORD-01232"/>
        <s v="ORD-01233"/>
        <s v="ORD-01234"/>
        <s v="ORD-01235"/>
        <s v="ORD-01236"/>
        <s v="ORD-01237"/>
        <s v="ORD-01238"/>
        <s v="ORD-01239"/>
        <s v="ORD-01240"/>
        <s v="ORD-01241"/>
        <s v="ORD-01242"/>
        <s v="ORD-01243"/>
        <s v="ORD-01244"/>
        <s v="ORD-01245"/>
        <s v="ORD-01246"/>
        <s v="ORD-01247"/>
        <s v="ORD-01248"/>
        <s v="ORD-01249"/>
        <s v="ORD-01251"/>
        <s v="ORD-01250"/>
        <s v="ORD-01252"/>
        <s v="ORD-01253"/>
        <s v="ORD-01254"/>
        <s v="ORD-01255"/>
        <s v="ORD-01256"/>
        <s v="ORD-01257"/>
        <s v="ORD-01258"/>
        <s v="ORD-01259"/>
        <s v="ORD-01260"/>
        <s v="ORD-01261"/>
        <s v="ORD-01262"/>
        <s v="ORD-01263"/>
        <s v="ORD-01264"/>
        <s v="ORD-01265"/>
        <s v="ORD-01266"/>
        <s v="ORD-01267"/>
        <s v="ORD-01268"/>
        <s v="ORD-01269"/>
        <s v="ORD-01270"/>
        <s v="ORD-01271"/>
        <s v="ORD-01272"/>
        <s v="ORD-01273"/>
        <s v="ORD-01274"/>
        <s v="ORD-01275"/>
        <s v="ORD-01276"/>
        <s v="ORD-01277"/>
        <s v="ORD-01278"/>
        <s v="ORD-01279"/>
        <s v="ORD-01280"/>
        <s v="ORD-01281"/>
        <s v="ORD-01282"/>
        <s v="ORD-01283"/>
        <s v="ORD-01284"/>
        <s v="ORD-01285"/>
        <s v="ORD-01286"/>
        <s v="ORD-01287"/>
        <s v="ORD-01288"/>
        <s v="ORD-01289"/>
        <s v="ORD-01290"/>
        <s v="ORD-01291"/>
        <s v="ORD-01292"/>
        <s v="ORD-01293"/>
        <s v="ORD-01294"/>
        <s v="ORD-01295"/>
        <s v="ORD-01296"/>
        <s v="ORD-01297"/>
        <s v="ORD-01298"/>
        <s v="ORD-01299"/>
        <s v="ORD-01300"/>
        <s v="ORD-01301"/>
        <s v="ORD-01302"/>
        <s v="ORD-01303"/>
        <s v="ORD-01304"/>
        <s v="ORD-01305"/>
        <s v="ORD-01306"/>
        <s v="ORD-01307"/>
        <s v="ORD-01308"/>
        <s v="ORD-01309"/>
        <s v="ORD-01310"/>
        <s v="ORD-01311"/>
        <s v="ORD-01312"/>
        <s v="ORD-01313"/>
        <s v="ORD-01314"/>
        <s v="ORD-01315"/>
        <s v="ORD-01316"/>
        <s v="ORD-01317"/>
        <s v="ORD-01318"/>
        <s v="ORD-01319"/>
        <s v="ORD-01320"/>
        <s v="ORD-01321"/>
        <s v="ORD-01322"/>
        <s v="ORD-01323"/>
        <s v="ORD-01324"/>
        <s v="ORD-01325"/>
        <s v="ORD-01327"/>
        <s v="ORD-01326"/>
        <s v="ORD-01328"/>
        <s v="ORD-01329"/>
        <s v="ORD-01330"/>
        <s v="ORD-01331"/>
        <s v="ORD-01332"/>
        <s v="ORD-01333"/>
        <s v="ORD-01334"/>
        <s v="ORD-01335"/>
        <s v="ORD-01336"/>
        <s v="ORD-01337"/>
        <s v="ORD-01338"/>
        <s v="ORD-01339"/>
        <s v="ORD-01340"/>
        <s v="ORD-01341"/>
        <s v="ORD-01342"/>
        <s v="ORD-01343"/>
        <s v="ORD-01344"/>
        <s v="ORD-01345"/>
        <s v="ORD-01346"/>
        <s v="ORD-01347"/>
        <s v="ORD-01348"/>
        <s v="ORD-01349"/>
        <s v="ORD-01350"/>
        <s v="ORD-01351"/>
        <s v="ORD-01352"/>
        <s v="ORD-01353"/>
        <s v="ORD-01354"/>
        <s v="ORD-01355"/>
        <s v="ORD-01356"/>
        <s v="ORD-01357"/>
        <s v="ORD-01358"/>
        <s v="ORD-01359"/>
        <s v="ORD-01360"/>
        <s v="ORD-01361"/>
        <s v="ORD-01362"/>
        <s v="ORD-01363"/>
        <s v="ORD-01364"/>
        <s v="ORD-01365"/>
        <s v="ORD-01366"/>
        <s v="ORD-01367"/>
        <s v="ORD-01368"/>
        <s v="ORD-01369"/>
        <s v="ORD-01370"/>
        <s v="ORD-01371"/>
        <s v="ORD-01372"/>
        <s v="ORD-01373"/>
        <s v="ORD-01374"/>
        <s v="ORD-01375"/>
        <s v="ORD-01376"/>
        <s v="ORD-01377"/>
        <s v="ORD-01378"/>
        <s v="ORD-01379"/>
        <s v="ORD-01380"/>
        <s v="ORD-01381"/>
        <s v="ORD-01382"/>
        <s v="ORD-01383"/>
        <s v="ORD-01384"/>
        <s v="ORD-01385"/>
        <s v="ORD-01386"/>
        <s v="ORD-01387"/>
        <s v="ORD-01388"/>
        <s v="ORD-01389"/>
        <s v="ORD-01390"/>
        <s v="ORD-01391"/>
        <s v="ORD-01392"/>
        <s v="ORD-01393"/>
        <s v="ORD-01394"/>
        <s v="ORD-01395"/>
        <s v="ORD-01396"/>
        <s v="ORD-01397"/>
        <s v="ORD-01398"/>
        <s v="ORD-01399"/>
        <s v="ORD-01400"/>
        <s v="ORD-01401"/>
        <s v="ORD-01402"/>
        <s v="ORD-01403"/>
        <s v="ORD-01404"/>
        <s v="ORD-01405"/>
        <s v="ORD-01406"/>
        <s v="ORD-01407"/>
        <s v="ORD-01408"/>
        <s v="ORD-01409"/>
        <s v="ORD-01410"/>
        <s v="ORD-01411"/>
        <s v="ORD-01412"/>
        <s v="ORD-01413"/>
        <s v="ORD-01447"/>
        <s v="ORD-01415"/>
        <s v="ORD-01416"/>
        <s v="ORD-01417"/>
        <s v="ORD-01418"/>
        <s v="ORD-01419"/>
        <s v="ORD-01420"/>
        <s v="ORD-01421"/>
        <s v="ORD-01422"/>
        <s v="ORD-01423"/>
        <s v="ORD-01424"/>
        <s v="ORD-01425"/>
        <s v="ORD-01426"/>
        <s v="ORD-01427"/>
        <s v="ORD-01428"/>
        <s v="ORD-01429"/>
        <s v="ORD-01430"/>
        <s v="ORD-01431"/>
        <s v="ORD-01432"/>
        <s v="ORD-01433"/>
        <s v="ORD-01434"/>
        <s v="ORD-01435"/>
        <s v="ORD-01436"/>
        <s v="ORD-01437"/>
        <s v="ORD-01438"/>
        <s v="ORD-01439"/>
        <s v="ORD-01440"/>
        <s v="ORD-01441"/>
        <s v="ORD-01442"/>
        <s v="ORD-01443"/>
        <s v="ORD-01444"/>
        <s v="ORD-01445"/>
        <s v="ORD-01446"/>
        <s v="ORD-01414"/>
        <s v="ORD-01448"/>
        <s v="ORD-01449"/>
        <s v="ORD-01450"/>
      </sharedItems>
    </cacheField>
    <cacheField name="order_date" numFmtId="179">
      <sharedItems containsSemiMixedTypes="0" containsString="0" containsNonDate="0" containsDate="1" minDate="2026-01-04T00:00:00" maxDate="2026-12-06T00:00:00" count="199">
        <d v="2026-02-01T00:00:00"/>
        <d v="2026-02-02T00:00:00"/>
        <d v="2026-02-03T00:00:00"/>
        <d v="2026-02-04T00:00:00"/>
        <d v="2026-02-05T00:00:00"/>
        <d v="2026-02-06T00:00:00"/>
        <d v="2026-06-02T00:00:00"/>
        <d v="2026-02-07T00:00:00"/>
        <d v="2026-02-08T00:00:00"/>
        <d v="2026-02-09T00:00:00"/>
        <d v="2026-09-02T00:00:00"/>
        <d v="2026-02-10T00:00:00"/>
        <d v="2026-10-02T00:00:00"/>
        <d v="2026-02-11T00:00:00"/>
        <d v="2026-11-02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5T00:00:00"/>
        <d v="2026-03-07T00:00:00"/>
        <d v="2026-03-06T00:00:00"/>
        <d v="2026-05-03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1-04T00:00:00"/>
        <d v="2026-04-02T00:00:00"/>
        <d v="2026-04-03T00:00:00"/>
        <d v="2026-03-04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10-04T00:00:00"/>
        <d v="2026-04-11T00:00:00"/>
        <d v="2026-11-04T00:00:00"/>
        <d v="2026-04-12T00:00:00"/>
        <d v="2026-12-04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30T00:00:00"/>
        <d v="2026-04-26T00:00:00"/>
        <d v="2026-04-27T00:00:00"/>
        <d v="2026-04-28T00:00:00"/>
        <d v="2026-04-29T00:00:00"/>
        <d v="2026-05-01T00:00:00"/>
        <d v="2026-01-05T00:00:00"/>
        <d v="2026-05-02T00:00:00"/>
        <d v="2026-05-04T00:00:00"/>
        <d v="2026-05-05T00:00:00"/>
        <d v="2026-05-06T00:00:00"/>
        <d v="2026-05-07T00:00:00"/>
        <d v="2026-07-05T00:00:00"/>
        <d v="2026-05-08T00:00:00"/>
        <d v="2026-08-05T00:00:00"/>
        <d v="2026-05-09T00:00:00"/>
        <d v="2026-05-10T00:00:00"/>
        <d v="2026-11-05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6-04T00:00:00"/>
        <d v="2026-05-30T00:00:00"/>
        <d v="2026-05-31T00:00:00"/>
        <d v="2026-06-01T00:00:00"/>
        <d v="2026-06-03T00:00:00"/>
        <d v="2026-06-05T00:00:00"/>
        <d v="2026-06-06T00:00:00"/>
        <d v="2026-07-06T00:00:00"/>
        <d v="2026-06-07T00:00:00"/>
        <d v="2026-06-08T00:00:00"/>
        <d v="2026-08-06T00:00:00"/>
        <d v="2026-06-09T00:00:00"/>
        <d v="2026-06-10T00:00:00"/>
        <d v="2026-10-06T00:00:00"/>
        <d v="2026-06-11T00:00:00"/>
        <d v="2026-11-06T00:00:00"/>
        <d v="2026-12-06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5T00:00:00"/>
        <d v="2026-06-24T00:00:00"/>
        <d v="2026-06-26T00:00:00"/>
        <d v="2026-06-27T00:00:00"/>
        <d v="2026-06-28T00:00:00"/>
        <d v="2026-06-29T00:00:00"/>
        <d v="2026-06-30T00:00:00"/>
        <d v="2026-07-01T00:00:00"/>
        <d v="2026-07-04T00:00:00"/>
        <d v="2026-01-07T00:00:00"/>
        <d v="2026-07-02T00:00:00"/>
        <d v="2026-07-03T00:00:00"/>
        <d v="2026-07-07T00:00:00"/>
        <d v="2026-07-08T00:00:00"/>
        <d v="2026-08-07T00:00:00"/>
        <d v="2026-07-09T00:00:00"/>
        <d v="2026-09-07T00:00:00"/>
        <d v="2026-10-07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19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31T00:00:00"/>
        <d v="2026-07-28T00:00:00"/>
        <d v="2026-07-29T00:00:00"/>
        <d v="2026-07-30T00:00:00"/>
      </sharedItems>
    </cacheField>
    <cacheField name="order_time" numFmtId="180">
      <sharedItems containsSemiMixedTypes="0" containsString="0" containsNonDate="0" containsDate="1" minDate="1899-12-30T11:01:00" maxDate="1899-12-30T23:59:00" count="572">
        <d v="1899-12-30T14:55:00"/>
        <d v="1899-12-30T20:24:00"/>
        <d v="1899-12-30T20:26:00"/>
        <d v="1899-12-30T20:50:00"/>
        <d v="1899-12-30T22:04:00"/>
        <d v="1899-12-30T22:53:00"/>
        <d v="1899-12-30T20:15:00"/>
        <d v="1899-12-30T20:25:00"/>
        <d v="1899-12-30T20:45:00"/>
        <d v="1899-12-30T21:26:00"/>
        <d v="1899-12-30T23:49:00"/>
        <d v="1899-12-30T19:22:00"/>
        <d v="1899-12-30T20:11:00"/>
        <d v="1899-12-30T20:16:00"/>
        <d v="1899-12-30T22:17:00"/>
        <d v="1899-12-30T22:24:00"/>
        <d v="1899-12-30T17:58:00"/>
        <d v="1899-12-30T19:59:00"/>
        <d v="1899-12-30T20:23:00"/>
        <d v="1899-12-30T20:56:00"/>
        <d v="1899-12-30T22:48:00"/>
        <d v="1899-12-30T13:57:00"/>
        <d v="1899-12-30T17:33:00"/>
        <d v="1899-12-30T17:42:00"/>
        <d v="1899-12-30T18:31:00"/>
        <d v="1899-12-30T18:44:00"/>
        <d v="1899-12-30T19:01:00"/>
        <d v="1899-12-30T19:17:00"/>
        <d v="1899-12-30T20:00:00"/>
        <d v="1899-12-30T21:19:00"/>
        <d v="1899-12-30T21:25:00"/>
        <d v="1899-12-30T21:55:00"/>
        <d v="1899-12-30T22:30:00"/>
        <d v="1899-12-30T22:37:00"/>
        <d v="1899-12-30T23:14:00"/>
        <d v="1899-12-30T11:27:00"/>
        <d v="1899-12-30T12:12:00"/>
        <d v="1899-12-30T14:17:00"/>
        <d v="1899-12-30T14:42:00"/>
        <d v="1899-12-30T16:36:00"/>
        <d v="1899-12-30T19:23:00"/>
        <d v="1899-12-30T21:47:00"/>
        <d v="1899-12-30T23:53:00"/>
        <d v="1899-12-30T11:35:00"/>
        <d v="1899-12-30T19:09:00"/>
        <d v="1899-12-30T21:04:00"/>
        <d v="1899-12-30T21:41:00"/>
        <d v="1899-12-30T21:43:00"/>
        <d v="1899-12-30T22:07:00"/>
        <d v="1899-12-30T22:40:00"/>
        <d v="1899-12-30T19:18:00"/>
        <d v="1899-12-30T19:37:00"/>
        <d v="1899-12-30T21:17:00"/>
        <d v="1899-12-30T14:29:00"/>
        <d v="1899-12-30T20:01:00"/>
        <d v="1899-12-30T21:06:00"/>
        <d v="1899-12-30T21:42:00"/>
        <d v="1899-12-30T22:05:00"/>
        <d v="1899-12-30T22:58:00"/>
        <d v="1899-12-30T18:39:00"/>
        <d v="1899-12-30T20:04:00"/>
        <d v="1899-12-30T20:51:00"/>
        <d v="1899-12-30T22:44:00"/>
        <d v="1899-12-30T23:30:00"/>
        <d v="1899-12-30T13:37:00"/>
        <d v="1899-12-30T19:06:00"/>
        <d v="1899-12-30T20:29:00"/>
        <d v="1899-12-30T21:07:00"/>
        <d v="1899-12-30T12:04:00"/>
        <d v="1899-12-30T20:31:00"/>
        <d v="1899-12-30T20:35:00"/>
        <d v="1899-12-30T21:16:00"/>
        <d v="1899-12-30T21:52:00"/>
        <d v="1899-12-30T23:07:00"/>
        <d v="1899-12-30T23:27:00"/>
        <d v="1899-12-30T23:43:00"/>
        <d v="1899-12-30T23:50:00"/>
        <d v="1899-12-30T13:55:00"/>
        <d v="1899-12-30T17:49:00"/>
        <d v="1899-12-30T18:05:00"/>
        <d v="1899-12-30T18:21:00"/>
        <d v="1899-12-30T19:13:00"/>
        <d v="1899-12-30T20:10:00"/>
        <d v="1899-12-30T20:14:00"/>
        <d v="1899-12-30T21:37:00"/>
        <d v="1899-12-30T21:54:00"/>
        <d v="1899-12-30T22:31:00"/>
        <d v="1899-12-30T12:36:00"/>
        <d v="1899-12-30T13:33:00"/>
        <d v="1899-12-30T17:31:00"/>
        <d v="1899-12-30T21:11:00"/>
        <d v="1899-12-30T21:20:00"/>
        <d v="1899-12-30T22:19:00"/>
        <d v="1899-12-30T22:54:00"/>
        <d v="1899-12-30T14:48:00"/>
        <d v="1899-12-30T21:22:00"/>
        <d v="1899-12-30T22:10:00"/>
        <d v="1899-12-30T23:54:00"/>
        <d v="1899-12-30T13:15:00"/>
        <d v="1899-12-30T20:48:00"/>
        <d v="1899-12-30T21:12:00"/>
        <d v="1899-12-30T22:50:00"/>
        <d v="1899-12-30T12:10:00"/>
        <d v="1899-12-30T12:42:00"/>
        <d v="1899-12-30T12:53:00"/>
        <d v="1899-12-30T12:54:00"/>
        <d v="1899-12-30T18:38:00"/>
        <d v="1899-12-30T21:08:00"/>
        <d v="1899-12-30T12:09:00"/>
        <d v="1899-12-30T14:58:00"/>
        <d v="1899-12-30T15:08:00"/>
        <d v="1899-12-30T13:27:00"/>
        <d v="1899-12-30T20:08:00"/>
        <d v="1899-12-30T20:20:00"/>
        <d v="1899-12-30T20:40:00"/>
        <d v="1899-12-30T21:14:00"/>
        <d v="1899-12-30T22:59:00"/>
        <d v="1899-12-30T13:32:00"/>
        <d v="1899-12-30T14:34:00"/>
        <d v="1899-12-30T14:52:00"/>
        <d v="1899-12-30T19:39:00"/>
        <d v="1899-12-30T19:42:00"/>
        <d v="1899-12-30T20:09:00"/>
        <d v="1899-12-30T21:28:00"/>
        <d v="1899-12-30T22:14:00"/>
        <d v="1899-12-30T22:32:00"/>
        <d v="1899-12-30T23:45:00"/>
        <d v="1899-12-30T11:21:00"/>
        <d v="1899-12-30T13:58:00"/>
        <d v="1899-12-30T19:10:00"/>
        <d v="1899-12-30T20:36:00"/>
        <d v="1899-12-30T22:23:00"/>
        <d v="1899-12-30T13:54:00"/>
        <d v="1899-12-30T19:45:00"/>
        <d v="1899-12-30T22:16:00"/>
        <d v="1899-12-30T23:01:00"/>
        <d v="1899-12-30T13:03:00"/>
        <d v="1899-12-30T13:41:00"/>
        <d v="1899-12-30T15:58:00"/>
        <d v="1899-12-30T18:00:00"/>
        <d v="1899-12-30T19:04:00"/>
        <d v="1899-12-30T20:21:00"/>
        <d v="1899-12-30T14:37:00"/>
        <d v="1899-12-30T20:37:00"/>
        <d v="1899-12-30T22:13:00"/>
        <d v="1899-12-30T12:03:00"/>
        <d v="1899-12-30T12:43:00"/>
        <d v="1899-12-30T12:55:00"/>
        <d v="1899-12-30T15:13:00"/>
        <d v="1899-12-30T15:46:00"/>
        <d v="1899-12-30T16:20:00"/>
        <d v="1899-12-30T18:35:00"/>
        <d v="1899-12-30T23:57:00"/>
        <d v="1899-12-30T14:31:00"/>
        <d v="1899-12-30T14:35:00"/>
        <d v="1899-12-30T16:34:00"/>
        <d v="1899-12-30T19:58:00"/>
        <d v="1899-12-30T20:03:00"/>
        <d v="1899-12-30T20:13:00"/>
        <d v="1899-12-30T21:13:00"/>
        <d v="1899-12-30T21:39:00"/>
        <d v="1899-12-30T21:45:00"/>
        <d v="1899-12-30T21:48:00"/>
        <d v="1899-12-30T21:51:00"/>
        <d v="1899-12-30T22:51:00"/>
        <d v="1899-12-30T12:05:00"/>
        <d v="1899-12-30T12:57:00"/>
        <d v="1899-12-30T19:38:00"/>
        <d v="1899-12-30T21:24:00"/>
        <d v="1899-12-30T21:29:00"/>
        <d v="1899-12-30T22:08:00"/>
        <d v="1899-12-30T20:57:00"/>
        <d v="1899-12-30T21:32:00"/>
        <d v="1899-12-30T13:00:00"/>
        <d v="1899-12-30T16:41:00"/>
        <d v="1899-12-30T19:16:00"/>
        <d v="1899-12-30T21:03:00"/>
        <d v="1899-12-30T21:31:00"/>
        <d v="1899-12-30T20:28:00"/>
        <d v="1899-12-30T21:44:00"/>
        <d v="1899-12-30T12:18:00"/>
        <d v="1899-12-30T13:01:00"/>
        <d v="1899-12-30T13:39:00"/>
        <d v="1899-12-30T14:46:00"/>
        <d v="1899-12-30T20:38:00"/>
        <d v="1899-12-30T20:52:00"/>
        <d v="1899-12-30T21:33:00"/>
        <d v="1899-12-30T22:43:00"/>
        <d v="1899-12-30T23:23:00"/>
        <d v="1899-12-30T23:40:00"/>
        <d v="1899-12-30T13:09:00"/>
        <d v="1899-12-30T15:01:00"/>
        <d v="1899-12-30T15:57:00"/>
        <d v="1899-12-30T17:19:00"/>
        <d v="1899-12-30T18:13:00"/>
        <d v="1899-12-30T19:54:00"/>
        <d v="1899-12-30T20:33:00"/>
        <d v="1899-12-30T22:00:00"/>
        <d v="1899-12-30T23:03:00"/>
        <d v="1899-12-30T23:35:00"/>
        <d v="1899-12-30T12:25:00"/>
        <d v="1899-12-30T17:54:00"/>
        <d v="1899-12-30T20:53:00"/>
        <d v="1899-12-30T19:20:00"/>
        <d v="1899-12-30T22:35:00"/>
        <d v="1899-12-30T23:24:00"/>
        <d v="1899-12-30T17:06:00"/>
        <d v="1899-12-30T23:18:00"/>
        <d v="1899-12-30T19:53:00"/>
        <d v="1899-12-30T20:22:00"/>
        <d v="1899-12-30T20:44:00"/>
        <d v="1899-12-30T22:56:00"/>
        <d v="1899-12-30T15:37:00"/>
        <d v="1899-12-30T22:27:00"/>
        <d v="1899-12-30T11:07:00"/>
        <d v="1899-12-30T11:48:00"/>
        <d v="1899-12-30T23:59:00"/>
        <d v="1899-12-30T12:34:00"/>
        <d v="1899-12-30T13:10:00"/>
        <d v="1899-12-30T17:24:00"/>
        <d v="1899-12-30T17:55:00"/>
        <d v="1899-12-30T14:05:00"/>
        <d v="1899-12-30T14:30:00"/>
        <d v="1899-12-30T18:01:00"/>
        <d v="1899-12-30T18:08:00"/>
        <d v="1899-12-30T18:11:00"/>
        <d v="1899-12-30T19:14:00"/>
        <d v="1899-12-30T19:28:00"/>
        <d v="1899-12-30T21:15:00"/>
        <d v="1899-12-30T21:40:00"/>
        <d v="1899-12-30T22:11:00"/>
        <d v="1899-12-30T11:33:00"/>
        <d v="1899-12-30T16:51:00"/>
        <d v="1899-12-30T19:00:00"/>
        <d v="1899-12-30T19:49:00"/>
        <d v="1899-12-30T20:12:00"/>
        <d v="1899-12-30T20:17:00"/>
        <d v="1899-12-30T20:32:00"/>
        <d v="1899-12-30T21:46:00"/>
        <d v="1899-12-30T21:58:00"/>
        <d v="1899-12-30T12:19:00"/>
        <d v="1899-12-30T21:30:00"/>
        <d v="1899-12-30T20:55:00"/>
        <d v="1899-12-30T15:07:00"/>
        <d v="1899-12-30T15:18:00"/>
        <d v="1899-12-30T22:34:00"/>
        <d v="1899-12-30T14:45:00"/>
        <d v="1899-12-30T15:52:00"/>
        <d v="1899-12-30T21:21:00"/>
        <d v="1899-12-30T21:23:00"/>
        <d v="1899-12-30T16:18:00"/>
        <d v="1899-12-30T17:27:00"/>
        <d v="1899-12-30T18:47:00"/>
        <d v="1899-12-30T20:47:00"/>
        <d v="1899-12-30T13:17:00"/>
        <d v="1899-12-30T13:51:00"/>
        <d v="1899-12-30T13:56:00"/>
        <d v="1899-12-30T14:33:00"/>
        <d v="1899-12-30T20:34:00"/>
        <d v="1899-12-30T20:46:00"/>
        <d v="1899-12-30T21:01:00"/>
        <d v="1899-12-30T14:01:00"/>
        <d v="1899-12-30T14:43:00"/>
        <d v="1899-12-30T15:32:00"/>
        <d v="1899-12-30T19:31:00"/>
        <d v="1899-12-30T20:30:00"/>
        <d v="1899-12-30T20:42:00"/>
        <d v="1899-12-30T21:36:00"/>
        <d v="1899-12-30T23:38:00"/>
        <d v="1899-12-30T18:54:00"/>
        <d v="1899-12-30T23:04:00"/>
        <d v="1899-12-30T11:30:00"/>
        <d v="1899-12-30T13:47:00"/>
        <d v="1899-12-30T17:02:00"/>
        <d v="1899-12-30T19:36:00"/>
        <d v="1899-12-30T20:19:00"/>
        <d v="1899-12-30T20:27:00"/>
        <d v="1899-12-30T21:35:00"/>
        <d v="1899-12-30T21:53:00"/>
        <d v="1899-12-30T18:37:00"/>
        <d v="1899-12-30T13:05:00"/>
        <d v="1899-12-30T20:18:00"/>
        <d v="1899-12-30T20:39:00"/>
        <d v="1899-12-30T12:01:00"/>
        <d v="1899-12-30T12:20:00"/>
        <d v="1899-12-30T14:06:00"/>
        <d v="1899-12-30T14:19:00"/>
        <d v="1899-12-30T15:42:00"/>
        <d v="1899-12-30T22:22:00"/>
        <d v="1899-12-30T22:55:00"/>
        <d v="1899-12-30T23:31:00"/>
        <d v="1899-12-30T15:51:00"/>
        <d v="1899-12-30T18:33:00"/>
        <d v="1899-12-30T19:03:00"/>
        <d v="1899-12-30T19:15:00"/>
        <d v="1899-12-30T22:01:00"/>
        <d v="1899-12-30T22:02:00"/>
        <d v="1899-12-30T22:21:00"/>
        <d v="1899-12-30T15:47:00"/>
        <d v="1899-12-30T18:19:00"/>
        <d v="1899-12-30T19:55:00"/>
        <d v="1899-12-30T21:49:00"/>
        <d v="1899-12-30T23:46:00"/>
        <d v="1899-12-30T23:48:00"/>
        <d v="1899-12-30T22:28:00"/>
        <d v="1899-12-30T23:37:00"/>
        <d v="1899-12-30T14:03:00"/>
        <d v="1899-12-30T21:59:00"/>
        <d v="1899-12-30T14:32:00"/>
        <d v="1899-12-30T14:59:00"/>
        <d v="1899-12-30T15:41:00"/>
        <d v="1899-12-30T16:58:00"/>
        <d v="1899-12-30T19:27:00"/>
        <d v="1899-12-30T16:56:00"/>
        <d v="1899-12-30T17:28:00"/>
        <d v="1899-12-30T23:12:00"/>
        <d v="1899-12-30T13:06:00"/>
        <d v="1899-12-30T15:11:00"/>
        <d v="1899-12-30T22:45:00"/>
        <d v="1899-12-30T23:17:00"/>
        <d v="1899-12-30T15:54:00"/>
        <d v="1899-12-30T16:08:00"/>
        <d v="1899-12-30T18:14:00"/>
        <d v="1899-12-30T19:56:00"/>
        <d v="1899-12-30T19:57:00"/>
        <d v="1899-12-30T20:58:00"/>
        <d v="1899-12-30T21:18:00"/>
        <d v="1899-12-30T22:29:00"/>
        <d v="1899-12-30T12:50:00"/>
        <d v="1899-12-30T13:38:00"/>
        <d v="1899-12-30T13:43:00"/>
        <d v="1899-12-30T19:34:00"/>
        <d v="1899-12-30T13:08:00"/>
        <d v="1899-12-30T21:38:00"/>
        <d v="1899-12-30T22:03:00"/>
        <d v="1899-12-30T13:53:00"/>
        <d v="1899-12-30T15:17:00"/>
        <d v="1899-12-30T15:35:00"/>
        <d v="1899-12-30T19:29:00"/>
        <d v="1899-12-30T15:21:00"/>
        <d v="1899-12-30T19:33:00"/>
        <d v="1899-12-30T19:51:00"/>
        <d v="1899-12-30T23:58:00"/>
        <d v="1899-12-30T15:19:00"/>
        <d v="1899-12-30T18:03:00"/>
        <d v="1899-12-30T19:12:00"/>
        <d v="1899-12-30T13:18:00"/>
        <d v="1899-12-30T15:31:00"/>
        <d v="1899-12-30T19:44:00"/>
        <d v="1899-12-30T23:41:00"/>
        <d v="1899-12-30T13:07:00"/>
        <d v="1899-12-30T16:49:00"/>
        <d v="1899-12-30T19:41:00"/>
        <d v="1899-12-30T20:06:00"/>
        <d v="1899-12-30T13:11:00"/>
        <d v="1899-12-30T14:23:00"/>
        <d v="1899-12-30T15:34:00"/>
        <d v="1899-12-30T18:59:00"/>
        <d v="1899-12-30T20:43:00"/>
        <d v="1899-12-30T22:52:00"/>
        <d v="1899-12-30T12:23:00"/>
        <d v="1899-12-30T14:15:00"/>
        <d v="1899-12-30T18:20:00"/>
        <d v="1899-12-30T19:32:00"/>
        <d v="1899-12-30T20:05:00"/>
        <d v="1899-12-30T22:39:00"/>
        <d v="1899-12-30T12:52:00"/>
        <d v="1899-12-30T12:58:00"/>
        <d v="1899-12-30T22:20:00"/>
        <d v="1899-12-30T22:49:00"/>
        <d v="1899-12-30T13:59:00"/>
        <d v="1899-12-30T13:44:00"/>
        <d v="1899-12-30T18:32:00"/>
        <d v="1899-12-30T19:40:00"/>
        <d v="1899-12-30T22:47:00"/>
        <d v="1899-12-30T23:05:00"/>
        <d v="1899-12-30T12:22:00"/>
        <d v="1899-12-30T12:41:00"/>
        <d v="1899-12-30T14:13:00"/>
        <d v="1899-12-30T19:02:00"/>
        <d v="1899-12-30T22:57:00"/>
        <d v="1899-12-30T14:50:00"/>
        <d v="1899-12-30T16:44:00"/>
        <d v="1899-12-30T18:27:00"/>
        <d v="1899-12-30T19:25:00"/>
        <d v="1899-12-30T21:02:00"/>
        <d v="1899-12-30T14:24:00"/>
        <d v="1899-12-30T18:53:00"/>
        <d v="1899-12-30T16:15:00"/>
        <d v="1899-12-30T21:05:00"/>
        <d v="1899-12-30T16:04:00"/>
        <d v="1899-12-30T13:46:00"/>
        <d v="1899-12-30T14:02:00"/>
        <d v="1899-12-30T16:53:00"/>
        <d v="1899-12-30T18:56:00"/>
        <d v="1899-12-30T20:07:00"/>
        <d v="1899-12-30T23:20:00"/>
        <d v="1899-12-30T13:20:00"/>
        <d v="1899-12-30T13:23:00"/>
        <d v="1899-12-30T18:55:00"/>
        <d v="1899-12-30T13:22:00"/>
        <d v="1899-12-30T13:12:00"/>
        <d v="1899-12-30T14:49:00"/>
        <d v="1899-12-30T16:22:00"/>
        <d v="1899-12-30T22:26:00"/>
        <d v="1899-12-30T12:13:00"/>
        <d v="1899-12-30T22:09:00"/>
        <d v="1899-12-30T12:21:00"/>
        <d v="1899-12-30T19:52:00"/>
        <d v="1899-12-30T12:38:00"/>
        <d v="1899-12-30T14:04:00"/>
        <d v="1899-12-30T19:05:00"/>
        <d v="1899-12-30T14:36:00"/>
        <d v="1899-12-30T13:52:00"/>
        <d v="1899-12-30T14:00:00"/>
        <d v="1899-12-30T15:45:00"/>
        <d v="1899-12-30T15:49:00"/>
        <d v="1899-12-30T21:57:00"/>
        <d v="1899-12-30T16:42:00"/>
        <d v="1899-12-30T20:59:00"/>
        <d v="1899-12-30T21:27:00"/>
        <d v="1899-12-30T18:15:00"/>
        <d v="1899-12-30T19:21:00"/>
        <d v="1899-12-30T19:26:00"/>
        <d v="1899-12-30T20:02:00"/>
        <d v="1899-12-30T13:19:00"/>
        <d v="1899-12-30T15:04:00"/>
        <d v="1899-12-30T19:43:00"/>
        <d v="1899-12-30T20:41:00"/>
        <d v="1899-12-30T21:00:00"/>
        <d v="1899-12-30T21:09:00"/>
        <d v="1899-12-30T23:22:00"/>
        <d v="1899-12-30T12:08:00"/>
        <d v="1899-12-30T17:53:00"/>
        <d v="1899-12-30T18:12:00"/>
        <d v="1899-12-30T20:49:00"/>
        <d v="1899-12-30T22:36:00"/>
        <d v="1899-12-30T23:09:00"/>
        <d v="1899-12-30T12:00:00"/>
        <d v="1899-12-30T21:50:00"/>
        <d v="1899-12-30T22:15:00"/>
        <d v="1899-12-30T19:08:00"/>
        <d v="1899-12-30T23:21:00"/>
        <d v="1899-12-30T11:53:00"/>
        <d v="1899-12-30T22:38:00"/>
        <d v="1899-12-30T12:56:00"/>
        <d v="1899-12-30T18:34:00"/>
        <d v="1899-12-30T23:39:00"/>
        <d v="1899-12-30T11:12:00"/>
        <d v="1899-12-30T13:13:00"/>
        <d v="1899-12-30T13:42:00"/>
        <d v="1899-12-30T17:35:00"/>
        <d v="1899-12-30T18:04:00"/>
        <d v="1899-12-30T23:02:00"/>
        <d v="1899-12-30T22:33:00"/>
        <d v="1899-12-30T14:12:00"/>
        <d v="1899-12-30T14:18:00"/>
        <d v="1899-12-30T21:10:00"/>
        <d v="1899-12-30T12:17:00"/>
        <d v="1899-12-30T22:41:00"/>
        <d v="1899-12-30T23:36:00"/>
        <d v="1899-12-30T13:21:00"/>
        <d v="1899-12-30T14:44:00"/>
        <d v="1899-12-30T17:34:00"/>
        <d v="1899-12-30T18:58:00"/>
        <d v="1899-12-30T16:27:00"/>
        <d v="1899-12-30T21:34:00"/>
        <d v="1899-12-30T11:06:00"/>
        <d v="1899-12-30T16:10:00"/>
        <d v="1899-12-30T14:21:00"/>
        <d v="1899-12-30T16:06:00"/>
        <d v="1899-12-30T19:46:00"/>
        <d v="1899-12-30T12:33:00"/>
        <d v="1899-12-30T14:14:00"/>
        <d v="1899-12-30T18:06:00"/>
        <d v="1899-12-30T19:48:00"/>
        <d v="1899-12-30T22:18:00"/>
        <d v="1899-12-30T23:47:00"/>
        <d v="1899-12-30T15:06:00"/>
        <d v="1899-12-30T16:31:00"/>
        <d v="1899-12-30T22:06:00"/>
        <d v="1899-12-30T15:27:00"/>
        <d v="1899-12-30T20:54:00"/>
        <d v="1899-12-30T17:41:00"/>
        <d v="1899-12-30T16:45:00"/>
        <d v="1899-12-30T17:15:00"/>
        <d v="1899-12-30T23:25:00"/>
        <d v="1899-12-30T14:39:00"/>
        <d v="1899-12-30T16:21:00"/>
        <d v="1899-12-30T14:28:00"/>
        <d v="1899-12-30T17:46:00"/>
        <d v="1899-12-30T18:57:00"/>
        <d v="1899-12-30T22:46:00"/>
        <d v="1899-12-30T17:59:00"/>
        <d v="1899-12-30T17:03:00"/>
        <d v="1899-12-30T23:51:00"/>
        <d v="1899-12-30T15:28:00"/>
        <d v="1899-12-30T17:18:00"/>
        <d v="1899-12-30T14:10:00"/>
        <d v="1899-12-30T15:53:00"/>
        <d v="1899-12-30T17:01:00"/>
        <d v="1899-12-30T17:07:00"/>
        <d v="1899-12-30T13:49:00"/>
        <d v="1899-12-30T11:03:00"/>
        <d v="1899-12-30T14:07:00"/>
        <d v="1899-12-30T17:51:00"/>
        <d v="1899-12-30T23:16:00"/>
        <d v="1899-12-30T14:20:00"/>
        <d v="1899-12-30T19:07:00"/>
        <d v="1899-12-30T15:40:00"/>
        <d v="1899-12-30T16:14:00"/>
        <d v="1899-12-30T18:43:00"/>
        <d v="1899-12-30T17:50:00"/>
        <d v="1899-12-30T22:42:00"/>
        <d v="1899-12-30T12:35:00"/>
        <d v="1899-12-30T12:47:00"/>
        <d v="1899-12-30T13:34:00"/>
        <d v="1899-12-30T15:48:00"/>
        <d v="1899-12-30T17:45:00"/>
        <d v="1899-12-30T17:17:00"/>
        <d v="1899-12-30T22:12:00"/>
        <d v="1899-12-30T23:15:00"/>
        <d v="1899-12-30T11:01:00"/>
        <d v="1899-12-30T13:29:00"/>
        <d v="1899-12-30T23:11:00"/>
        <d v="1899-12-30T18:10:00"/>
        <d v="1899-12-30T13:26:00"/>
        <d v="1899-12-30T13:35:00"/>
        <d v="1899-12-30T19:24:00"/>
        <d v="1899-12-30T19:35:00"/>
        <d v="1899-12-30T13:25:00"/>
        <d v="1899-12-30T14:22:00"/>
        <d v="1899-12-30T23:06:00"/>
        <d v="1899-12-30T22:25:00"/>
        <d v="1899-12-30T17:29:00"/>
        <d v="1899-12-30T23:10:00"/>
        <d v="1899-12-30T15:43:00"/>
        <d v="1899-12-30T15:15:00"/>
        <d v="1899-12-30T17:25:00"/>
        <d v="1899-12-30T14:56:00"/>
        <d v="1899-12-30T16:29:00"/>
        <d v="1899-12-30T18:23:00"/>
        <d v="1899-12-30T12:28:00"/>
        <d v="1899-12-30T18:16:00"/>
        <d v="1899-12-30T18:07:00"/>
        <d v="1899-12-30T23:29:00"/>
        <d v="1899-12-30T17:39:00"/>
        <d v="1899-12-30T21:56:00"/>
        <d v="1899-12-30T13:50:00"/>
        <d v="1899-12-30T12:15:00"/>
        <d v="1899-12-30T11:08:00"/>
        <d v="1899-12-30T12:16:00"/>
        <d v="1899-12-30T13:36:00"/>
        <d v="1899-12-30T16:11:00"/>
        <d v="1899-12-30T15:44:00"/>
        <d v="1899-12-30T18:24:00"/>
        <d v="1899-12-30T18:28:00"/>
        <d v="1899-12-30T13:04:00"/>
        <d v="1899-12-30T18:29:00"/>
        <d v="1899-12-30T13:40:00"/>
        <d v="1899-12-30T16:47:00"/>
        <d v="1899-12-30T17:56:00"/>
        <d v="1899-12-30T14:11:00"/>
        <d v="1899-12-30T17:09:00"/>
        <d v="1899-12-30T12:51:00"/>
        <d v="1899-12-30T15:12:00"/>
        <d v="1899-12-30T19:30:00"/>
        <d v="1899-12-30T16:32:00"/>
        <d v="1899-12-30T11:04:00"/>
        <d v="1899-12-30T11:58:00"/>
        <d v="1899-12-30T12:14:00"/>
        <d v="1899-12-30T19:11:00"/>
      </sharedItems>
    </cacheField>
    <cacheField name="Hour" numFmtId="0">
      <sharedItems containsSemiMixedTypes="0" containsString="0" containsNumber="1" containsInteger="1" minValue="11" maxValue="23" count="13">
        <n v="14"/>
        <n v="20"/>
        <n v="22"/>
        <n v="21"/>
        <n v="23"/>
        <n v="19"/>
        <n v="17"/>
        <n v="13"/>
        <n v="18"/>
        <n v="11"/>
        <n v="12"/>
        <n v="16"/>
        <n v="15"/>
      </sharedItems>
    </cacheField>
    <cacheField name="weekday" numFmtId="49">
      <sharedItems count="7">
        <s v="Sunday"/>
        <s v="Monday"/>
        <s v="Tuesday"/>
        <s v="Wednesday"/>
        <s v="Thursday"/>
        <s v="Friday"/>
        <s v="Saturday"/>
      </sharedItems>
    </cacheField>
    <cacheField name="channel" numFmtId="49">
      <sharedItems count="3">
        <s v="Dine-in"/>
        <s v="Delivery"/>
        <s v="Takeaway"/>
      </sharedItems>
    </cacheField>
    <cacheField name="item_name" numFmtId="49">
      <sharedItems count="15">
        <s v="Tea"/>
        <s v="Chicken Tikka"/>
        <s v="Falafel Sandwich"/>
        <s v="Hummus"/>
        <s v="Mixed Grill Platter"/>
        <s v="Lamb Kebab"/>
        <s v="Soft Drink"/>
        <s v="Shawarma Sandwich"/>
        <s v="Chicken Sandwich"/>
        <s v="Fattoush Salad"/>
        <s v="Kunafa"/>
        <s v="Shish Tawook"/>
        <s v="Baklava"/>
        <s v="Fresh Lemon Mint"/>
        <s v="Mutabbal"/>
      </sharedItems>
    </cacheField>
    <cacheField name="category" numFmtId="49">
      <sharedItems count="5">
        <s v="Beverages"/>
        <s v="Grills"/>
        <s v="Sandwiches"/>
        <s v="Appetizers"/>
        <s v="Desserts"/>
      </sharedItems>
    </cacheField>
    <cacheField name="quantity" numFmtId="0">
      <sharedItems containsString="0" containsBlank="1" containsNumber="1" containsInteger="1" minValue="1" maxValue="3" count="4">
        <n v="2"/>
        <n v="3"/>
        <n v="1"/>
        <m/>
      </sharedItems>
    </cacheField>
    <cacheField name="unit_price" numFmtId="3">
      <sharedItems containsSemiMixedTypes="0" containsString="0" containsNumber="1" containsInteger="1" minValue="1000" maxValue="25000" count="18">
        <n v="1000"/>
        <n v="15000"/>
        <n v="3000"/>
        <n v="4000"/>
        <n v="25000"/>
        <n v="18000"/>
        <n v="1500"/>
        <n v="5000"/>
        <n v="6000"/>
        <n v="13500"/>
        <n v="7000"/>
        <n v="16000"/>
        <n v="1350"/>
        <n v="1200"/>
        <n v="4500"/>
        <n v="13600"/>
        <n v="3400"/>
        <n v="2700"/>
      </sharedItems>
    </cacheField>
    <cacheField name="total_price" numFmtId="3">
      <sharedItems containsSemiMixedTypes="0" containsString="0" containsNumber="1" containsInteger="1" minValue="0" maxValue="75000" count="85">
        <n v="2000"/>
        <n v="45000"/>
        <n v="3000"/>
        <n v="4000"/>
        <n v="22500"/>
        <n v="18000"/>
        <n v="1500"/>
        <n v="1000"/>
        <n v="15000"/>
        <n v="5000"/>
        <n v="6000"/>
        <n v="12150"/>
        <n v="10000"/>
        <n v="7000"/>
        <n v="8000"/>
        <n v="25000"/>
        <n v="30000"/>
        <n v="36000"/>
        <n v="15300"/>
        <n v="48000"/>
        <n v="1215"/>
        <n v="12000"/>
        <n v="8500"/>
        <n v="3600"/>
        <n v="16000"/>
        <n v="4500"/>
        <n v="960"/>
        <n v="43200"/>
        <n v="54000"/>
        <n v="20000"/>
        <n v="2700"/>
        <n v="800"/>
        <n v="14000"/>
        <n v="5950"/>
        <n v="13600"/>
        <n v="50000"/>
        <n v="5400"/>
        <n v="4800"/>
        <n v="900"/>
        <n v="32000"/>
        <n v="9000"/>
        <n v="850"/>
        <n v="12600"/>
        <n v="5100"/>
        <n v="3200"/>
        <n v="14400"/>
        <n v="4250"/>
        <n v="32400"/>
        <n v="3400"/>
        <n v="21000"/>
        <n v="3825"/>
        <n v="28800"/>
        <n v="21250"/>
        <n v="1800"/>
        <n v="8100"/>
        <n v="2550"/>
        <n v="1350"/>
        <n v="2400"/>
        <n v="4050"/>
        <n v="9600"/>
        <n v="1275"/>
        <n v="42500"/>
        <n v="11560"/>
        <n v="25500"/>
        <n v="11900"/>
        <n v="0"/>
        <n v="6300"/>
        <n v="13500"/>
        <n v="6800"/>
        <n v="1920"/>
        <n v="10800"/>
        <n v="16200"/>
        <n v="1200"/>
        <n v="38400"/>
        <n v="48600"/>
        <n v="12800"/>
        <n v="12750"/>
        <n v="67500"/>
        <n v="25600"/>
        <n v="7650"/>
        <n v="60000"/>
        <n v="2890"/>
        <n v="75000"/>
        <n v="2430"/>
        <n v="1700"/>
      </sharedItems>
    </cacheField>
    <cacheField name="payment_method" numFmtId="49">
      <sharedItems count="2">
        <s v="Cash"/>
        <s v="Card"/>
      </sharedItems>
    </cacheField>
    <cacheField name="discount_pct" numFmtId="0">
      <sharedItems containsSemiMixedTypes="0" containsString="0" containsNumber="1" minValue="0" maxValue="0.2" count="4">
        <n v="0"/>
        <n v="0.1"/>
        <n v="0.2"/>
        <n v="0.15"/>
      </sharedItems>
    </cacheField>
    <cacheField name="customer_rating" numFmtId="0">
      <sharedItems containsNumber="1" containsInteger="1" containsMixedTypes="1" count="5">
        <s v=""/>
        <n v="5"/>
        <n v="4"/>
        <n v="3"/>
        <n v="2"/>
      </sharedItems>
    </cacheField>
    <cacheField name="server_name" numFmtId="49">
      <sharedItems count="5">
        <s v="Noor Kadhim"/>
        <s v="Ali Hassan"/>
        <s v="Mustafa Karim"/>
        <s v="Zainab Salim"/>
        <s v="Omar Jabbar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invalid="1" refreshOnLoad="1" refreshedVersion="5" refreshedDate="46286.3600347222" refreshedBy="MSI" recordCount="1450">
  <cacheSource type="worksheet">
    <worksheetSource ref="A1:O1451" sheet="01-clean"/>
  </cacheSource>
  <cacheFields count="15">
    <cacheField name="order_id" numFmtId="49">
      <sharedItems count="1450">
        <s v="ORD-00001"/>
        <s v="ORD-00002"/>
        <s v="ORD-00003"/>
        <s v="ORD-00004"/>
        <s v="ORD-00005"/>
        <s v="ORD-00006"/>
        <s v="ORD-00007"/>
        <s v="ORD-00008"/>
        <s v="ORD-00009"/>
        <s v="ORD-00010"/>
        <s v="ORD-00011"/>
        <s v="ORD-00012"/>
        <s v="ORD-00013"/>
        <s v="ORD-00014"/>
        <s v="ORD-00015"/>
        <s v="ORD-00016"/>
        <s v="ORD-00017"/>
        <s v="ORD-00018"/>
        <s v="ORD-00019"/>
        <s v="ORD-00020"/>
        <s v="ORD-00021"/>
        <s v="ORD-00022"/>
        <s v="ORD-00023"/>
        <s v="ORD-00024"/>
        <s v="ORD-00025"/>
        <s v="ORD-00026"/>
        <s v="ORD-00027"/>
        <s v="ORD-00028"/>
        <s v="ORD-00029"/>
        <s v="ORD-00030"/>
        <s v="ORD-00031"/>
        <s v="ORD-00032"/>
        <s v="ORD-00033"/>
        <s v="ORD-00034"/>
        <s v="ORD-00035"/>
        <s v="ORD-00036"/>
        <s v="ORD-00037"/>
        <s v="ORD-00038"/>
        <s v="ORD-00039"/>
        <s v="ORD-00040"/>
        <s v="ORD-00041"/>
        <s v="ORD-00042"/>
        <s v="ORD-00043"/>
        <s v="ORD-00044"/>
        <s v="ORD-00045"/>
        <s v="ORD-00046"/>
        <s v="ORD-00047"/>
        <s v="ORD-00048"/>
        <s v="ORD-00049"/>
        <s v="ORD-00050"/>
        <s v="ORD-00051"/>
        <s v="ORD-00052"/>
        <s v="ORD-00053"/>
        <s v="ORD-00054"/>
        <s v="ORD-00055"/>
        <s v="ORD-00056"/>
        <s v="ORD-00057"/>
        <s v="ORD-00058"/>
        <s v="ORD-00059"/>
        <s v="ORD-00060"/>
        <s v="ORD-00061"/>
        <s v="ORD-00062"/>
        <s v="ORD-00063"/>
        <s v="ORD-00064"/>
        <s v="ORD-00065"/>
        <s v="ORD-00066"/>
        <s v="ORD-00067"/>
        <s v="ORD-00068"/>
        <s v="ORD-00069"/>
        <s v="ORD-00070"/>
        <s v="ORD-00071"/>
        <s v="ORD-00072"/>
        <s v="ORD-00073"/>
        <s v="ORD-00074"/>
        <s v="ORD-00075"/>
        <s v="ORD-00076"/>
        <s v="ORD-00077"/>
        <s v="ORD-00078"/>
        <s v="ORD-00079"/>
        <s v="ORD-00080"/>
        <s v="ORD-00081"/>
        <s v="ORD-00082"/>
        <s v="ORD-00083"/>
        <s v="ORD-00084"/>
        <s v="ORD-00085"/>
        <s v="ORD-00086"/>
        <s v="ORD-00087"/>
        <s v="ORD-00088"/>
        <s v="ORD-00089"/>
        <s v="ORD-00090"/>
        <s v="ORD-00091"/>
        <s v="ORD-00092"/>
        <s v="ORD-00093"/>
        <s v="ORD-00094"/>
        <s v="ORD-00095"/>
        <s v="ORD-00096"/>
        <s v="ORD-00097"/>
        <s v="ORD-00098"/>
        <s v="ORD-00099"/>
        <s v="ORD-00100"/>
        <s v="ORD-00101"/>
        <s v="ORD-00102"/>
        <s v="ORD-00103"/>
        <s v="ORD-00104"/>
        <s v="ORD-00105"/>
        <s v="ORD-00106"/>
        <s v="ORD-00107"/>
        <s v="ORD-00108"/>
        <s v="ORD-00109"/>
        <s v="ORD-00110"/>
        <s v="ORD-00111"/>
        <s v="ORD-00112"/>
        <s v="ORD-00113"/>
        <s v="ORD-00114"/>
        <s v="ORD-00115"/>
        <s v="ORD-00116"/>
        <s v="ORD-00117"/>
        <s v="ORD-00118"/>
        <s v="ORD-00119"/>
        <s v="ORD-00120"/>
        <s v="ORD-00121"/>
        <s v="ORD-00122"/>
        <s v="ORD-00123"/>
        <s v="ORD-00124"/>
        <s v="ORD-00125"/>
        <s v="ORD-00126"/>
        <s v="ORD-00127"/>
        <s v="ORD-00128"/>
        <s v="ORD-00129"/>
        <s v="ORD-00130"/>
        <s v="ORD-00131"/>
        <s v="ORD-00132"/>
        <s v="ORD-00133"/>
        <s v="ORD-00134"/>
        <s v="ORD-00135"/>
        <s v="ORD-00136"/>
        <s v="ORD-00137"/>
        <s v="ORD-00138"/>
        <s v="ORD-00139"/>
        <s v="ORD-00140"/>
        <s v="ORD-00141"/>
        <s v="ORD-00142"/>
        <s v="ORD-00143"/>
        <s v="ORD-00144"/>
        <s v="ORD-00145"/>
        <s v="ORD-00146"/>
        <s v="ORD-00163"/>
        <s v="ORD-00148"/>
        <s v="ORD-00149"/>
        <s v="ORD-00150"/>
        <s v="ORD-00151"/>
        <s v="ORD-00152"/>
        <s v="ORD-00153"/>
        <s v="ORD-00154"/>
        <s v="ORD-00156"/>
        <s v="ORD-00155"/>
        <s v="ORD-00157"/>
        <s v="ORD-00158"/>
        <s v="ORD-00159"/>
        <s v="ORD-00160"/>
        <s v="ORD-00161"/>
        <s v="ORD-00162"/>
        <s v="ORD-00147"/>
        <s v="ORD-00164"/>
        <s v="ORD-00165"/>
        <s v="ORD-00166"/>
        <s v="ORD-00167"/>
        <s v="ORD-00168"/>
        <s v="ORD-00169"/>
        <s v="ORD-00170"/>
        <s v="ORD-00171"/>
        <s v="ORD-00172"/>
        <s v="ORD-00173"/>
        <s v="ORD-00174"/>
        <s v="ORD-00175"/>
        <s v="ORD-00176"/>
        <s v="ORD-00177"/>
        <s v="ORD-00178"/>
        <s v="ORD-00179"/>
        <s v="ORD-00180"/>
        <s v="ORD-00181"/>
        <s v="ORD-00182"/>
        <s v="ORD-00183"/>
        <s v="ORD-00184"/>
        <s v="ORD-00185"/>
        <s v="ORD-00186"/>
        <s v="ORD-00187"/>
        <s v="ORD-00188"/>
        <s v="ORD-00189"/>
        <s v="ORD-00190"/>
        <s v="ORD-00191"/>
        <s v="ORD-00192"/>
        <s v="ORD-00193"/>
        <s v="ORD-00194"/>
        <s v="ORD-00195"/>
        <s v="ORD-00196"/>
        <s v="ORD-00197"/>
        <s v="ORD-00198"/>
        <s v="ORD-00199"/>
        <s v="ORD-00200"/>
        <s v="ORD-00201"/>
        <s v="ORD-00202"/>
        <s v="ORD-00203"/>
        <s v="ORD-00204"/>
        <s v="ORD-00205"/>
        <s v="ORD-00206"/>
        <s v="ORD-00207"/>
        <s v="ORD-00208"/>
        <s v="ORD-00209"/>
        <s v="ORD-00210"/>
        <s v="ORD-00211"/>
        <s v="ORD-00212"/>
        <s v="ORD-00213"/>
        <s v="ORD-00214"/>
        <s v="ORD-00215"/>
        <s v="ORD-00216"/>
        <s v="ORD-00217"/>
        <s v="ORD-00218"/>
        <s v="ORD-00219"/>
        <s v="ORD-00220"/>
        <s v="ORD-00221"/>
        <s v="ORD-00222"/>
        <s v="ORD-00223"/>
        <s v="ORD-00224"/>
        <s v="ORD-00225"/>
        <s v="ORD-00226"/>
        <s v="ORD-00227"/>
        <s v="ORD-00228"/>
        <s v="ORD-00229"/>
        <s v="ORD-00230"/>
        <s v="ORD-00231"/>
        <s v="ORD-00232"/>
        <s v="ORD-00233"/>
        <s v="ORD-00234"/>
        <s v="ORD-00235"/>
        <s v="ORD-00236"/>
        <s v="ORD-00237"/>
        <s v="ORD-00238"/>
        <s v="ORD-00239"/>
        <s v="ORD-00240"/>
        <s v="ORD-00241"/>
        <s v="ORD-00242"/>
        <s v="ORD-00243"/>
        <s v="ORD-00244"/>
        <s v="ORD-00245"/>
        <s v="ORD-00246"/>
        <s v="ORD-00247"/>
        <s v="ORD-00248"/>
        <s v="ORD-00249"/>
        <s v="ORD-00283"/>
        <s v="ORD-00251"/>
        <s v="ORD-00252"/>
        <s v="ORD-00253"/>
        <s v="ORD-00254"/>
        <s v="ORD-00255"/>
        <s v="ORD-00256"/>
        <s v="ORD-00257"/>
        <s v="ORD-00258"/>
        <s v="ORD-00259"/>
        <s v="ORD-00260"/>
        <s v="ORD-00261"/>
        <s v="ORD-00262"/>
        <s v="ORD-00263"/>
        <s v="ORD-00264"/>
        <s v="ORD-00265"/>
        <s v="ORD-00266"/>
        <s v="ORD-00267"/>
        <s v="ORD-00268"/>
        <s v="ORD-00269"/>
        <s v="ORD-00270"/>
        <s v="ORD-00271"/>
        <s v="ORD-00272"/>
        <s v="ORD-00273"/>
        <s v="ORD-00274"/>
        <s v="ORD-00275"/>
        <s v="ORD-00276"/>
        <s v="ORD-00277"/>
        <s v="ORD-00278"/>
        <s v="ORD-00279"/>
        <s v="ORD-00280"/>
        <s v="ORD-00281"/>
        <s v="ORD-00282"/>
        <s v="ORD-00250"/>
        <s v="ORD-00284"/>
        <s v="ORD-00285"/>
        <s v="ORD-00286"/>
        <s v="ORD-00287"/>
        <s v="ORD-00288"/>
        <s v="ORD-00289"/>
        <s v="ORD-00290"/>
        <s v="ORD-00291"/>
        <s v="ORD-00292"/>
        <s v="ORD-00293"/>
        <s v="ORD-00294"/>
        <s v="ORD-00295"/>
        <s v="ORD-00296"/>
        <s v="ORD-00297"/>
        <s v="ORD-00298"/>
        <s v="ORD-00299"/>
        <s v="ORD-00300"/>
        <s v="ORD-00301"/>
        <s v="ORD-00302"/>
        <s v="ORD-00303"/>
        <s v="ORD-00304"/>
        <s v="ORD-00305"/>
        <s v="ORD-00306"/>
        <s v="ORD-00307"/>
        <s v="ORD-00308"/>
        <s v="ORD-00309"/>
        <s v="ORD-00310"/>
        <s v="ORD-00311"/>
        <s v="ORD-00312"/>
        <s v="ORD-00313"/>
        <s v="ORD-00314"/>
        <s v="ORD-00315"/>
        <s v="ORD-00316"/>
        <s v="ORD-00317"/>
        <s v="ORD-00318"/>
        <s v="ORD-00319"/>
        <s v="ORD-00320"/>
        <s v="ORD-00321"/>
        <s v="ORD-00322"/>
        <s v="ORD-00323"/>
        <s v="ORD-00324"/>
        <s v="ORD-00325"/>
        <s v="ORD-00326"/>
        <s v="ORD-00327"/>
        <s v="ORD-00328"/>
        <s v="ORD-00329"/>
        <s v="ORD-00330"/>
        <s v="ORD-00331"/>
        <s v="ORD-00332"/>
        <s v="ORD-00333"/>
        <s v="ORD-00334"/>
        <s v="ORD-00335"/>
        <s v="ORD-00336"/>
        <s v="ORD-00337"/>
        <s v="ORD-00338"/>
        <s v="ORD-00339"/>
        <s v="ORD-00340"/>
        <s v="ORD-00341"/>
        <s v="ORD-00342"/>
        <s v="ORD-00343"/>
        <s v="ORD-00344"/>
        <s v="ORD-00345"/>
        <s v="ORD-00346"/>
        <s v="ORD-00347"/>
        <s v="ORD-00348"/>
        <s v="ORD-00349"/>
        <s v="ORD-00350"/>
        <s v="ORD-00351"/>
        <s v="ORD-00352"/>
        <s v="ORD-00353"/>
        <s v="ORD-00354"/>
        <s v="ORD-00355"/>
        <s v="ORD-00356"/>
        <s v="ORD-00357"/>
        <s v="ORD-00358"/>
        <s v="ORD-00359"/>
        <s v="ORD-00360"/>
        <s v="ORD-00361"/>
        <s v="ORD-00362"/>
        <s v="ORD-00363"/>
        <s v="ORD-00364"/>
        <s v="ORD-00365"/>
        <s v="ORD-00366"/>
        <s v="ORD-00367"/>
        <s v="ORD-00368"/>
        <s v="ORD-00369"/>
        <s v="ORD-00370"/>
        <s v="ORD-00371"/>
        <s v="ORD-00372"/>
        <s v="ORD-00373"/>
        <s v="ORD-00374"/>
        <s v="ORD-00375"/>
        <s v="ORD-00376"/>
        <s v="ORD-00377"/>
        <s v="ORD-00378"/>
        <s v="ORD-00379"/>
        <s v="ORD-00380"/>
        <s v="ORD-00381"/>
        <s v="ORD-00382"/>
        <s v="ORD-00383"/>
        <s v="ORD-00384"/>
        <s v="ORD-00385"/>
        <s v="ORD-00386"/>
        <s v="ORD-00387"/>
        <s v="ORD-00388"/>
        <s v="ORD-00389"/>
        <s v="ORD-00390"/>
        <s v="ORD-00391"/>
        <s v="ORD-00392"/>
        <s v="ORD-00393"/>
        <s v="ORD-00394"/>
        <s v="ORD-00395"/>
        <s v="ORD-00396"/>
        <s v="ORD-00397"/>
        <s v="ORD-00398"/>
        <s v="ORD-00399"/>
        <s v="ORD-00400"/>
        <s v="ORD-00401"/>
        <s v="ORD-00402"/>
        <s v="ORD-00403"/>
        <s v="ORD-00404"/>
        <s v="ORD-00405"/>
        <s v="ORD-00406"/>
        <s v="ORD-00407"/>
        <s v="ORD-00408"/>
        <s v="ORD-00409"/>
        <s v="ORD-00410"/>
        <s v="ORD-00411"/>
        <s v="ORD-00412"/>
        <s v="ORD-00413"/>
        <s v="ORD-00414"/>
        <s v="ORD-00415"/>
        <s v="ORD-00416"/>
        <s v="ORD-00417"/>
        <s v="ORD-00418"/>
        <s v="ORD-00419"/>
        <s v="ORD-00420"/>
        <s v="ORD-00421"/>
        <s v="ORD-00422"/>
        <s v="ORD-00423"/>
        <s v="ORD-00424"/>
        <s v="ORD-00425"/>
        <s v="ORD-00426"/>
        <s v="ORD-00427"/>
        <s v="ORD-00428"/>
        <s v="ORD-00429"/>
        <s v="ORD-00430"/>
        <s v="ORD-00431"/>
        <s v="ORD-00432"/>
        <s v="ORD-00433"/>
        <s v="ORD-00434"/>
        <s v="ORD-00435"/>
        <s v="ORD-00436"/>
        <s v="ORD-00437"/>
        <s v="ORD-00438"/>
        <s v="ORD-00439"/>
        <s v="ORD-00440"/>
        <s v="ORD-00441"/>
        <s v="ORD-00442"/>
        <s v="ORD-00443"/>
        <s v="ORD-00444"/>
        <s v="ORD-00445"/>
        <s v="ORD-00446"/>
        <s v="ORD-00447"/>
        <s v="ORD-00448"/>
        <s v="ORD-00449"/>
        <s v="ORD-00450"/>
        <s v="ORD-00451"/>
        <s v="ORD-00452"/>
        <s v="ORD-00453"/>
        <s v="ORD-00454"/>
        <s v="ORD-00455"/>
        <s v="ORD-00456"/>
        <s v="ORD-00457"/>
        <s v="ORD-00458"/>
        <s v="ORD-00459"/>
        <s v="ORD-00460"/>
        <s v="ORD-00461"/>
        <s v="ORD-00462"/>
        <s v="ORD-00463"/>
        <s v="ORD-00464"/>
        <s v="ORD-00465"/>
        <s v="ORD-00466"/>
        <s v="ORD-00467"/>
        <s v="ORD-00468"/>
        <s v="ORD-00469"/>
        <s v="ORD-00470"/>
        <s v="ORD-00471"/>
        <s v="ORD-00472"/>
        <s v="ORD-00473"/>
        <s v="ORD-00474"/>
        <s v="ORD-00475"/>
        <s v="ORD-00476"/>
        <s v="ORD-00477"/>
        <s v="ORD-00478"/>
        <s v="ORD-00479"/>
        <s v="ORD-00480"/>
        <s v="ORD-00481"/>
        <s v="ORD-00482"/>
        <s v="ORD-00483"/>
        <s v="ORD-00484"/>
        <s v="ORD-00485"/>
        <s v="ORD-00486"/>
        <s v="ORD-00487"/>
        <s v="ORD-00488"/>
        <s v="ORD-00489"/>
        <s v="ORD-00490"/>
        <s v="ORD-00491"/>
        <s v="ORD-00492"/>
        <s v="ORD-00493"/>
        <s v="ORD-00494"/>
        <s v="ORD-00495"/>
        <s v="ORD-00496"/>
        <s v="ORD-00497"/>
        <s v="ORD-00498"/>
        <s v="ORD-00499"/>
        <s v="ORD-00500"/>
        <s v="ORD-00501"/>
        <s v="ORD-00502"/>
        <s v="ORD-00503"/>
        <s v="ORD-00504"/>
        <s v="ORD-00505"/>
        <s v="ORD-00506"/>
        <s v="ORD-00507"/>
        <s v="ORD-00508"/>
        <s v="ORD-00509"/>
        <s v="ORD-00510"/>
        <s v="ORD-00511"/>
        <s v="ORD-00512"/>
        <s v="ORD-00513"/>
        <s v="ORD-00514"/>
        <s v="ORD-00515"/>
        <s v="ORD-00516"/>
        <s v="ORD-00517"/>
        <s v="ORD-00518"/>
        <s v="ORD-00519"/>
        <s v="ORD-00520"/>
        <s v="ORD-00521"/>
        <s v="ORD-00522"/>
        <s v="ORD-00523"/>
        <s v="ORD-00524"/>
        <s v="ORD-00525"/>
        <s v="ORD-00526"/>
        <s v="ORD-00527"/>
        <s v="ORD-00528"/>
        <s v="ORD-00529"/>
        <s v="ORD-00530"/>
        <s v="ORD-00531"/>
        <s v="ORD-00532"/>
        <s v="ORD-00533"/>
        <s v="ORD-00534"/>
        <s v="ORD-00535"/>
        <s v="ORD-00536"/>
        <s v="ORD-00537"/>
        <s v="ORD-00538"/>
        <s v="ORD-00539"/>
        <s v="ORD-00540"/>
        <s v="ORD-00541"/>
        <s v="ORD-00542"/>
        <s v="ORD-00543"/>
        <s v="ORD-00544"/>
        <s v="ORD-00545"/>
        <s v="ORD-00546"/>
        <s v="ORD-00547"/>
        <s v="ORD-00548"/>
        <s v="ORD-00549"/>
        <s v="ORD-00550"/>
        <s v="ORD-00551"/>
        <s v="ORD-00552"/>
        <s v="ORD-00553"/>
        <s v="ORD-00554"/>
        <s v="ORD-00555"/>
        <s v="ORD-00556"/>
        <s v="ORD-00557"/>
        <s v="ORD-00558"/>
        <s v="ORD-00559"/>
        <s v="ORD-00560"/>
        <s v="ORD-00561"/>
        <s v="ORD-00562"/>
        <s v="ORD-00563"/>
        <s v="ORD-00564"/>
        <s v="ORD-00565"/>
        <s v="ORD-00566"/>
        <s v="ORD-00567"/>
        <s v="ORD-00568"/>
        <s v="ORD-00569"/>
        <s v="ORD-00570"/>
        <s v="ORD-00571"/>
        <s v="ORD-00572"/>
        <s v="ORD-00573"/>
        <s v="ORD-00574"/>
        <s v="ORD-00575"/>
        <s v="ORD-00576"/>
        <s v="ORD-00577"/>
        <s v="ORD-00578"/>
        <s v="ORD-00579"/>
        <s v="ORD-00580"/>
        <s v="ORD-00581"/>
        <s v="ORD-00582"/>
        <s v="ORD-00583"/>
        <s v="ORD-00584"/>
        <s v="ORD-00585"/>
        <s v="ORD-00586"/>
        <s v="ORD-00587"/>
        <s v="ORD-00588"/>
        <s v="ORD-00589"/>
        <s v="ORD-00590"/>
        <s v="ORD-00591"/>
        <s v="ORD-00592"/>
        <s v="ORD-00593"/>
        <s v="ORD-00594"/>
        <s v="ORD-00595"/>
        <s v="ORD-00596"/>
        <s v="ORD-00597"/>
        <s v="ORD-00598"/>
        <s v="ORD-00599"/>
        <s v="ORD-00600"/>
        <s v="ORD-00601"/>
        <s v="ORD-00602"/>
        <s v="ORD-00603"/>
        <s v="ORD-00604"/>
        <s v="ORD-00605"/>
        <s v="ORD-00606"/>
        <s v="ORD-00607"/>
        <s v="ORD-00608"/>
        <s v="ORD-00609"/>
        <s v="ORD-00610"/>
        <s v="ORD-00611"/>
        <s v="ORD-00612"/>
        <s v="ORD-00613"/>
        <s v="ORD-00614"/>
        <s v="ORD-00615"/>
        <s v="ORD-00616"/>
        <s v="ORD-00617"/>
        <s v="ORD-00618"/>
        <s v="ORD-00619"/>
        <s v="ORD-00620"/>
        <s v="ORD-00621"/>
        <s v="ORD-00622"/>
        <s v="ORD-00623"/>
        <s v="ORD-00624"/>
        <s v="ORD-00625"/>
        <s v="ORD-00626"/>
        <s v="ORD-00627"/>
        <s v="ORD-00628"/>
        <s v="ORD-00629"/>
        <s v="ORD-00630"/>
        <s v="ORD-00631"/>
        <s v="ORD-00632"/>
        <s v="ORD-00633"/>
        <s v="ORD-00634"/>
        <s v="ORD-00635"/>
        <s v="ORD-00636"/>
        <s v="ORD-00637"/>
        <s v="ORD-00638"/>
        <s v="ORD-00639"/>
        <s v="ORD-00640"/>
        <s v="ORD-00641"/>
        <s v="ORD-00642"/>
        <s v="ORD-00643"/>
        <s v="ORD-00644"/>
        <s v="ORD-00645"/>
        <s v="ORD-00646"/>
        <s v="ORD-00647"/>
        <s v="ORD-00648"/>
        <s v="ORD-00649"/>
        <s v="ORD-00650"/>
        <s v="ORD-00651"/>
        <s v="ORD-00652"/>
        <s v="ORD-00653"/>
        <s v="ORD-00654"/>
        <s v="ORD-00655"/>
        <s v="ORD-00656"/>
        <s v="ORD-00657"/>
        <s v="ORD-00658"/>
        <s v="ORD-00659"/>
        <s v="ORD-00660"/>
        <s v="ORD-00661"/>
        <s v="ORD-00662"/>
        <s v="ORD-00663"/>
        <s v="ORD-00664"/>
        <s v="ORD-00665"/>
        <s v="ORD-00666"/>
        <s v="ORD-00667"/>
        <s v="ORD-00696"/>
        <s v="ORD-00669"/>
        <s v="ORD-00670"/>
        <s v="ORD-00671"/>
        <s v="ORD-00672"/>
        <s v="ORD-00673"/>
        <s v="ORD-00674"/>
        <s v="ORD-00675"/>
        <s v="ORD-00676"/>
        <s v="ORD-00677"/>
        <s v="ORD-00678"/>
        <s v="ORD-00679"/>
        <s v="ORD-00680"/>
        <s v="ORD-00681"/>
        <s v="ORD-00682"/>
        <s v="ORD-00683"/>
        <s v="ORD-00684"/>
        <s v="ORD-00685"/>
        <s v="ORD-00686"/>
        <s v="ORD-00687"/>
        <s v="ORD-00688"/>
        <s v="ORD-00689"/>
        <s v="ORD-00690"/>
        <s v="ORD-00691"/>
        <s v="ORD-00692"/>
        <s v="ORD-00693"/>
        <s v="ORD-00694"/>
        <s v="ORD-00695"/>
        <s v="ORD-00668"/>
        <s v="ORD-00697"/>
        <s v="ORD-00698"/>
        <s v="ORD-00699"/>
        <s v="ORD-00700"/>
        <s v="ORD-00701"/>
        <s v="ORD-00702"/>
        <s v="ORD-00703"/>
        <s v="ORD-00704"/>
        <s v="ORD-00705"/>
        <s v="ORD-00706"/>
        <s v="ORD-00707"/>
        <s v="ORD-00708"/>
        <s v="ORD-00709"/>
        <s v="ORD-00710"/>
        <s v="ORD-00711"/>
        <s v="ORD-00712"/>
        <s v="ORD-00713"/>
        <s v="ORD-00714"/>
        <s v="ORD-00715"/>
        <s v="ORD-00716"/>
        <s v="ORD-00717"/>
        <s v="ORD-00719"/>
        <s v="ORD-00718"/>
        <s v="ORD-00720"/>
        <s v="ORD-00721"/>
        <s v="ORD-00722"/>
        <s v="ORD-00723"/>
        <s v="ORD-00724"/>
        <s v="ORD-00725"/>
        <s v="ORD-00726"/>
        <s v="ORD-00727"/>
        <s v="ORD-00728"/>
        <s v="ORD-00729"/>
        <s v="ORD-00730"/>
        <s v="ORD-00731"/>
        <s v="ORD-00732"/>
        <s v="ORD-00733"/>
        <s v="ORD-00734"/>
        <s v="ORD-00735"/>
        <s v="ORD-00736"/>
        <s v="ORD-00737"/>
        <s v="ORD-00738"/>
        <s v="ORD-00739"/>
        <s v="ORD-00740"/>
        <s v="ORD-00741"/>
        <s v="ORD-00742"/>
        <s v="ORD-00743"/>
        <s v="ORD-00744"/>
        <s v="ORD-00745"/>
        <s v="ORD-00746"/>
        <s v="ORD-00747"/>
        <s v="ORD-00748"/>
        <s v="ORD-00749"/>
        <s v="ORD-00750"/>
        <s v="ORD-00751"/>
        <s v="ORD-00752"/>
        <s v="ORD-00753"/>
        <s v="ORD-00754"/>
        <s v="ORD-00755"/>
        <s v="ORD-00756"/>
        <s v="ORD-00757"/>
        <s v="ORD-00758"/>
        <s v="ORD-00759"/>
        <s v="ORD-00760"/>
        <s v="ORD-00761"/>
        <s v="ORD-00762"/>
        <s v="ORD-00763"/>
        <s v="ORD-00764"/>
        <s v="ORD-00765"/>
        <s v="ORD-00766"/>
        <s v="ORD-00767"/>
        <s v="ORD-00768"/>
        <s v="ORD-00769"/>
        <s v="ORD-00770"/>
        <s v="ORD-00771"/>
        <s v="ORD-00772"/>
        <s v="ORD-00773"/>
        <s v="ORD-00774"/>
        <s v="ORD-00775"/>
        <s v="ORD-00776"/>
        <s v="ORD-00777"/>
        <s v="ORD-00778"/>
        <s v="ORD-00779"/>
        <s v="ORD-00780"/>
        <s v="ORD-00781"/>
        <s v="ORD-00782"/>
        <s v="ORD-00783"/>
        <s v="ORD-00784"/>
        <s v="ORD-00785"/>
        <s v="ORD-00786"/>
        <s v="ORD-00787"/>
        <s v="ORD-00788"/>
        <s v="ORD-00789"/>
        <s v="ORD-00790"/>
        <s v="ORD-00791"/>
        <s v="ORD-00792"/>
        <s v="ORD-00793"/>
        <s v="ORD-00794"/>
        <s v="ORD-00795"/>
        <s v="ORD-00796"/>
        <s v="ORD-00797"/>
        <s v="ORD-00798"/>
        <s v="ORD-00799"/>
        <s v="ORD-00800"/>
        <s v="ORD-00801"/>
        <s v="ORD-00802"/>
        <s v="ORD-00803"/>
        <s v="ORD-00804"/>
        <s v="ORD-00805"/>
        <s v="ORD-00806"/>
        <s v="ORD-00807"/>
        <s v="ORD-00808"/>
        <s v="ORD-00809"/>
        <s v="ORD-00810"/>
        <s v="ORD-00811"/>
        <s v="ORD-00812"/>
        <s v="ORD-00813"/>
        <s v="ORD-00814"/>
        <s v="ORD-00815"/>
        <s v="ORD-00816"/>
        <s v="ORD-00817"/>
        <s v="ORD-00818"/>
        <s v="ORD-00819"/>
        <s v="ORD-00820"/>
        <s v="ORD-00821"/>
        <s v="ORD-00822"/>
        <s v="ORD-00823"/>
        <s v="ORD-00824"/>
        <s v="ORD-00825"/>
        <s v="ORD-00826"/>
        <s v="ORD-00827"/>
        <s v="ORD-00828"/>
        <s v="ORD-00829"/>
        <s v="ORD-00830"/>
        <s v="ORD-00831"/>
        <s v="ORD-00832"/>
        <s v="ORD-00833"/>
        <s v="ORD-00834"/>
        <s v="ORD-00835"/>
        <s v="ORD-00836"/>
        <s v="ORD-00837"/>
        <s v="ORD-00838"/>
        <s v="ORD-00839"/>
        <s v="ORD-00840"/>
        <s v="ORD-00841"/>
        <s v="ORD-00842"/>
        <s v="ORD-00843"/>
        <s v="ORD-00844"/>
        <s v="ORD-00845"/>
        <s v="ORD-00846"/>
        <s v="ORD-00847"/>
        <s v="ORD-00848"/>
        <s v="ORD-00849"/>
        <s v="ORD-00850"/>
        <s v="ORD-00851"/>
        <s v="ORD-00852"/>
        <s v="ORD-00853"/>
        <s v="ORD-00854"/>
        <s v="ORD-00855"/>
        <s v="ORD-00856"/>
        <s v="ORD-00857"/>
        <s v="ORD-00858"/>
        <s v="ORD-00859"/>
        <s v="ORD-00860"/>
        <s v="ORD-00861"/>
        <s v="ORD-00862"/>
        <s v="ORD-00863"/>
        <s v="ORD-00864"/>
        <s v="ORD-00865"/>
        <s v="ORD-00866"/>
        <s v="ORD-00867"/>
        <s v="ORD-00868"/>
        <s v="ORD-00869"/>
        <s v="ORD-00870"/>
        <s v="ORD-00871"/>
        <s v="ORD-00872"/>
        <s v="ORD-00873"/>
        <s v="ORD-00874"/>
        <s v="ORD-00875"/>
        <s v="ORD-00876"/>
        <s v="ORD-00877"/>
        <s v="ORD-00878"/>
        <s v="ORD-00879"/>
        <s v="ORD-00880"/>
        <s v="ORD-00881"/>
        <s v="ORD-00882"/>
        <s v="ORD-00883"/>
        <s v="ORD-00884"/>
        <s v="ORD-00885"/>
        <s v="ORD-00886"/>
        <s v="ORD-00887"/>
        <s v="ORD-00888"/>
        <s v="ORD-00889"/>
        <s v="ORD-00890"/>
        <s v="ORD-00891"/>
        <s v="ORD-00892"/>
        <s v="ORD-00893"/>
        <s v="ORD-00894"/>
        <s v="ORD-00895"/>
        <s v="ORD-00896"/>
        <s v="ORD-00897"/>
        <s v="ORD-00898"/>
        <s v="ORD-00899"/>
        <s v="ORD-00900"/>
        <s v="ORD-00901"/>
        <s v="ORD-00902"/>
        <s v="ORD-00903"/>
        <s v="ORD-00904"/>
        <s v="ORD-00905"/>
        <s v="ORD-00906"/>
        <s v="ORD-00907"/>
        <s v="ORD-00908"/>
        <s v="ORD-00909"/>
        <s v="ORD-00910"/>
        <s v="ORD-00911"/>
        <s v="ORD-00912"/>
        <s v="ORD-00913"/>
        <s v="ORD-00914"/>
        <s v="ORD-00915"/>
        <s v="ORD-00916"/>
        <s v="ORD-00917"/>
        <s v="ORD-00918"/>
        <s v="ORD-00919"/>
        <s v="ORD-00920"/>
        <s v="ORD-00921"/>
        <s v="ORD-00922"/>
        <s v="ORD-00923"/>
        <s v="ORD-00924"/>
        <s v="ORD-00925"/>
        <s v="ORD-00926"/>
        <s v="ORD-00927"/>
        <s v="ORD-00928"/>
        <s v="ORD-00929"/>
        <s v="ORD-00930"/>
        <s v="ORD-00931"/>
        <s v="ORD-00932"/>
        <s v="ORD-00933"/>
        <s v="ORD-00934"/>
        <s v="ORD-00935"/>
        <s v="ORD-00936"/>
        <s v="ORD-00937"/>
        <s v="ORD-00976"/>
        <s v="ORD-00939"/>
        <s v="ORD-00940"/>
        <s v="ORD-00941"/>
        <s v="ORD-00942"/>
        <s v="ORD-00943"/>
        <s v="ORD-00944"/>
        <s v="ORD-00945"/>
        <s v="ORD-00946"/>
        <s v="ORD-00947"/>
        <s v="ORD-00948"/>
        <s v="ORD-00949"/>
        <s v="ORD-00950"/>
        <s v="ORD-00951"/>
        <s v="ORD-00952"/>
        <s v="ORD-00953"/>
        <s v="ORD-00954"/>
        <s v="ORD-00955"/>
        <s v="ORD-00956"/>
        <s v="ORD-00957"/>
        <s v="ORD-00958"/>
        <s v="ORD-00959"/>
        <s v="ORD-00960"/>
        <s v="ORD-00961"/>
        <s v="ORD-00962"/>
        <s v="ORD-00963"/>
        <s v="ORD-00964"/>
        <s v="ORD-00965"/>
        <s v="ORD-00966"/>
        <s v="ORD-00967"/>
        <s v="ORD-00968"/>
        <s v="ORD-00969"/>
        <s v="ORD-00970"/>
        <s v="ORD-00971"/>
        <s v="ORD-00972"/>
        <s v="ORD-00973"/>
        <s v="ORD-00974"/>
        <s v="ORD-00975"/>
        <s v="ORD-00938"/>
        <s v="ORD-00977"/>
        <s v="ORD-00978"/>
        <s v="ORD-00979"/>
        <s v="ORD-00980"/>
        <s v="ORD-00981"/>
        <s v="ORD-00982"/>
        <s v="ORD-00983"/>
        <s v="ORD-00984"/>
        <s v="ORD-00985"/>
        <s v="ORD-00986"/>
        <s v="ORD-00987"/>
        <s v="ORD-00988"/>
        <s v="ORD-00989"/>
        <s v="ORD-00990"/>
        <s v="ORD-00991"/>
        <s v="ORD-00992"/>
        <s v="ORD-00993"/>
        <s v="ORD-00994"/>
        <s v="ORD-00995"/>
        <s v="ORD-00996"/>
        <s v="ORD-00997"/>
        <s v="ORD-00998"/>
        <s v="ORD-00999"/>
        <s v="ORD-01000"/>
        <s v="ORD-01001"/>
        <s v="ORD-01002"/>
        <s v="ORD-01003"/>
        <s v="ORD-01004"/>
        <s v="ORD-01005"/>
        <s v="ORD-01006"/>
        <s v="ORD-01007"/>
        <s v="ORD-01008"/>
        <s v="ORD-01009"/>
        <s v="ORD-01010"/>
        <s v="ORD-01011"/>
        <s v="ORD-01012"/>
        <s v="ORD-01013"/>
        <s v="ORD-01014"/>
        <s v="ORD-01015"/>
        <s v="ORD-01016"/>
        <s v="ORD-01017"/>
        <s v="ORD-01018"/>
        <s v="ORD-01019"/>
        <s v="ORD-01020"/>
        <s v="ORD-01021"/>
        <s v="ORD-01022"/>
        <s v="ORD-01023"/>
        <s v="ORD-01024"/>
        <s v="ORD-01025"/>
        <s v="ORD-01026"/>
        <s v="ORD-01027"/>
        <s v="ORD-01028"/>
        <s v="ORD-01029"/>
        <s v="ORD-01030"/>
        <s v="ORD-01031"/>
        <s v="ORD-01032"/>
        <s v="ORD-01033"/>
        <s v="ORD-01034"/>
        <s v="ORD-01035"/>
        <s v="ORD-01036"/>
        <s v="ORD-01037"/>
        <s v="ORD-01038"/>
        <s v="ORD-01039"/>
        <s v="ORD-01040"/>
        <s v="ORD-01041"/>
        <s v="ORD-01042"/>
        <s v="ORD-01043"/>
        <s v="ORD-01044"/>
        <s v="ORD-01045"/>
        <s v="ORD-01046"/>
        <s v="ORD-01047"/>
        <s v="ORD-01048"/>
        <s v="ORD-01049"/>
        <s v="ORD-01050"/>
        <s v="ORD-01051"/>
        <s v="ORD-01052"/>
        <s v="ORD-01053"/>
        <s v="ORD-01054"/>
        <s v="ORD-01055"/>
        <s v="ORD-01056"/>
        <s v="ORD-01057"/>
        <s v="ORD-01058"/>
        <s v="ORD-01059"/>
        <s v="ORD-01060"/>
        <s v="ORD-01061"/>
        <s v="ORD-01062"/>
        <s v="ORD-01063"/>
        <s v="ORD-01064"/>
        <s v="ORD-01065"/>
        <s v="ORD-01066"/>
        <s v="ORD-01067"/>
        <s v="ORD-01068"/>
        <s v="ORD-01069"/>
        <s v="ORD-01070"/>
        <s v="ORD-01071"/>
        <s v="ORD-01072"/>
        <s v="ORD-01073"/>
        <s v="ORD-01074"/>
        <s v="ORD-01075"/>
        <s v="ORD-01076"/>
        <s v="ORD-01077"/>
        <s v="ORD-01078"/>
        <s v="ORD-01079"/>
        <s v="ORD-01080"/>
        <s v="ORD-01081"/>
        <s v="ORD-01082"/>
        <s v="ORD-01083"/>
        <s v="ORD-01084"/>
        <s v="ORD-01085"/>
        <s v="ORD-01086"/>
        <s v="ORD-01087"/>
        <s v="ORD-01088"/>
        <s v="ORD-01089"/>
        <s v="ORD-01090"/>
        <s v="ORD-01091"/>
        <s v="ORD-01092"/>
        <s v="ORD-01093"/>
        <s v="ORD-01094"/>
        <s v="ORD-01095"/>
        <s v="ORD-01096"/>
        <s v="ORD-01097"/>
        <s v="ORD-01098"/>
        <s v="ORD-01099"/>
        <s v="ORD-01100"/>
        <s v="ORD-01101"/>
        <s v="ORD-01102"/>
        <s v="ORD-01103"/>
        <s v="ORD-01104"/>
        <s v="ORD-01105"/>
        <s v="ORD-01106"/>
        <s v="ORD-01107"/>
        <s v="ORD-01108"/>
        <s v="ORD-01112"/>
        <s v="ORD-01110"/>
        <s v="ORD-01111"/>
        <s v="ORD-01109"/>
        <s v="ORD-01113"/>
        <s v="ORD-01114"/>
        <s v="ORD-01115"/>
        <s v="ORD-01116"/>
        <s v="ORD-01117"/>
        <s v="ORD-01118"/>
        <s v="ORD-01119"/>
        <s v="ORD-01120"/>
        <s v="ORD-01121"/>
        <s v="ORD-01122"/>
        <s v="ORD-01123"/>
        <s v="ORD-01124"/>
        <s v="ORD-01125"/>
        <s v="ORD-01126"/>
        <s v="ORD-01127"/>
        <s v="ORD-01128"/>
        <s v="ORD-01129"/>
        <s v="ORD-01130"/>
        <s v="ORD-01131"/>
        <s v="ORD-01143"/>
        <s v="ORD-01133"/>
        <s v="ORD-01134"/>
        <s v="ORD-01135"/>
        <s v="ORD-01136"/>
        <s v="ORD-01137"/>
        <s v="ORD-01138"/>
        <s v="ORD-01139"/>
        <s v="ORD-01140"/>
        <s v="ORD-01141"/>
        <s v="ORD-01142"/>
        <s v="ORD-01132"/>
        <s v="ORD-01144"/>
        <s v="ORD-01145"/>
        <s v="ORD-01146"/>
        <s v="ORD-01147"/>
        <s v="ORD-01148"/>
        <s v="ORD-01149"/>
        <s v="ORD-01150"/>
        <s v="ORD-01151"/>
        <s v="ORD-01152"/>
        <s v="ORD-01153"/>
        <s v="ORD-01154"/>
        <s v="ORD-01155"/>
        <s v="ORD-01156"/>
        <s v="ORD-01157"/>
        <s v="ORD-01158"/>
        <s v="ORD-01159"/>
        <s v="ORD-01160"/>
        <s v="ORD-01161"/>
        <s v="ORD-01162"/>
        <s v="ORD-01163"/>
        <s v="ORD-01164"/>
        <s v="ORD-01165"/>
        <s v="ORD-01166"/>
        <s v="ORD-01167"/>
        <s v="ORD-01168"/>
        <s v="ORD-01169"/>
        <s v="ORD-01170"/>
        <s v="ORD-01171"/>
        <s v="ORD-01172"/>
        <s v="ORD-01173"/>
        <s v="ORD-01174"/>
        <s v="ORD-01175"/>
        <s v="ORD-01176"/>
        <s v="ORD-01177"/>
        <s v="ORD-01178"/>
        <s v="ORD-01179"/>
        <s v="ORD-01180"/>
        <s v="ORD-01181"/>
        <s v="ORD-01182"/>
        <s v="ORD-01183"/>
        <s v="ORD-01184"/>
        <s v="ORD-01185"/>
        <s v="ORD-01186"/>
        <s v="ORD-01187"/>
        <s v="ORD-01188"/>
        <s v="ORD-01189"/>
        <s v="ORD-01190"/>
        <s v="ORD-01191"/>
        <s v="ORD-01192"/>
        <s v="ORD-01230"/>
        <s v="ORD-01194"/>
        <s v="ORD-01195"/>
        <s v="ORD-01196"/>
        <s v="ORD-01197"/>
        <s v="ORD-01198"/>
        <s v="ORD-01199"/>
        <s v="ORD-01200"/>
        <s v="ORD-01201"/>
        <s v="ORD-01202"/>
        <s v="ORD-01203"/>
        <s v="ORD-01204"/>
        <s v="ORD-01205"/>
        <s v="ORD-01206"/>
        <s v="ORD-01207"/>
        <s v="ORD-01208"/>
        <s v="ORD-01209"/>
        <s v="ORD-01210"/>
        <s v="ORD-01211"/>
        <s v="ORD-01212"/>
        <s v="ORD-01213"/>
        <s v="ORD-01214"/>
        <s v="ORD-01215"/>
        <s v="ORD-01216"/>
        <s v="ORD-01217"/>
        <s v="ORD-01218"/>
        <s v="ORD-01219"/>
        <s v="ORD-01220"/>
        <s v="ORD-01221"/>
        <s v="ORD-01222"/>
        <s v="ORD-01223"/>
        <s v="ORD-01224"/>
        <s v="ORD-01225"/>
        <s v="ORD-01226"/>
        <s v="ORD-01227"/>
        <s v="ORD-01228"/>
        <s v="ORD-01229"/>
        <s v="ORD-01193"/>
        <s v="ORD-01231"/>
        <s v="ORD-01232"/>
        <s v="ORD-01233"/>
        <s v="ORD-01234"/>
        <s v="ORD-01235"/>
        <s v="ORD-01236"/>
        <s v="ORD-01237"/>
        <s v="ORD-01238"/>
        <s v="ORD-01239"/>
        <s v="ORD-01240"/>
        <s v="ORD-01241"/>
        <s v="ORD-01242"/>
        <s v="ORD-01243"/>
        <s v="ORD-01244"/>
        <s v="ORD-01245"/>
        <s v="ORD-01246"/>
        <s v="ORD-01247"/>
        <s v="ORD-01248"/>
        <s v="ORD-01249"/>
        <s v="ORD-01251"/>
        <s v="ORD-01250"/>
        <s v="ORD-01252"/>
        <s v="ORD-01253"/>
        <s v="ORD-01254"/>
        <s v="ORD-01255"/>
        <s v="ORD-01256"/>
        <s v="ORD-01257"/>
        <s v="ORD-01258"/>
        <s v="ORD-01259"/>
        <s v="ORD-01260"/>
        <s v="ORD-01261"/>
        <s v="ORD-01262"/>
        <s v="ORD-01263"/>
        <s v="ORD-01264"/>
        <s v="ORD-01265"/>
        <s v="ORD-01266"/>
        <s v="ORD-01267"/>
        <s v="ORD-01268"/>
        <s v="ORD-01269"/>
        <s v="ORD-01270"/>
        <s v="ORD-01271"/>
        <s v="ORD-01272"/>
        <s v="ORD-01273"/>
        <s v="ORD-01274"/>
        <s v="ORD-01275"/>
        <s v="ORD-01276"/>
        <s v="ORD-01277"/>
        <s v="ORD-01278"/>
        <s v="ORD-01279"/>
        <s v="ORD-01280"/>
        <s v="ORD-01281"/>
        <s v="ORD-01282"/>
        <s v="ORD-01283"/>
        <s v="ORD-01284"/>
        <s v="ORD-01285"/>
        <s v="ORD-01286"/>
        <s v="ORD-01287"/>
        <s v="ORD-01288"/>
        <s v="ORD-01289"/>
        <s v="ORD-01290"/>
        <s v="ORD-01291"/>
        <s v="ORD-01292"/>
        <s v="ORD-01293"/>
        <s v="ORD-01294"/>
        <s v="ORD-01295"/>
        <s v="ORD-01296"/>
        <s v="ORD-01297"/>
        <s v="ORD-01298"/>
        <s v="ORD-01299"/>
        <s v="ORD-01300"/>
        <s v="ORD-01301"/>
        <s v="ORD-01302"/>
        <s v="ORD-01303"/>
        <s v="ORD-01304"/>
        <s v="ORD-01305"/>
        <s v="ORD-01306"/>
        <s v="ORD-01307"/>
        <s v="ORD-01308"/>
        <s v="ORD-01309"/>
        <s v="ORD-01310"/>
        <s v="ORD-01311"/>
        <s v="ORD-01312"/>
        <s v="ORD-01313"/>
        <s v="ORD-01314"/>
        <s v="ORD-01315"/>
        <s v="ORD-01316"/>
        <s v="ORD-01317"/>
        <s v="ORD-01318"/>
        <s v="ORD-01319"/>
        <s v="ORD-01320"/>
        <s v="ORD-01321"/>
        <s v="ORD-01322"/>
        <s v="ORD-01323"/>
        <s v="ORD-01324"/>
        <s v="ORD-01325"/>
        <s v="ORD-01327"/>
        <s v="ORD-01326"/>
        <s v="ORD-01328"/>
        <s v="ORD-01329"/>
        <s v="ORD-01330"/>
        <s v="ORD-01331"/>
        <s v="ORD-01332"/>
        <s v="ORD-01333"/>
        <s v="ORD-01334"/>
        <s v="ORD-01335"/>
        <s v="ORD-01336"/>
        <s v="ORD-01337"/>
        <s v="ORD-01338"/>
        <s v="ORD-01339"/>
        <s v="ORD-01340"/>
        <s v="ORD-01341"/>
        <s v="ORD-01342"/>
        <s v="ORD-01343"/>
        <s v="ORD-01344"/>
        <s v="ORD-01345"/>
        <s v="ORD-01346"/>
        <s v="ORD-01347"/>
        <s v="ORD-01348"/>
        <s v="ORD-01349"/>
        <s v="ORD-01350"/>
        <s v="ORD-01351"/>
        <s v="ORD-01352"/>
        <s v="ORD-01353"/>
        <s v="ORD-01354"/>
        <s v="ORD-01355"/>
        <s v="ORD-01356"/>
        <s v="ORD-01357"/>
        <s v="ORD-01358"/>
        <s v="ORD-01359"/>
        <s v="ORD-01360"/>
        <s v="ORD-01361"/>
        <s v="ORD-01362"/>
        <s v="ORD-01363"/>
        <s v="ORD-01364"/>
        <s v="ORD-01365"/>
        <s v="ORD-01366"/>
        <s v="ORD-01367"/>
        <s v="ORD-01368"/>
        <s v="ORD-01369"/>
        <s v="ORD-01370"/>
        <s v="ORD-01371"/>
        <s v="ORD-01372"/>
        <s v="ORD-01373"/>
        <s v="ORD-01374"/>
        <s v="ORD-01375"/>
        <s v="ORD-01376"/>
        <s v="ORD-01377"/>
        <s v="ORD-01378"/>
        <s v="ORD-01379"/>
        <s v="ORD-01380"/>
        <s v="ORD-01381"/>
        <s v="ORD-01382"/>
        <s v="ORD-01383"/>
        <s v="ORD-01384"/>
        <s v="ORD-01385"/>
        <s v="ORD-01386"/>
        <s v="ORD-01387"/>
        <s v="ORD-01388"/>
        <s v="ORD-01389"/>
        <s v="ORD-01390"/>
        <s v="ORD-01391"/>
        <s v="ORD-01392"/>
        <s v="ORD-01393"/>
        <s v="ORD-01394"/>
        <s v="ORD-01395"/>
        <s v="ORD-01396"/>
        <s v="ORD-01397"/>
        <s v="ORD-01398"/>
        <s v="ORD-01399"/>
        <s v="ORD-01400"/>
        <s v="ORD-01401"/>
        <s v="ORD-01402"/>
        <s v="ORD-01403"/>
        <s v="ORD-01404"/>
        <s v="ORD-01405"/>
        <s v="ORD-01406"/>
        <s v="ORD-01407"/>
        <s v="ORD-01408"/>
        <s v="ORD-01409"/>
        <s v="ORD-01410"/>
        <s v="ORD-01411"/>
        <s v="ORD-01412"/>
        <s v="ORD-01413"/>
        <s v="ORD-01447"/>
        <s v="ORD-01415"/>
        <s v="ORD-01416"/>
        <s v="ORD-01417"/>
        <s v="ORD-01418"/>
        <s v="ORD-01419"/>
        <s v="ORD-01420"/>
        <s v="ORD-01421"/>
        <s v="ORD-01422"/>
        <s v="ORD-01423"/>
        <s v="ORD-01424"/>
        <s v="ORD-01425"/>
        <s v="ORD-01426"/>
        <s v="ORD-01427"/>
        <s v="ORD-01428"/>
        <s v="ORD-01429"/>
        <s v="ORD-01430"/>
        <s v="ORD-01431"/>
        <s v="ORD-01432"/>
        <s v="ORD-01433"/>
        <s v="ORD-01434"/>
        <s v="ORD-01435"/>
        <s v="ORD-01436"/>
        <s v="ORD-01437"/>
        <s v="ORD-01438"/>
        <s v="ORD-01439"/>
        <s v="ORD-01440"/>
        <s v="ORD-01441"/>
        <s v="ORD-01442"/>
        <s v="ORD-01443"/>
        <s v="ORD-01444"/>
        <s v="ORD-01445"/>
        <s v="ORD-01446"/>
        <s v="ORD-01414"/>
        <s v="ORD-01448"/>
        <s v="ORD-01449"/>
        <s v="ORD-01450"/>
      </sharedItems>
    </cacheField>
    <cacheField name="order_date" numFmtId="179">
      <sharedItems containsSemiMixedTypes="0" containsString="0" containsNonDate="0" containsDate="1" minDate="2026-01-04T00:00:00" maxDate="2026-12-06T00:00:00" count="199">
        <d v="2026-02-01T00:00:00"/>
        <d v="2026-02-02T00:00:00"/>
        <d v="2026-02-03T00:00:00"/>
        <d v="2026-02-04T00:00:00"/>
        <d v="2026-02-05T00:00:00"/>
        <d v="2026-02-06T00:00:00"/>
        <d v="2026-06-02T00:00:00"/>
        <d v="2026-02-07T00:00:00"/>
        <d v="2026-02-08T00:00:00"/>
        <d v="2026-02-09T00:00:00"/>
        <d v="2026-09-02T00:00:00"/>
        <d v="2026-02-10T00:00:00"/>
        <d v="2026-10-02T00:00:00"/>
        <d v="2026-02-11T00:00:00"/>
        <d v="2026-11-02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5T00:00:00"/>
        <d v="2026-03-07T00:00:00"/>
        <d v="2026-03-06T00:00:00"/>
        <d v="2026-05-03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1-04T00:00:00"/>
        <d v="2026-04-02T00:00:00"/>
        <d v="2026-04-03T00:00:00"/>
        <d v="2026-03-04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10-04T00:00:00"/>
        <d v="2026-04-11T00:00:00"/>
        <d v="2026-11-04T00:00:00"/>
        <d v="2026-04-12T00:00:00"/>
        <d v="2026-12-04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30T00:00:00"/>
        <d v="2026-04-26T00:00:00"/>
        <d v="2026-04-27T00:00:00"/>
        <d v="2026-04-28T00:00:00"/>
        <d v="2026-04-29T00:00:00"/>
        <d v="2026-05-01T00:00:00"/>
        <d v="2026-01-05T00:00:00"/>
        <d v="2026-05-02T00:00:00"/>
        <d v="2026-05-04T00:00:00"/>
        <d v="2026-05-05T00:00:00"/>
        <d v="2026-05-06T00:00:00"/>
        <d v="2026-05-07T00:00:00"/>
        <d v="2026-07-05T00:00:00"/>
        <d v="2026-05-08T00:00:00"/>
        <d v="2026-08-05T00:00:00"/>
        <d v="2026-05-09T00:00:00"/>
        <d v="2026-05-10T00:00:00"/>
        <d v="2026-11-05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6-04T00:00:00"/>
        <d v="2026-05-30T00:00:00"/>
        <d v="2026-05-31T00:00:00"/>
        <d v="2026-06-01T00:00:00"/>
        <d v="2026-06-03T00:00:00"/>
        <d v="2026-06-05T00:00:00"/>
        <d v="2026-06-06T00:00:00"/>
        <d v="2026-07-06T00:00:00"/>
        <d v="2026-06-07T00:00:00"/>
        <d v="2026-06-08T00:00:00"/>
        <d v="2026-08-06T00:00:00"/>
        <d v="2026-06-09T00:00:00"/>
        <d v="2026-06-10T00:00:00"/>
        <d v="2026-10-06T00:00:00"/>
        <d v="2026-06-11T00:00:00"/>
        <d v="2026-11-06T00:00:00"/>
        <d v="2026-12-06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5T00:00:00"/>
        <d v="2026-06-24T00:00:00"/>
        <d v="2026-06-26T00:00:00"/>
        <d v="2026-06-27T00:00:00"/>
        <d v="2026-06-28T00:00:00"/>
        <d v="2026-06-29T00:00:00"/>
        <d v="2026-06-30T00:00:00"/>
        <d v="2026-07-01T00:00:00"/>
        <d v="2026-07-04T00:00:00"/>
        <d v="2026-01-07T00:00:00"/>
        <d v="2026-07-02T00:00:00"/>
        <d v="2026-07-03T00:00:00"/>
        <d v="2026-07-07T00:00:00"/>
        <d v="2026-07-08T00:00:00"/>
        <d v="2026-08-07T00:00:00"/>
        <d v="2026-07-09T00:00:00"/>
        <d v="2026-09-07T00:00:00"/>
        <d v="2026-10-07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19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31T00:00:00"/>
        <d v="2026-07-28T00:00:00"/>
        <d v="2026-07-29T00:00:00"/>
        <d v="2026-07-30T00:00:00"/>
      </sharedItems>
    </cacheField>
    <cacheField name="order_time" numFmtId="180">
      <sharedItems containsSemiMixedTypes="0" containsString="0" containsNonDate="0" containsDate="1" minDate="1899-12-30T11:01:00" maxDate="1899-12-30T23:59:00" count="572">
        <d v="1899-12-30T14:55:00"/>
        <d v="1899-12-30T20:24:00"/>
        <d v="1899-12-30T20:26:00"/>
        <d v="1899-12-30T20:50:00"/>
        <d v="1899-12-30T22:04:00"/>
        <d v="1899-12-30T22:53:00"/>
        <d v="1899-12-30T20:15:00"/>
        <d v="1899-12-30T20:25:00"/>
        <d v="1899-12-30T20:45:00"/>
        <d v="1899-12-30T21:26:00"/>
        <d v="1899-12-30T23:49:00"/>
        <d v="1899-12-30T19:22:00"/>
        <d v="1899-12-30T20:11:00"/>
        <d v="1899-12-30T20:16:00"/>
        <d v="1899-12-30T22:17:00"/>
        <d v="1899-12-30T22:24:00"/>
        <d v="1899-12-30T17:58:00"/>
        <d v="1899-12-30T19:59:00"/>
        <d v="1899-12-30T20:23:00"/>
        <d v="1899-12-30T20:56:00"/>
        <d v="1899-12-30T22:48:00"/>
        <d v="1899-12-30T13:57:00"/>
        <d v="1899-12-30T17:33:00"/>
        <d v="1899-12-30T17:42:00"/>
        <d v="1899-12-30T18:31:00"/>
        <d v="1899-12-30T18:44:00"/>
        <d v="1899-12-30T19:01:00"/>
        <d v="1899-12-30T19:17:00"/>
        <d v="1899-12-30T20:00:00"/>
        <d v="1899-12-30T21:19:00"/>
        <d v="1899-12-30T21:25:00"/>
        <d v="1899-12-30T21:55:00"/>
        <d v="1899-12-30T22:30:00"/>
        <d v="1899-12-30T22:37:00"/>
        <d v="1899-12-30T23:14:00"/>
        <d v="1899-12-30T11:27:00"/>
        <d v="1899-12-30T12:12:00"/>
        <d v="1899-12-30T14:17:00"/>
        <d v="1899-12-30T14:42:00"/>
        <d v="1899-12-30T16:36:00"/>
        <d v="1899-12-30T19:23:00"/>
        <d v="1899-12-30T21:47:00"/>
        <d v="1899-12-30T23:53:00"/>
        <d v="1899-12-30T11:35:00"/>
        <d v="1899-12-30T19:09:00"/>
        <d v="1899-12-30T21:04:00"/>
        <d v="1899-12-30T21:41:00"/>
        <d v="1899-12-30T21:43:00"/>
        <d v="1899-12-30T22:07:00"/>
        <d v="1899-12-30T22:40:00"/>
        <d v="1899-12-30T19:18:00"/>
        <d v="1899-12-30T19:37:00"/>
        <d v="1899-12-30T21:17:00"/>
        <d v="1899-12-30T14:29:00"/>
        <d v="1899-12-30T20:01:00"/>
        <d v="1899-12-30T21:06:00"/>
        <d v="1899-12-30T21:42:00"/>
        <d v="1899-12-30T22:05:00"/>
        <d v="1899-12-30T22:58:00"/>
        <d v="1899-12-30T18:39:00"/>
        <d v="1899-12-30T20:04:00"/>
        <d v="1899-12-30T20:51:00"/>
        <d v="1899-12-30T22:44:00"/>
        <d v="1899-12-30T23:30:00"/>
        <d v="1899-12-30T13:37:00"/>
        <d v="1899-12-30T19:06:00"/>
        <d v="1899-12-30T20:29:00"/>
        <d v="1899-12-30T21:07:00"/>
        <d v="1899-12-30T12:04:00"/>
        <d v="1899-12-30T20:31:00"/>
        <d v="1899-12-30T20:35:00"/>
        <d v="1899-12-30T21:16:00"/>
        <d v="1899-12-30T21:52:00"/>
        <d v="1899-12-30T23:07:00"/>
        <d v="1899-12-30T23:27:00"/>
        <d v="1899-12-30T23:43:00"/>
        <d v="1899-12-30T23:50:00"/>
        <d v="1899-12-30T13:55:00"/>
        <d v="1899-12-30T17:49:00"/>
        <d v="1899-12-30T18:05:00"/>
        <d v="1899-12-30T18:21:00"/>
        <d v="1899-12-30T19:13:00"/>
        <d v="1899-12-30T20:10:00"/>
        <d v="1899-12-30T20:14:00"/>
        <d v="1899-12-30T21:37:00"/>
        <d v="1899-12-30T21:54:00"/>
        <d v="1899-12-30T22:31:00"/>
        <d v="1899-12-30T12:36:00"/>
        <d v="1899-12-30T13:33:00"/>
        <d v="1899-12-30T17:31:00"/>
        <d v="1899-12-30T21:11:00"/>
        <d v="1899-12-30T21:20:00"/>
        <d v="1899-12-30T22:19:00"/>
        <d v="1899-12-30T22:54:00"/>
        <d v="1899-12-30T14:48:00"/>
        <d v="1899-12-30T21:22:00"/>
        <d v="1899-12-30T22:10:00"/>
        <d v="1899-12-30T23:54:00"/>
        <d v="1899-12-30T13:15:00"/>
        <d v="1899-12-30T20:48:00"/>
        <d v="1899-12-30T21:12:00"/>
        <d v="1899-12-30T22:50:00"/>
        <d v="1899-12-30T12:10:00"/>
        <d v="1899-12-30T12:42:00"/>
        <d v="1899-12-30T12:53:00"/>
        <d v="1899-12-30T12:54:00"/>
        <d v="1899-12-30T18:38:00"/>
        <d v="1899-12-30T21:08:00"/>
        <d v="1899-12-30T12:09:00"/>
        <d v="1899-12-30T14:58:00"/>
        <d v="1899-12-30T15:08:00"/>
        <d v="1899-12-30T13:27:00"/>
        <d v="1899-12-30T20:08:00"/>
        <d v="1899-12-30T20:20:00"/>
        <d v="1899-12-30T20:40:00"/>
        <d v="1899-12-30T21:14:00"/>
        <d v="1899-12-30T22:59:00"/>
        <d v="1899-12-30T13:32:00"/>
        <d v="1899-12-30T14:34:00"/>
        <d v="1899-12-30T14:52:00"/>
        <d v="1899-12-30T19:39:00"/>
        <d v="1899-12-30T19:42:00"/>
        <d v="1899-12-30T20:09:00"/>
        <d v="1899-12-30T21:28:00"/>
        <d v="1899-12-30T22:14:00"/>
        <d v="1899-12-30T22:32:00"/>
        <d v="1899-12-30T23:45:00"/>
        <d v="1899-12-30T11:21:00"/>
        <d v="1899-12-30T13:58:00"/>
        <d v="1899-12-30T19:10:00"/>
        <d v="1899-12-30T20:36:00"/>
        <d v="1899-12-30T22:23:00"/>
        <d v="1899-12-30T13:54:00"/>
        <d v="1899-12-30T19:45:00"/>
        <d v="1899-12-30T22:16:00"/>
        <d v="1899-12-30T23:01:00"/>
        <d v="1899-12-30T13:03:00"/>
        <d v="1899-12-30T13:41:00"/>
        <d v="1899-12-30T15:58:00"/>
        <d v="1899-12-30T18:00:00"/>
        <d v="1899-12-30T19:04:00"/>
        <d v="1899-12-30T20:21:00"/>
        <d v="1899-12-30T14:37:00"/>
        <d v="1899-12-30T20:37:00"/>
        <d v="1899-12-30T22:13:00"/>
        <d v="1899-12-30T12:03:00"/>
        <d v="1899-12-30T12:43:00"/>
        <d v="1899-12-30T12:55:00"/>
        <d v="1899-12-30T15:13:00"/>
        <d v="1899-12-30T15:46:00"/>
        <d v="1899-12-30T16:20:00"/>
        <d v="1899-12-30T18:35:00"/>
        <d v="1899-12-30T23:57:00"/>
        <d v="1899-12-30T14:31:00"/>
        <d v="1899-12-30T14:35:00"/>
        <d v="1899-12-30T16:34:00"/>
        <d v="1899-12-30T19:58:00"/>
        <d v="1899-12-30T20:03:00"/>
        <d v="1899-12-30T20:13:00"/>
        <d v="1899-12-30T21:13:00"/>
        <d v="1899-12-30T21:39:00"/>
        <d v="1899-12-30T21:45:00"/>
        <d v="1899-12-30T21:48:00"/>
        <d v="1899-12-30T21:51:00"/>
        <d v="1899-12-30T22:51:00"/>
        <d v="1899-12-30T12:05:00"/>
        <d v="1899-12-30T12:57:00"/>
        <d v="1899-12-30T19:38:00"/>
        <d v="1899-12-30T21:24:00"/>
        <d v="1899-12-30T21:29:00"/>
        <d v="1899-12-30T22:08:00"/>
        <d v="1899-12-30T20:57:00"/>
        <d v="1899-12-30T21:32:00"/>
        <d v="1899-12-30T13:00:00"/>
        <d v="1899-12-30T16:41:00"/>
        <d v="1899-12-30T19:16:00"/>
        <d v="1899-12-30T21:03:00"/>
        <d v="1899-12-30T21:31:00"/>
        <d v="1899-12-30T20:28:00"/>
        <d v="1899-12-30T21:44:00"/>
        <d v="1899-12-30T12:18:00"/>
        <d v="1899-12-30T13:01:00"/>
        <d v="1899-12-30T13:39:00"/>
        <d v="1899-12-30T14:46:00"/>
        <d v="1899-12-30T20:38:00"/>
        <d v="1899-12-30T20:52:00"/>
        <d v="1899-12-30T21:33:00"/>
        <d v="1899-12-30T22:43:00"/>
        <d v="1899-12-30T23:23:00"/>
        <d v="1899-12-30T23:40:00"/>
        <d v="1899-12-30T13:09:00"/>
        <d v="1899-12-30T15:01:00"/>
        <d v="1899-12-30T15:57:00"/>
        <d v="1899-12-30T17:19:00"/>
        <d v="1899-12-30T18:13:00"/>
        <d v="1899-12-30T19:54:00"/>
        <d v="1899-12-30T20:33:00"/>
        <d v="1899-12-30T22:00:00"/>
        <d v="1899-12-30T23:03:00"/>
        <d v="1899-12-30T23:35:00"/>
        <d v="1899-12-30T12:25:00"/>
        <d v="1899-12-30T17:54:00"/>
        <d v="1899-12-30T20:53:00"/>
        <d v="1899-12-30T19:20:00"/>
        <d v="1899-12-30T22:35:00"/>
        <d v="1899-12-30T23:24:00"/>
        <d v="1899-12-30T17:06:00"/>
        <d v="1899-12-30T23:18:00"/>
        <d v="1899-12-30T19:53:00"/>
        <d v="1899-12-30T20:22:00"/>
        <d v="1899-12-30T20:44:00"/>
        <d v="1899-12-30T22:56:00"/>
        <d v="1899-12-30T15:37:00"/>
        <d v="1899-12-30T22:27:00"/>
        <d v="1899-12-30T11:07:00"/>
        <d v="1899-12-30T11:48:00"/>
        <d v="1899-12-30T23:59:00"/>
        <d v="1899-12-30T12:34:00"/>
        <d v="1899-12-30T13:10:00"/>
        <d v="1899-12-30T17:24:00"/>
        <d v="1899-12-30T17:55:00"/>
        <d v="1899-12-30T14:05:00"/>
        <d v="1899-12-30T14:30:00"/>
        <d v="1899-12-30T18:01:00"/>
        <d v="1899-12-30T18:08:00"/>
        <d v="1899-12-30T18:11:00"/>
        <d v="1899-12-30T19:14:00"/>
        <d v="1899-12-30T19:28:00"/>
        <d v="1899-12-30T21:15:00"/>
        <d v="1899-12-30T21:40:00"/>
        <d v="1899-12-30T22:11:00"/>
        <d v="1899-12-30T11:33:00"/>
        <d v="1899-12-30T16:51:00"/>
        <d v="1899-12-30T19:00:00"/>
        <d v="1899-12-30T19:49:00"/>
        <d v="1899-12-30T20:12:00"/>
        <d v="1899-12-30T20:17:00"/>
        <d v="1899-12-30T20:32:00"/>
        <d v="1899-12-30T21:46:00"/>
        <d v="1899-12-30T21:58:00"/>
        <d v="1899-12-30T12:19:00"/>
        <d v="1899-12-30T21:30:00"/>
        <d v="1899-12-30T20:55:00"/>
        <d v="1899-12-30T15:07:00"/>
        <d v="1899-12-30T15:18:00"/>
        <d v="1899-12-30T22:34:00"/>
        <d v="1899-12-30T14:45:00"/>
        <d v="1899-12-30T15:52:00"/>
        <d v="1899-12-30T21:21:00"/>
        <d v="1899-12-30T21:23:00"/>
        <d v="1899-12-30T16:18:00"/>
        <d v="1899-12-30T17:27:00"/>
        <d v="1899-12-30T18:47:00"/>
        <d v="1899-12-30T20:47:00"/>
        <d v="1899-12-30T13:17:00"/>
        <d v="1899-12-30T13:51:00"/>
        <d v="1899-12-30T13:56:00"/>
        <d v="1899-12-30T14:33:00"/>
        <d v="1899-12-30T20:34:00"/>
        <d v="1899-12-30T20:46:00"/>
        <d v="1899-12-30T21:01:00"/>
        <d v="1899-12-30T14:01:00"/>
        <d v="1899-12-30T14:43:00"/>
        <d v="1899-12-30T15:32:00"/>
        <d v="1899-12-30T19:31:00"/>
        <d v="1899-12-30T20:30:00"/>
        <d v="1899-12-30T20:42:00"/>
        <d v="1899-12-30T21:36:00"/>
        <d v="1899-12-30T23:38:00"/>
        <d v="1899-12-30T18:54:00"/>
        <d v="1899-12-30T23:04:00"/>
        <d v="1899-12-30T11:30:00"/>
        <d v="1899-12-30T13:47:00"/>
        <d v="1899-12-30T17:02:00"/>
        <d v="1899-12-30T19:36:00"/>
        <d v="1899-12-30T20:19:00"/>
        <d v="1899-12-30T20:27:00"/>
        <d v="1899-12-30T21:35:00"/>
        <d v="1899-12-30T21:53:00"/>
        <d v="1899-12-30T18:37:00"/>
        <d v="1899-12-30T13:05:00"/>
        <d v="1899-12-30T20:18:00"/>
        <d v="1899-12-30T20:39:00"/>
        <d v="1899-12-30T12:01:00"/>
        <d v="1899-12-30T12:20:00"/>
        <d v="1899-12-30T14:06:00"/>
        <d v="1899-12-30T14:19:00"/>
        <d v="1899-12-30T15:42:00"/>
        <d v="1899-12-30T22:22:00"/>
        <d v="1899-12-30T22:55:00"/>
        <d v="1899-12-30T23:31:00"/>
        <d v="1899-12-30T15:51:00"/>
        <d v="1899-12-30T18:33:00"/>
        <d v="1899-12-30T19:03:00"/>
        <d v="1899-12-30T19:15:00"/>
        <d v="1899-12-30T22:01:00"/>
        <d v="1899-12-30T22:02:00"/>
        <d v="1899-12-30T22:21:00"/>
        <d v="1899-12-30T15:47:00"/>
        <d v="1899-12-30T18:19:00"/>
        <d v="1899-12-30T19:55:00"/>
        <d v="1899-12-30T21:49:00"/>
        <d v="1899-12-30T23:46:00"/>
        <d v="1899-12-30T23:48:00"/>
        <d v="1899-12-30T22:28:00"/>
        <d v="1899-12-30T23:37:00"/>
        <d v="1899-12-30T14:03:00"/>
        <d v="1899-12-30T21:59:00"/>
        <d v="1899-12-30T14:32:00"/>
        <d v="1899-12-30T14:59:00"/>
        <d v="1899-12-30T15:41:00"/>
        <d v="1899-12-30T16:58:00"/>
        <d v="1899-12-30T19:27:00"/>
        <d v="1899-12-30T16:56:00"/>
        <d v="1899-12-30T17:28:00"/>
        <d v="1899-12-30T23:12:00"/>
        <d v="1899-12-30T13:06:00"/>
        <d v="1899-12-30T15:11:00"/>
        <d v="1899-12-30T22:45:00"/>
        <d v="1899-12-30T23:17:00"/>
        <d v="1899-12-30T15:54:00"/>
        <d v="1899-12-30T16:08:00"/>
        <d v="1899-12-30T18:14:00"/>
        <d v="1899-12-30T19:56:00"/>
        <d v="1899-12-30T19:57:00"/>
        <d v="1899-12-30T20:58:00"/>
        <d v="1899-12-30T21:18:00"/>
        <d v="1899-12-30T22:29:00"/>
        <d v="1899-12-30T12:50:00"/>
        <d v="1899-12-30T13:38:00"/>
        <d v="1899-12-30T13:43:00"/>
        <d v="1899-12-30T19:34:00"/>
        <d v="1899-12-30T13:08:00"/>
        <d v="1899-12-30T21:38:00"/>
        <d v="1899-12-30T22:03:00"/>
        <d v="1899-12-30T13:53:00"/>
        <d v="1899-12-30T15:17:00"/>
        <d v="1899-12-30T15:35:00"/>
        <d v="1899-12-30T19:29:00"/>
        <d v="1899-12-30T15:21:00"/>
        <d v="1899-12-30T19:33:00"/>
        <d v="1899-12-30T19:51:00"/>
        <d v="1899-12-30T23:58:00"/>
        <d v="1899-12-30T15:19:00"/>
        <d v="1899-12-30T18:03:00"/>
        <d v="1899-12-30T19:12:00"/>
        <d v="1899-12-30T13:18:00"/>
        <d v="1899-12-30T15:31:00"/>
        <d v="1899-12-30T19:44:00"/>
        <d v="1899-12-30T23:41:00"/>
        <d v="1899-12-30T13:07:00"/>
        <d v="1899-12-30T16:49:00"/>
        <d v="1899-12-30T19:41:00"/>
        <d v="1899-12-30T20:06:00"/>
        <d v="1899-12-30T13:11:00"/>
        <d v="1899-12-30T14:23:00"/>
        <d v="1899-12-30T15:34:00"/>
        <d v="1899-12-30T18:59:00"/>
        <d v="1899-12-30T20:43:00"/>
        <d v="1899-12-30T22:52:00"/>
        <d v="1899-12-30T12:23:00"/>
        <d v="1899-12-30T14:15:00"/>
        <d v="1899-12-30T18:20:00"/>
        <d v="1899-12-30T19:32:00"/>
        <d v="1899-12-30T20:05:00"/>
        <d v="1899-12-30T22:39:00"/>
        <d v="1899-12-30T12:52:00"/>
        <d v="1899-12-30T12:58:00"/>
        <d v="1899-12-30T22:20:00"/>
        <d v="1899-12-30T22:49:00"/>
        <d v="1899-12-30T13:59:00"/>
        <d v="1899-12-30T13:44:00"/>
        <d v="1899-12-30T18:32:00"/>
        <d v="1899-12-30T19:40:00"/>
        <d v="1899-12-30T22:47:00"/>
        <d v="1899-12-30T23:05:00"/>
        <d v="1899-12-30T12:22:00"/>
        <d v="1899-12-30T12:41:00"/>
        <d v="1899-12-30T14:13:00"/>
        <d v="1899-12-30T19:02:00"/>
        <d v="1899-12-30T22:57:00"/>
        <d v="1899-12-30T14:50:00"/>
        <d v="1899-12-30T16:44:00"/>
        <d v="1899-12-30T18:27:00"/>
        <d v="1899-12-30T19:25:00"/>
        <d v="1899-12-30T21:02:00"/>
        <d v="1899-12-30T14:24:00"/>
        <d v="1899-12-30T18:53:00"/>
        <d v="1899-12-30T16:15:00"/>
        <d v="1899-12-30T21:05:00"/>
        <d v="1899-12-30T16:04:00"/>
        <d v="1899-12-30T13:46:00"/>
        <d v="1899-12-30T14:02:00"/>
        <d v="1899-12-30T16:53:00"/>
        <d v="1899-12-30T18:56:00"/>
        <d v="1899-12-30T20:07:00"/>
        <d v="1899-12-30T23:20:00"/>
        <d v="1899-12-30T13:20:00"/>
        <d v="1899-12-30T13:23:00"/>
        <d v="1899-12-30T18:55:00"/>
        <d v="1899-12-30T13:22:00"/>
        <d v="1899-12-30T13:12:00"/>
        <d v="1899-12-30T14:49:00"/>
        <d v="1899-12-30T16:22:00"/>
        <d v="1899-12-30T22:26:00"/>
        <d v="1899-12-30T12:13:00"/>
        <d v="1899-12-30T22:09:00"/>
        <d v="1899-12-30T12:21:00"/>
        <d v="1899-12-30T19:52:00"/>
        <d v="1899-12-30T12:38:00"/>
        <d v="1899-12-30T14:04:00"/>
        <d v="1899-12-30T19:05:00"/>
        <d v="1899-12-30T14:36:00"/>
        <d v="1899-12-30T13:52:00"/>
        <d v="1899-12-30T14:00:00"/>
        <d v="1899-12-30T15:45:00"/>
        <d v="1899-12-30T15:49:00"/>
        <d v="1899-12-30T21:57:00"/>
        <d v="1899-12-30T16:42:00"/>
        <d v="1899-12-30T20:59:00"/>
        <d v="1899-12-30T21:27:00"/>
        <d v="1899-12-30T18:15:00"/>
        <d v="1899-12-30T19:21:00"/>
        <d v="1899-12-30T19:26:00"/>
        <d v="1899-12-30T20:02:00"/>
        <d v="1899-12-30T13:19:00"/>
        <d v="1899-12-30T15:04:00"/>
        <d v="1899-12-30T19:43:00"/>
        <d v="1899-12-30T20:41:00"/>
        <d v="1899-12-30T21:00:00"/>
        <d v="1899-12-30T21:09:00"/>
        <d v="1899-12-30T23:22:00"/>
        <d v="1899-12-30T12:08:00"/>
        <d v="1899-12-30T17:53:00"/>
        <d v="1899-12-30T18:12:00"/>
        <d v="1899-12-30T20:49:00"/>
        <d v="1899-12-30T22:36:00"/>
        <d v="1899-12-30T23:09:00"/>
        <d v="1899-12-30T12:00:00"/>
        <d v="1899-12-30T21:50:00"/>
        <d v="1899-12-30T22:15:00"/>
        <d v="1899-12-30T19:08:00"/>
        <d v="1899-12-30T23:21:00"/>
        <d v="1899-12-30T11:53:00"/>
        <d v="1899-12-30T22:38:00"/>
        <d v="1899-12-30T12:56:00"/>
        <d v="1899-12-30T18:34:00"/>
        <d v="1899-12-30T23:39:00"/>
        <d v="1899-12-30T11:12:00"/>
        <d v="1899-12-30T13:13:00"/>
        <d v="1899-12-30T13:42:00"/>
        <d v="1899-12-30T17:35:00"/>
        <d v="1899-12-30T18:04:00"/>
        <d v="1899-12-30T23:02:00"/>
        <d v="1899-12-30T22:33:00"/>
        <d v="1899-12-30T14:12:00"/>
        <d v="1899-12-30T14:18:00"/>
        <d v="1899-12-30T21:10:00"/>
        <d v="1899-12-30T12:17:00"/>
        <d v="1899-12-30T22:41:00"/>
        <d v="1899-12-30T23:36:00"/>
        <d v="1899-12-30T13:21:00"/>
        <d v="1899-12-30T14:44:00"/>
        <d v="1899-12-30T17:34:00"/>
        <d v="1899-12-30T18:58:00"/>
        <d v="1899-12-30T16:27:00"/>
        <d v="1899-12-30T21:34:00"/>
        <d v="1899-12-30T11:06:00"/>
        <d v="1899-12-30T16:10:00"/>
        <d v="1899-12-30T14:21:00"/>
        <d v="1899-12-30T16:06:00"/>
        <d v="1899-12-30T19:46:00"/>
        <d v="1899-12-30T12:33:00"/>
        <d v="1899-12-30T14:14:00"/>
        <d v="1899-12-30T18:06:00"/>
        <d v="1899-12-30T19:48:00"/>
        <d v="1899-12-30T22:18:00"/>
        <d v="1899-12-30T23:47:00"/>
        <d v="1899-12-30T15:06:00"/>
        <d v="1899-12-30T16:31:00"/>
        <d v="1899-12-30T22:06:00"/>
        <d v="1899-12-30T15:27:00"/>
        <d v="1899-12-30T20:54:00"/>
        <d v="1899-12-30T17:41:00"/>
        <d v="1899-12-30T16:45:00"/>
        <d v="1899-12-30T17:15:00"/>
        <d v="1899-12-30T23:25:00"/>
        <d v="1899-12-30T14:39:00"/>
        <d v="1899-12-30T16:21:00"/>
        <d v="1899-12-30T14:28:00"/>
        <d v="1899-12-30T17:46:00"/>
        <d v="1899-12-30T18:57:00"/>
        <d v="1899-12-30T22:46:00"/>
        <d v="1899-12-30T17:59:00"/>
        <d v="1899-12-30T17:03:00"/>
        <d v="1899-12-30T23:51:00"/>
        <d v="1899-12-30T15:28:00"/>
        <d v="1899-12-30T17:18:00"/>
        <d v="1899-12-30T14:10:00"/>
        <d v="1899-12-30T15:53:00"/>
        <d v="1899-12-30T17:01:00"/>
        <d v="1899-12-30T17:07:00"/>
        <d v="1899-12-30T13:49:00"/>
        <d v="1899-12-30T11:03:00"/>
        <d v="1899-12-30T14:07:00"/>
        <d v="1899-12-30T17:51:00"/>
        <d v="1899-12-30T23:16:00"/>
        <d v="1899-12-30T14:20:00"/>
        <d v="1899-12-30T19:07:00"/>
        <d v="1899-12-30T15:40:00"/>
        <d v="1899-12-30T16:14:00"/>
        <d v="1899-12-30T18:43:00"/>
        <d v="1899-12-30T17:50:00"/>
        <d v="1899-12-30T22:42:00"/>
        <d v="1899-12-30T12:35:00"/>
        <d v="1899-12-30T12:47:00"/>
        <d v="1899-12-30T13:34:00"/>
        <d v="1899-12-30T15:48:00"/>
        <d v="1899-12-30T17:45:00"/>
        <d v="1899-12-30T17:17:00"/>
        <d v="1899-12-30T22:12:00"/>
        <d v="1899-12-30T23:15:00"/>
        <d v="1899-12-30T11:01:00"/>
        <d v="1899-12-30T13:29:00"/>
        <d v="1899-12-30T23:11:00"/>
        <d v="1899-12-30T18:10:00"/>
        <d v="1899-12-30T13:26:00"/>
        <d v="1899-12-30T13:35:00"/>
        <d v="1899-12-30T19:24:00"/>
        <d v="1899-12-30T19:35:00"/>
        <d v="1899-12-30T13:25:00"/>
        <d v="1899-12-30T14:22:00"/>
        <d v="1899-12-30T23:06:00"/>
        <d v="1899-12-30T22:25:00"/>
        <d v="1899-12-30T17:29:00"/>
        <d v="1899-12-30T23:10:00"/>
        <d v="1899-12-30T15:43:00"/>
        <d v="1899-12-30T15:15:00"/>
        <d v="1899-12-30T17:25:00"/>
        <d v="1899-12-30T14:56:00"/>
        <d v="1899-12-30T16:29:00"/>
        <d v="1899-12-30T18:23:00"/>
        <d v="1899-12-30T12:28:00"/>
        <d v="1899-12-30T18:16:00"/>
        <d v="1899-12-30T18:07:00"/>
        <d v="1899-12-30T23:29:00"/>
        <d v="1899-12-30T17:39:00"/>
        <d v="1899-12-30T21:56:00"/>
        <d v="1899-12-30T13:50:00"/>
        <d v="1899-12-30T12:15:00"/>
        <d v="1899-12-30T11:08:00"/>
        <d v="1899-12-30T12:16:00"/>
        <d v="1899-12-30T13:36:00"/>
        <d v="1899-12-30T16:11:00"/>
        <d v="1899-12-30T15:44:00"/>
        <d v="1899-12-30T18:24:00"/>
        <d v="1899-12-30T18:28:00"/>
        <d v="1899-12-30T13:04:00"/>
        <d v="1899-12-30T18:29:00"/>
        <d v="1899-12-30T13:40:00"/>
        <d v="1899-12-30T16:47:00"/>
        <d v="1899-12-30T17:56:00"/>
        <d v="1899-12-30T14:11:00"/>
        <d v="1899-12-30T17:09:00"/>
        <d v="1899-12-30T12:51:00"/>
        <d v="1899-12-30T15:12:00"/>
        <d v="1899-12-30T19:30:00"/>
        <d v="1899-12-30T16:32:00"/>
        <d v="1899-12-30T11:04:00"/>
        <d v="1899-12-30T11:58:00"/>
        <d v="1899-12-30T12:14:00"/>
        <d v="1899-12-30T19:11:00"/>
      </sharedItems>
    </cacheField>
    <cacheField name="Hour" numFmtId="0">
      <sharedItems containsSemiMixedTypes="0" containsString="0" containsNumber="1" containsInteger="1" minValue="11" maxValue="23" count="13">
        <n v="14"/>
        <n v="20"/>
        <n v="22"/>
        <n v="21"/>
        <n v="23"/>
        <n v="19"/>
        <n v="17"/>
        <n v="13"/>
        <n v="18"/>
        <n v="11"/>
        <n v="12"/>
        <n v="16"/>
        <n v="15"/>
      </sharedItems>
    </cacheField>
    <cacheField name="weekday" numFmtId="49">
      <sharedItems count="7">
        <s v="Sunday"/>
        <s v="Monday"/>
        <s v="Tuesday"/>
        <s v="Wednesday"/>
        <s v="Thursday"/>
        <s v="Friday"/>
        <s v="Saturday"/>
      </sharedItems>
    </cacheField>
    <cacheField name="channel" numFmtId="49">
      <sharedItems count="3">
        <s v="Dine-in"/>
        <s v="Delivery"/>
        <s v="Takeaway"/>
      </sharedItems>
    </cacheField>
    <cacheField name="item_name" numFmtId="49">
      <sharedItems count="15">
        <s v="Tea"/>
        <s v="Chicken Tikka"/>
        <s v="Falafel Sandwich"/>
        <s v="Hummus"/>
        <s v="Mixed Grill Platter"/>
        <s v="Lamb Kebab"/>
        <s v="Soft Drink"/>
        <s v="Shawarma Sandwich"/>
        <s v="Chicken Sandwich"/>
        <s v="Fattoush Salad"/>
        <s v="Kunafa"/>
        <s v="Shish Tawook"/>
        <s v="Baklava"/>
        <s v="Fresh Lemon Mint"/>
        <s v="Mutabbal"/>
      </sharedItems>
    </cacheField>
    <cacheField name="category" numFmtId="49">
      <sharedItems count="5">
        <s v="Beverages"/>
        <s v="Grills"/>
        <s v="Sandwiches"/>
        <s v="Appetizers"/>
        <s v="Desserts"/>
      </sharedItems>
    </cacheField>
    <cacheField name="quantity" numFmtId="0">
      <sharedItems containsString="0" containsBlank="1" containsNumber="1" containsInteger="1" minValue="1" maxValue="3" count="4">
        <n v="2"/>
        <n v="3"/>
        <n v="1"/>
        <m/>
      </sharedItems>
    </cacheField>
    <cacheField name="unit_price" numFmtId="3">
      <sharedItems containsSemiMixedTypes="0" containsString="0" containsNumber="1" containsInteger="1" minValue="1000" maxValue="25000" count="18">
        <n v="1000"/>
        <n v="15000"/>
        <n v="3000"/>
        <n v="4000"/>
        <n v="25000"/>
        <n v="18000"/>
        <n v="1500"/>
        <n v="5000"/>
        <n v="6000"/>
        <n v="13500"/>
        <n v="7000"/>
        <n v="16000"/>
        <n v="1350"/>
        <n v="1200"/>
        <n v="4500"/>
        <n v="13600"/>
        <n v="3400"/>
        <n v="2700"/>
      </sharedItems>
    </cacheField>
    <cacheField name="total_price" numFmtId="3">
      <sharedItems containsSemiMixedTypes="0" containsString="0" containsNumber="1" containsInteger="1" minValue="0" maxValue="75000" count="85">
        <n v="2000"/>
        <n v="45000"/>
        <n v="3000"/>
        <n v="4000"/>
        <n v="22500"/>
        <n v="18000"/>
        <n v="1500"/>
        <n v="1000"/>
        <n v="15000"/>
        <n v="5000"/>
        <n v="6000"/>
        <n v="12150"/>
        <n v="10000"/>
        <n v="7000"/>
        <n v="8000"/>
        <n v="25000"/>
        <n v="30000"/>
        <n v="36000"/>
        <n v="15300"/>
        <n v="48000"/>
        <n v="1215"/>
        <n v="12000"/>
        <n v="8500"/>
        <n v="3600"/>
        <n v="16000"/>
        <n v="4500"/>
        <n v="960"/>
        <n v="43200"/>
        <n v="54000"/>
        <n v="20000"/>
        <n v="2700"/>
        <n v="800"/>
        <n v="14000"/>
        <n v="5950"/>
        <n v="13600"/>
        <n v="50000"/>
        <n v="5400"/>
        <n v="4800"/>
        <n v="900"/>
        <n v="32000"/>
        <n v="9000"/>
        <n v="850"/>
        <n v="12600"/>
        <n v="5100"/>
        <n v="3200"/>
        <n v="14400"/>
        <n v="4250"/>
        <n v="32400"/>
        <n v="3400"/>
        <n v="21000"/>
        <n v="3825"/>
        <n v="28800"/>
        <n v="21250"/>
        <n v="1800"/>
        <n v="8100"/>
        <n v="2550"/>
        <n v="1350"/>
        <n v="2400"/>
        <n v="4050"/>
        <n v="9600"/>
        <n v="1275"/>
        <n v="42500"/>
        <n v="11560"/>
        <n v="25500"/>
        <n v="11900"/>
        <n v="0"/>
        <n v="6300"/>
        <n v="13500"/>
        <n v="6800"/>
        <n v="1920"/>
        <n v="10800"/>
        <n v="16200"/>
        <n v="1200"/>
        <n v="38400"/>
        <n v="48600"/>
        <n v="12800"/>
        <n v="12750"/>
        <n v="67500"/>
        <n v="25600"/>
        <n v="7650"/>
        <n v="60000"/>
        <n v="2890"/>
        <n v="75000"/>
        <n v="2430"/>
        <n v="1700"/>
      </sharedItems>
    </cacheField>
    <cacheField name="payment_method" numFmtId="49">
      <sharedItems count="2">
        <s v="Cash"/>
        <s v="Card"/>
      </sharedItems>
    </cacheField>
    <cacheField name="discount_pct" numFmtId="0">
      <sharedItems containsSemiMixedTypes="0" containsString="0" containsNumber="1" minValue="0" maxValue="0.2" count="4">
        <n v="0"/>
        <n v="0.1"/>
        <n v="0.2"/>
        <n v="0.15"/>
      </sharedItems>
    </cacheField>
    <cacheField name="customer_rating" numFmtId="0">
      <sharedItems containsNumber="1" containsInteger="1" containsMixedTypes="1" count="5">
        <s v=""/>
        <n v="5"/>
        <n v="4"/>
        <n v="3"/>
        <n v="2"/>
      </sharedItems>
    </cacheField>
    <cacheField name="server_name" numFmtId="49">
      <sharedItems count="5">
        <s v="Noor Kadhim"/>
        <s v="Ali Hassan"/>
        <s v="Mustafa Karim"/>
        <s v="Zainab Salim"/>
        <s v="Omar Jabbar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50">
  <r>
    <x v="0"/>
    <x v="0"/>
    <x v="0"/>
    <x v="0"/>
    <x v="0"/>
    <x v="0"/>
    <x v="0"/>
    <x v="0"/>
    <x v="0"/>
    <x v="0"/>
    <x v="0"/>
    <x v="0"/>
    <x v="0"/>
    <x v="0"/>
    <x v="0"/>
  </r>
  <r>
    <x v="1"/>
    <x v="0"/>
    <x v="1"/>
    <x v="1"/>
    <x v="0"/>
    <x v="0"/>
    <x v="1"/>
    <x v="1"/>
    <x v="1"/>
    <x v="1"/>
    <x v="1"/>
    <x v="1"/>
    <x v="0"/>
    <x v="0"/>
    <x v="1"/>
  </r>
  <r>
    <x v="2"/>
    <x v="0"/>
    <x v="2"/>
    <x v="1"/>
    <x v="0"/>
    <x v="0"/>
    <x v="2"/>
    <x v="2"/>
    <x v="2"/>
    <x v="2"/>
    <x v="2"/>
    <x v="0"/>
    <x v="0"/>
    <x v="0"/>
    <x v="2"/>
  </r>
  <r>
    <x v="3"/>
    <x v="0"/>
    <x v="3"/>
    <x v="1"/>
    <x v="0"/>
    <x v="1"/>
    <x v="3"/>
    <x v="3"/>
    <x v="2"/>
    <x v="3"/>
    <x v="3"/>
    <x v="0"/>
    <x v="0"/>
    <x v="0"/>
    <x v="3"/>
  </r>
  <r>
    <x v="4"/>
    <x v="0"/>
    <x v="4"/>
    <x v="2"/>
    <x v="0"/>
    <x v="1"/>
    <x v="4"/>
    <x v="1"/>
    <x v="2"/>
    <x v="4"/>
    <x v="4"/>
    <x v="1"/>
    <x v="1"/>
    <x v="1"/>
    <x v="2"/>
  </r>
  <r>
    <x v="5"/>
    <x v="0"/>
    <x v="5"/>
    <x v="2"/>
    <x v="0"/>
    <x v="1"/>
    <x v="5"/>
    <x v="1"/>
    <x v="2"/>
    <x v="5"/>
    <x v="5"/>
    <x v="0"/>
    <x v="0"/>
    <x v="0"/>
    <x v="1"/>
  </r>
  <r>
    <x v="6"/>
    <x v="1"/>
    <x v="6"/>
    <x v="1"/>
    <x v="1"/>
    <x v="0"/>
    <x v="6"/>
    <x v="0"/>
    <x v="2"/>
    <x v="6"/>
    <x v="6"/>
    <x v="0"/>
    <x v="0"/>
    <x v="2"/>
    <x v="1"/>
  </r>
  <r>
    <x v="7"/>
    <x v="1"/>
    <x v="7"/>
    <x v="1"/>
    <x v="1"/>
    <x v="0"/>
    <x v="0"/>
    <x v="0"/>
    <x v="2"/>
    <x v="0"/>
    <x v="7"/>
    <x v="0"/>
    <x v="0"/>
    <x v="3"/>
    <x v="1"/>
  </r>
  <r>
    <x v="8"/>
    <x v="1"/>
    <x v="8"/>
    <x v="1"/>
    <x v="1"/>
    <x v="2"/>
    <x v="1"/>
    <x v="1"/>
    <x v="2"/>
    <x v="1"/>
    <x v="8"/>
    <x v="1"/>
    <x v="0"/>
    <x v="0"/>
    <x v="1"/>
  </r>
  <r>
    <x v="9"/>
    <x v="1"/>
    <x v="3"/>
    <x v="1"/>
    <x v="1"/>
    <x v="0"/>
    <x v="6"/>
    <x v="0"/>
    <x v="2"/>
    <x v="6"/>
    <x v="6"/>
    <x v="0"/>
    <x v="0"/>
    <x v="0"/>
    <x v="4"/>
  </r>
  <r>
    <x v="10"/>
    <x v="1"/>
    <x v="9"/>
    <x v="3"/>
    <x v="1"/>
    <x v="0"/>
    <x v="7"/>
    <x v="2"/>
    <x v="2"/>
    <x v="7"/>
    <x v="9"/>
    <x v="0"/>
    <x v="0"/>
    <x v="0"/>
    <x v="3"/>
  </r>
  <r>
    <x v="11"/>
    <x v="1"/>
    <x v="10"/>
    <x v="4"/>
    <x v="1"/>
    <x v="1"/>
    <x v="8"/>
    <x v="2"/>
    <x v="2"/>
    <x v="8"/>
    <x v="10"/>
    <x v="0"/>
    <x v="0"/>
    <x v="2"/>
    <x v="2"/>
  </r>
  <r>
    <x v="12"/>
    <x v="2"/>
    <x v="11"/>
    <x v="5"/>
    <x v="2"/>
    <x v="0"/>
    <x v="0"/>
    <x v="0"/>
    <x v="2"/>
    <x v="0"/>
    <x v="7"/>
    <x v="0"/>
    <x v="0"/>
    <x v="2"/>
    <x v="0"/>
  </r>
  <r>
    <x v="13"/>
    <x v="2"/>
    <x v="12"/>
    <x v="1"/>
    <x v="2"/>
    <x v="0"/>
    <x v="1"/>
    <x v="1"/>
    <x v="2"/>
    <x v="9"/>
    <x v="11"/>
    <x v="0"/>
    <x v="1"/>
    <x v="0"/>
    <x v="4"/>
  </r>
  <r>
    <x v="14"/>
    <x v="2"/>
    <x v="13"/>
    <x v="1"/>
    <x v="2"/>
    <x v="1"/>
    <x v="2"/>
    <x v="2"/>
    <x v="2"/>
    <x v="2"/>
    <x v="2"/>
    <x v="1"/>
    <x v="0"/>
    <x v="3"/>
    <x v="3"/>
  </r>
  <r>
    <x v="15"/>
    <x v="2"/>
    <x v="14"/>
    <x v="2"/>
    <x v="2"/>
    <x v="1"/>
    <x v="9"/>
    <x v="3"/>
    <x v="0"/>
    <x v="7"/>
    <x v="12"/>
    <x v="0"/>
    <x v="0"/>
    <x v="2"/>
    <x v="1"/>
  </r>
  <r>
    <x v="16"/>
    <x v="2"/>
    <x v="15"/>
    <x v="2"/>
    <x v="2"/>
    <x v="1"/>
    <x v="0"/>
    <x v="0"/>
    <x v="2"/>
    <x v="0"/>
    <x v="7"/>
    <x v="0"/>
    <x v="0"/>
    <x v="0"/>
    <x v="0"/>
  </r>
  <r>
    <x v="17"/>
    <x v="3"/>
    <x v="16"/>
    <x v="6"/>
    <x v="3"/>
    <x v="0"/>
    <x v="7"/>
    <x v="2"/>
    <x v="2"/>
    <x v="7"/>
    <x v="9"/>
    <x v="0"/>
    <x v="0"/>
    <x v="0"/>
    <x v="1"/>
  </r>
  <r>
    <x v="18"/>
    <x v="3"/>
    <x v="17"/>
    <x v="5"/>
    <x v="3"/>
    <x v="2"/>
    <x v="10"/>
    <x v="4"/>
    <x v="2"/>
    <x v="10"/>
    <x v="13"/>
    <x v="1"/>
    <x v="0"/>
    <x v="0"/>
    <x v="2"/>
  </r>
  <r>
    <x v="19"/>
    <x v="3"/>
    <x v="18"/>
    <x v="1"/>
    <x v="3"/>
    <x v="0"/>
    <x v="3"/>
    <x v="3"/>
    <x v="0"/>
    <x v="3"/>
    <x v="14"/>
    <x v="0"/>
    <x v="0"/>
    <x v="0"/>
    <x v="4"/>
  </r>
  <r>
    <x v="20"/>
    <x v="3"/>
    <x v="19"/>
    <x v="1"/>
    <x v="3"/>
    <x v="0"/>
    <x v="4"/>
    <x v="1"/>
    <x v="2"/>
    <x v="4"/>
    <x v="15"/>
    <x v="0"/>
    <x v="0"/>
    <x v="0"/>
    <x v="1"/>
  </r>
  <r>
    <x v="21"/>
    <x v="3"/>
    <x v="20"/>
    <x v="2"/>
    <x v="3"/>
    <x v="1"/>
    <x v="9"/>
    <x v="3"/>
    <x v="2"/>
    <x v="7"/>
    <x v="3"/>
    <x v="0"/>
    <x v="2"/>
    <x v="0"/>
    <x v="3"/>
  </r>
  <r>
    <x v="22"/>
    <x v="4"/>
    <x v="21"/>
    <x v="7"/>
    <x v="4"/>
    <x v="0"/>
    <x v="0"/>
    <x v="0"/>
    <x v="2"/>
    <x v="0"/>
    <x v="7"/>
    <x v="0"/>
    <x v="0"/>
    <x v="0"/>
    <x v="0"/>
  </r>
  <r>
    <x v="23"/>
    <x v="4"/>
    <x v="22"/>
    <x v="6"/>
    <x v="4"/>
    <x v="2"/>
    <x v="1"/>
    <x v="1"/>
    <x v="0"/>
    <x v="1"/>
    <x v="16"/>
    <x v="0"/>
    <x v="0"/>
    <x v="1"/>
    <x v="2"/>
  </r>
  <r>
    <x v="24"/>
    <x v="4"/>
    <x v="23"/>
    <x v="6"/>
    <x v="4"/>
    <x v="0"/>
    <x v="2"/>
    <x v="2"/>
    <x v="2"/>
    <x v="2"/>
    <x v="2"/>
    <x v="0"/>
    <x v="0"/>
    <x v="0"/>
    <x v="2"/>
  </r>
  <r>
    <x v="25"/>
    <x v="4"/>
    <x v="24"/>
    <x v="8"/>
    <x v="4"/>
    <x v="0"/>
    <x v="6"/>
    <x v="0"/>
    <x v="2"/>
    <x v="6"/>
    <x v="6"/>
    <x v="0"/>
    <x v="0"/>
    <x v="0"/>
    <x v="4"/>
  </r>
  <r>
    <x v="26"/>
    <x v="4"/>
    <x v="25"/>
    <x v="8"/>
    <x v="4"/>
    <x v="2"/>
    <x v="8"/>
    <x v="2"/>
    <x v="2"/>
    <x v="8"/>
    <x v="10"/>
    <x v="0"/>
    <x v="0"/>
    <x v="0"/>
    <x v="1"/>
  </r>
  <r>
    <x v="27"/>
    <x v="4"/>
    <x v="26"/>
    <x v="5"/>
    <x v="4"/>
    <x v="0"/>
    <x v="5"/>
    <x v="1"/>
    <x v="0"/>
    <x v="5"/>
    <x v="17"/>
    <x v="0"/>
    <x v="0"/>
    <x v="0"/>
    <x v="3"/>
  </r>
  <r>
    <x v="28"/>
    <x v="4"/>
    <x v="27"/>
    <x v="5"/>
    <x v="4"/>
    <x v="1"/>
    <x v="5"/>
    <x v="1"/>
    <x v="2"/>
    <x v="5"/>
    <x v="18"/>
    <x v="0"/>
    <x v="3"/>
    <x v="0"/>
    <x v="3"/>
  </r>
  <r>
    <x v="29"/>
    <x v="4"/>
    <x v="28"/>
    <x v="1"/>
    <x v="4"/>
    <x v="1"/>
    <x v="11"/>
    <x v="1"/>
    <x v="1"/>
    <x v="11"/>
    <x v="19"/>
    <x v="1"/>
    <x v="0"/>
    <x v="0"/>
    <x v="1"/>
  </r>
  <r>
    <x v="30"/>
    <x v="4"/>
    <x v="29"/>
    <x v="3"/>
    <x v="4"/>
    <x v="0"/>
    <x v="8"/>
    <x v="2"/>
    <x v="2"/>
    <x v="8"/>
    <x v="10"/>
    <x v="0"/>
    <x v="0"/>
    <x v="0"/>
    <x v="4"/>
  </r>
  <r>
    <x v="31"/>
    <x v="4"/>
    <x v="30"/>
    <x v="3"/>
    <x v="4"/>
    <x v="0"/>
    <x v="7"/>
    <x v="2"/>
    <x v="2"/>
    <x v="7"/>
    <x v="9"/>
    <x v="0"/>
    <x v="0"/>
    <x v="0"/>
    <x v="0"/>
  </r>
  <r>
    <x v="32"/>
    <x v="4"/>
    <x v="31"/>
    <x v="3"/>
    <x v="4"/>
    <x v="0"/>
    <x v="0"/>
    <x v="0"/>
    <x v="0"/>
    <x v="0"/>
    <x v="0"/>
    <x v="0"/>
    <x v="0"/>
    <x v="0"/>
    <x v="4"/>
  </r>
  <r>
    <x v="33"/>
    <x v="4"/>
    <x v="4"/>
    <x v="2"/>
    <x v="4"/>
    <x v="1"/>
    <x v="5"/>
    <x v="1"/>
    <x v="2"/>
    <x v="5"/>
    <x v="5"/>
    <x v="0"/>
    <x v="0"/>
    <x v="0"/>
    <x v="1"/>
  </r>
  <r>
    <x v="34"/>
    <x v="4"/>
    <x v="32"/>
    <x v="2"/>
    <x v="4"/>
    <x v="0"/>
    <x v="6"/>
    <x v="0"/>
    <x v="2"/>
    <x v="12"/>
    <x v="20"/>
    <x v="0"/>
    <x v="1"/>
    <x v="0"/>
    <x v="4"/>
  </r>
  <r>
    <x v="35"/>
    <x v="4"/>
    <x v="33"/>
    <x v="2"/>
    <x v="4"/>
    <x v="0"/>
    <x v="12"/>
    <x v="4"/>
    <x v="2"/>
    <x v="8"/>
    <x v="10"/>
    <x v="0"/>
    <x v="0"/>
    <x v="0"/>
    <x v="0"/>
  </r>
  <r>
    <x v="36"/>
    <x v="4"/>
    <x v="34"/>
    <x v="4"/>
    <x v="4"/>
    <x v="0"/>
    <x v="0"/>
    <x v="0"/>
    <x v="2"/>
    <x v="0"/>
    <x v="7"/>
    <x v="0"/>
    <x v="0"/>
    <x v="1"/>
    <x v="3"/>
  </r>
  <r>
    <x v="37"/>
    <x v="5"/>
    <x v="35"/>
    <x v="9"/>
    <x v="5"/>
    <x v="0"/>
    <x v="5"/>
    <x v="1"/>
    <x v="2"/>
    <x v="5"/>
    <x v="5"/>
    <x v="0"/>
    <x v="0"/>
    <x v="0"/>
    <x v="4"/>
  </r>
  <r>
    <x v="38"/>
    <x v="6"/>
    <x v="36"/>
    <x v="10"/>
    <x v="2"/>
    <x v="0"/>
    <x v="0"/>
    <x v="0"/>
    <x v="2"/>
    <x v="0"/>
    <x v="7"/>
    <x v="1"/>
    <x v="0"/>
    <x v="2"/>
    <x v="0"/>
  </r>
  <r>
    <x v="39"/>
    <x v="5"/>
    <x v="37"/>
    <x v="0"/>
    <x v="5"/>
    <x v="2"/>
    <x v="12"/>
    <x v="4"/>
    <x v="2"/>
    <x v="8"/>
    <x v="10"/>
    <x v="0"/>
    <x v="0"/>
    <x v="3"/>
    <x v="3"/>
  </r>
  <r>
    <x v="40"/>
    <x v="5"/>
    <x v="38"/>
    <x v="0"/>
    <x v="5"/>
    <x v="0"/>
    <x v="6"/>
    <x v="0"/>
    <x v="2"/>
    <x v="6"/>
    <x v="6"/>
    <x v="0"/>
    <x v="0"/>
    <x v="1"/>
    <x v="0"/>
  </r>
  <r>
    <x v="41"/>
    <x v="5"/>
    <x v="39"/>
    <x v="11"/>
    <x v="5"/>
    <x v="1"/>
    <x v="12"/>
    <x v="4"/>
    <x v="2"/>
    <x v="8"/>
    <x v="10"/>
    <x v="1"/>
    <x v="0"/>
    <x v="2"/>
    <x v="1"/>
  </r>
  <r>
    <x v="42"/>
    <x v="5"/>
    <x v="40"/>
    <x v="5"/>
    <x v="5"/>
    <x v="0"/>
    <x v="8"/>
    <x v="2"/>
    <x v="0"/>
    <x v="8"/>
    <x v="21"/>
    <x v="0"/>
    <x v="0"/>
    <x v="0"/>
    <x v="4"/>
  </r>
  <r>
    <x v="43"/>
    <x v="5"/>
    <x v="19"/>
    <x v="1"/>
    <x v="5"/>
    <x v="0"/>
    <x v="7"/>
    <x v="2"/>
    <x v="2"/>
    <x v="7"/>
    <x v="9"/>
    <x v="1"/>
    <x v="0"/>
    <x v="0"/>
    <x v="2"/>
  </r>
  <r>
    <x v="44"/>
    <x v="5"/>
    <x v="41"/>
    <x v="3"/>
    <x v="5"/>
    <x v="0"/>
    <x v="7"/>
    <x v="2"/>
    <x v="0"/>
    <x v="7"/>
    <x v="22"/>
    <x v="0"/>
    <x v="3"/>
    <x v="0"/>
    <x v="1"/>
  </r>
  <r>
    <x v="45"/>
    <x v="5"/>
    <x v="42"/>
    <x v="4"/>
    <x v="5"/>
    <x v="0"/>
    <x v="7"/>
    <x v="2"/>
    <x v="2"/>
    <x v="7"/>
    <x v="9"/>
    <x v="1"/>
    <x v="0"/>
    <x v="1"/>
    <x v="1"/>
  </r>
  <r>
    <x v="46"/>
    <x v="7"/>
    <x v="43"/>
    <x v="9"/>
    <x v="6"/>
    <x v="0"/>
    <x v="0"/>
    <x v="0"/>
    <x v="1"/>
    <x v="0"/>
    <x v="2"/>
    <x v="1"/>
    <x v="0"/>
    <x v="2"/>
    <x v="2"/>
  </r>
  <r>
    <x v="47"/>
    <x v="7"/>
    <x v="44"/>
    <x v="5"/>
    <x v="6"/>
    <x v="2"/>
    <x v="8"/>
    <x v="2"/>
    <x v="2"/>
    <x v="8"/>
    <x v="10"/>
    <x v="0"/>
    <x v="0"/>
    <x v="2"/>
    <x v="3"/>
  </r>
  <r>
    <x v="48"/>
    <x v="7"/>
    <x v="45"/>
    <x v="3"/>
    <x v="6"/>
    <x v="2"/>
    <x v="13"/>
    <x v="0"/>
    <x v="2"/>
    <x v="2"/>
    <x v="2"/>
    <x v="0"/>
    <x v="0"/>
    <x v="0"/>
    <x v="4"/>
  </r>
  <r>
    <x v="49"/>
    <x v="7"/>
    <x v="46"/>
    <x v="3"/>
    <x v="6"/>
    <x v="0"/>
    <x v="6"/>
    <x v="0"/>
    <x v="2"/>
    <x v="6"/>
    <x v="6"/>
    <x v="1"/>
    <x v="0"/>
    <x v="0"/>
    <x v="0"/>
  </r>
  <r>
    <x v="50"/>
    <x v="7"/>
    <x v="47"/>
    <x v="3"/>
    <x v="6"/>
    <x v="0"/>
    <x v="3"/>
    <x v="3"/>
    <x v="2"/>
    <x v="3"/>
    <x v="3"/>
    <x v="0"/>
    <x v="0"/>
    <x v="0"/>
    <x v="1"/>
  </r>
  <r>
    <x v="51"/>
    <x v="7"/>
    <x v="48"/>
    <x v="2"/>
    <x v="6"/>
    <x v="1"/>
    <x v="8"/>
    <x v="2"/>
    <x v="2"/>
    <x v="8"/>
    <x v="10"/>
    <x v="0"/>
    <x v="0"/>
    <x v="0"/>
    <x v="0"/>
  </r>
  <r>
    <x v="52"/>
    <x v="7"/>
    <x v="49"/>
    <x v="2"/>
    <x v="6"/>
    <x v="1"/>
    <x v="7"/>
    <x v="2"/>
    <x v="0"/>
    <x v="7"/>
    <x v="12"/>
    <x v="0"/>
    <x v="0"/>
    <x v="0"/>
    <x v="2"/>
  </r>
  <r>
    <x v="53"/>
    <x v="8"/>
    <x v="50"/>
    <x v="5"/>
    <x v="0"/>
    <x v="0"/>
    <x v="3"/>
    <x v="3"/>
    <x v="2"/>
    <x v="3"/>
    <x v="23"/>
    <x v="0"/>
    <x v="1"/>
    <x v="3"/>
    <x v="3"/>
  </r>
  <r>
    <x v="54"/>
    <x v="8"/>
    <x v="51"/>
    <x v="5"/>
    <x v="0"/>
    <x v="0"/>
    <x v="11"/>
    <x v="1"/>
    <x v="2"/>
    <x v="11"/>
    <x v="24"/>
    <x v="0"/>
    <x v="0"/>
    <x v="0"/>
    <x v="4"/>
  </r>
  <r>
    <x v="55"/>
    <x v="8"/>
    <x v="18"/>
    <x v="1"/>
    <x v="0"/>
    <x v="0"/>
    <x v="13"/>
    <x v="0"/>
    <x v="0"/>
    <x v="2"/>
    <x v="10"/>
    <x v="0"/>
    <x v="0"/>
    <x v="2"/>
    <x v="2"/>
  </r>
  <r>
    <x v="56"/>
    <x v="8"/>
    <x v="52"/>
    <x v="3"/>
    <x v="0"/>
    <x v="2"/>
    <x v="0"/>
    <x v="0"/>
    <x v="0"/>
    <x v="0"/>
    <x v="0"/>
    <x v="0"/>
    <x v="0"/>
    <x v="2"/>
    <x v="4"/>
  </r>
  <r>
    <x v="57"/>
    <x v="8"/>
    <x v="46"/>
    <x v="3"/>
    <x v="0"/>
    <x v="0"/>
    <x v="2"/>
    <x v="2"/>
    <x v="2"/>
    <x v="2"/>
    <x v="2"/>
    <x v="0"/>
    <x v="0"/>
    <x v="0"/>
    <x v="1"/>
  </r>
  <r>
    <x v="58"/>
    <x v="9"/>
    <x v="53"/>
    <x v="0"/>
    <x v="1"/>
    <x v="0"/>
    <x v="7"/>
    <x v="2"/>
    <x v="2"/>
    <x v="7"/>
    <x v="25"/>
    <x v="0"/>
    <x v="1"/>
    <x v="0"/>
    <x v="0"/>
  </r>
  <r>
    <x v="59"/>
    <x v="9"/>
    <x v="54"/>
    <x v="1"/>
    <x v="1"/>
    <x v="0"/>
    <x v="9"/>
    <x v="3"/>
    <x v="1"/>
    <x v="7"/>
    <x v="8"/>
    <x v="0"/>
    <x v="0"/>
    <x v="2"/>
    <x v="0"/>
  </r>
  <r>
    <x v="60"/>
    <x v="9"/>
    <x v="55"/>
    <x v="3"/>
    <x v="1"/>
    <x v="0"/>
    <x v="6"/>
    <x v="0"/>
    <x v="2"/>
    <x v="6"/>
    <x v="6"/>
    <x v="0"/>
    <x v="0"/>
    <x v="0"/>
    <x v="3"/>
  </r>
  <r>
    <x v="61"/>
    <x v="9"/>
    <x v="56"/>
    <x v="3"/>
    <x v="1"/>
    <x v="1"/>
    <x v="3"/>
    <x v="3"/>
    <x v="2"/>
    <x v="3"/>
    <x v="3"/>
    <x v="0"/>
    <x v="0"/>
    <x v="2"/>
    <x v="4"/>
  </r>
  <r>
    <x v="62"/>
    <x v="9"/>
    <x v="57"/>
    <x v="2"/>
    <x v="1"/>
    <x v="1"/>
    <x v="7"/>
    <x v="2"/>
    <x v="2"/>
    <x v="7"/>
    <x v="9"/>
    <x v="0"/>
    <x v="0"/>
    <x v="0"/>
    <x v="1"/>
  </r>
  <r>
    <x v="63"/>
    <x v="10"/>
    <x v="58"/>
    <x v="2"/>
    <x v="3"/>
    <x v="0"/>
    <x v="0"/>
    <x v="0"/>
    <x v="2"/>
    <x v="0"/>
    <x v="7"/>
    <x v="0"/>
    <x v="0"/>
    <x v="0"/>
    <x v="2"/>
  </r>
  <r>
    <x v="64"/>
    <x v="11"/>
    <x v="59"/>
    <x v="8"/>
    <x v="2"/>
    <x v="0"/>
    <x v="13"/>
    <x v="0"/>
    <x v="2"/>
    <x v="2"/>
    <x v="2"/>
    <x v="0"/>
    <x v="0"/>
    <x v="0"/>
    <x v="0"/>
  </r>
  <r>
    <x v="65"/>
    <x v="12"/>
    <x v="60"/>
    <x v="1"/>
    <x v="5"/>
    <x v="0"/>
    <x v="6"/>
    <x v="0"/>
    <x v="2"/>
    <x v="12"/>
    <x v="20"/>
    <x v="0"/>
    <x v="1"/>
    <x v="2"/>
    <x v="2"/>
  </r>
  <r>
    <x v="66"/>
    <x v="11"/>
    <x v="8"/>
    <x v="1"/>
    <x v="2"/>
    <x v="0"/>
    <x v="5"/>
    <x v="1"/>
    <x v="2"/>
    <x v="5"/>
    <x v="5"/>
    <x v="0"/>
    <x v="0"/>
    <x v="2"/>
    <x v="2"/>
  </r>
  <r>
    <x v="67"/>
    <x v="11"/>
    <x v="61"/>
    <x v="1"/>
    <x v="2"/>
    <x v="0"/>
    <x v="6"/>
    <x v="0"/>
    <x v="2"/>
    <x v="13"/>
    <x v="26"/>
    <x v="0"/>
    <x v="2"/>
    <x v="0"/>
    <x v="4"/>
  </r>
  <r>
    <x v="68"/>
    <x v="11"/>
    <x v="49"/>
    <x v="2"/>
    <x v="2"/>
    <x v="0"/>
    <x v="6"/>
    <x v="0"/>
    <x v="0"/>
    <x v="6"/>
    <x v="2"/>
    <x v="0"/>
    <x v="0"/>
    <x v="0"/>
    <x v="0"/>
  </r>
  <r>
    <x v="69"/>
    <x v="11"/>
    <x v="62"/>
    <x v="2"/>
    <x v="2"/>
    <x v="2"/>
    <x v="0"/>
    <x v="0"/>
    <x v="0"/>
    <x v="0"/>
    <x v="0"/>
    <x v="1"/>
    <x v="0"/>
    <x v="0"/>
    <x v="0"/>
  </r>
  <r>
    <x v="70"/>
    <x v="11"/>
    <x v="63"/>
    <x v="4"/>
    <x v="2"/>
    <x v="2"/>
    <x v="1"/>
    <x v="1"/>
    <x v="0"/>
    <x v="1"/>
    <x v="16"/>
    <x v="0"/>
    <x v="0"/>
    <x v="2"/>
    <x v="0"/>
  </r>
  <r>
    <x v="71"/>
    <x v="13"/>
    <x v="64"/>
    <x v="7"/>
    <x v="3"/>
    <x v="0"/>
    <x v="3"/>
    <x v="3"/>
    <x v="2"/>
    <x v="3"/>
    <x v="3"/>
    <x v="0"/>
    <x v="0"/>
    <x v="0"/>
    <x v="1"/>
  </r>
  <r>
    <x v="72"/>
    <x v="14"/>
    <x v="65"/>
    <x v="5"/>
    <x v="1"/>
    <x v="0"/>
    <x v="6"/>
    <x v="0"/>
    <x v="2"/>
    <x v="6"/>
    <x v="6"/>
    <x v="0"/>
    <x v="0"/>
    <x v="2"/>
    <x v="2"/>
  </r>
  <r>
    <x v="73"/>
    <x v="13"/>
    <x v="54"/>
    <x v="1"/>
    <x v="3"/>
    <x v="0"/>
    <x v="5"/>
    <x v="1"/>
    <x v="2"/>
    <x v="5"/>
    <x v="5"/>
    <x v="0"/>
    <x v="0"/>
    <x v="0"/>
    <x v="4"/>
  </r>
  <r>
    <x v="74"/>
    <x v="13"/>
    <x v="66"/>
    <x v="1"/>
    <x v="3"/>
    <x v="0"/>
    <x v="8"/>
    <x v="2"/>
    <x v="0"/>
    <x v="8"/>
    <x v="21"/>
    <x v="0"/>
    <x v="0"/>
    <x v="2"/>
    <x v="3"/>
  </r>
  <r>
    <x v="75"/>
    <x v="13"/>
    <x v="67"/>
    <x v="3"/>
    <x v="3"/>
    <x v="0"/>
    <x v="4"/>
    <x v="1"/>
    <x v="2"/>
    <x v="4"/>
    <x v="15"/>
    <x v="1"/>
    <x v="0"/>
    <x v="0"/>
    <x v="0"/>
  </r>
  <r>
    <x v="76"/>
    <x v="15"/>
    <x v="68"/>
    <x v="10"/>
    <x v="4"/>
    <x v="2"/>
    <x v="0"/>
    <x v="0"/>
    <x v="2"/>
    <x v="0"/>
    <x v="7"/>
    <x v="0"/>
    <x v="0"/>
    <x v="0"/>
    <x v="0"/>
  </r>
  <r>
    <x v="77"/>
    <x v="15"/>
    <x v="40"/>
    <x v="5"/>
    <x v="4"/>
    <x v="0"/>
    <x v="11"/>
    <x v="1"/>
    <x v="2"/>
    <x v="11"/>
    <x v="24"/>
    <x v="1"/>
    <x v="0"/>
    <x v="0"/>
    <x v="2"/>
  </r>
  <r>
    <x v="78"/>
    <x v="15"/>
    <x v="28"/>
    <x v="1"/>
    <x v="4"/>
    <x v="2"/>
    <x v="8"/>
    <x v="2"/>
    <x v="2"/>
    <x v="8"/>
    <x v="10"/>
    <x v="0"/>
    <x v="0"/>
    <x v="0"/>
    <x v="0"/>
  </r>
  <r>
    <x v="79"/>
    <x v="15"/>
    <x v="69"/>
    <x v="1"/>
    <x v="4"/>
    <x v="0"/>
    <x v="4"/>
    <x v="1"/>
    <x v="2"/>
    <x v="4"/>
    <x v="4"/>
    <x v="0"/>
    <x v="1"/>
    <x v="2"/>
    <x v="3"/>
  </r>
  <r>
    <x v="80"/>
    <x v="15"/>
    <x v="70"/>
    <x v="1"/>
    <x v="4"/>
    <x v="0"/>
    <x v="2"/>
    <x v="2"/>
    <x v="2"/>
    <x v="2"/>
    <x v="2"/>
    <x v="0"/>
    <x v="0"/>
    <x v="2"/>
    <x v="1"/>
  </r>
  <r>
    <x v="81"/>
    <x v="15"/>
    <x v="71"/>
    <x v="3"/>
    <x v="4"/>
    <x v="2"/>
    <x v="7"/>
    <x v="2"/>
    <x v="2"/>
    <x v="7"/>
    <x v="9"/>
    <x v="0"/>
    <x v="0"/>
    <x v="0"/>
    <x v="1"/>
  </r>
  <r>
    <x v="82"/>
    <x v="15"/>
    <x v="72"/>
    <x v="3"/>
    <x v="4"/>
    <x v="0"/>
    <x v="2"/>
    <x v="2"/>
    <x v="2"/>
    <x v="2"/>
    <x v="2"/>
    <x v="0"/>
    <x v="0"/>
    <x v="3"/>
    <x v="1"/>
  </r>
  <r>
    <x v="83"/>
    <x v="15"/>
    <x v="73"/>
    <x v="4"/>
    <x v="4"/>
    <x v="0"/>
    <x v="11"/>
    <x v="1"/>
    <x v="1"/>
    <x v="11"/>
    <x v="27"/>
    <x v="0"/>
    <x v="1"/>
    <x v="0"/>
    <x v="4"/>
  </r>
  <r>
    <x v="84"/>
    <x v="15"/>
    <x v="74"/>
    <x v="4"/>
    <x v="4"/>
    <x v="0"/>
    <x v="7"/>
    <x v="2"/>
    <x v="0"/>
    <x v="7"/>
    <x v="12"/>
    <x v="1"/>
    <x v="0"/>
    <x v="0"/>
    <x v="0"/>
  </r>
  <r>
    <x v="85"/>
    <x v="15"/>
    <x v="75"/>
    <x v="4"/>
    <x v="4"/>
    <x v="0"/>
    <x v="5"/>
    <x v="1"/>
    <x v="1"/>
    <x v="5"/>
    <x v="28"/>
    <x v="0"/>
    <x v="0"/>
    <x v="0"/>
    <x v="0"/>
  </r>
  <r>
    <x v="86"/>
    <x v="15"/>
    <x v="76"/>
    <x v="4"/>
    <x v="4"/>
    <x v="0"/>
    <x v="13"/>
    <x v="0"/>
    <x v="2"/>
    <x v="2"/>
    <x v="2"/>
    <x v="0"/>
    <x v="0"/>
    <x v="2"/>
    <x v="2"/>
  </r>
  <r>
    <x v="87"/>
    <x v="16"/>
    <x v="77"/>
    <x v="7"/>
    <x v="5"/>
    <x v="2"/>
    <x v="4"/>
    <x v="1"/>
    <x v="2"/>
    <x v="4"/>
    <x v="15"/>
    <x v="0"/>
    <x v="0"/>
    <x v="0"/>
    <x v="2"/>
  </r>
  <r>
    <x v="88"/>
    <x v="16"/>
    <x v="38"/>
    <x v="0"/>
    <x v="5"/>
    <x v="0"/>
    <x v="12"/>
    <x v="4"/>
    <x v="2"/>
    <x v="8"/>
    <x v="10"/>
    <x v="0"/>
    <x v="0"/>
    <x v="0"/>
    <x v="0"/>
  </r>
  <r>
    <x v="89"/>
    <x v="16"/>
    <x v="78"/>
    <x v="6"/>
    <x v="5"/>
    <x v="0"/>
    <x v="4"/>
    <x v="1"/>
    <x v="2"/>
    <x v="4"/>
    <x v="29"/>
    <x v="0"/>
    <x v="2"/>
    <x v="0"/>
    <x v="4"/>
  </r>
  <r>
    <x v="90"/>
    <x v="16"/>
    <x v="79"/>
    <x v="8"/>
    <x v="5"/>
    <x v="0"/>
    <x v="13"/>
    <x v="0"/>
    <x v="2"/>
    <x v="2"/>
    <x v="2"/>
    <x v="0"/>
    <x v="0"/>
    <x v="0"/>
    <x v="4"/>
  </r>
  <r>
    <x v="91"/>
    <x v="16"/>
    <x v="80"/>
    <x v="8"/>
    <x v="5"/>
    <x v="0"/>
    <x v="2"/>
    <x v="2"/>
    <x v="0"/>
    <x v="2"/>
    <x v="10"/>
    <x v="0"/>
    <x v="0"/>
    <x v="0"/>
    <x v="2"/>
  </r>
  <r>
    <x v="92"/>
    <x v="16"/>
    <x v="81"/>
    <x v="5"/>
    <x v="5"/>
    <x v="0"/>
    <x v="0"/>
    <x v="0"/>
    <x v="0"/>
    <x v="0"/>
    <x v="0"/>
    <x v="0"/>
    <x v="0"/>
    <x v="0"/>
    <x v="0"/>
  </r>
  <r>
    <x v="93"/>
    <x v="16"/>
    <x v="82"/>
    <x v="1"/>
    <x v="5"/>
    <x v="0"/>
    <x v="12"/>
    <x v="4"/>
    <x v="2"/>
    <x v="8"/>
    <x v="10"/>
    <x v="0"/>
    <x v="0"/>
    <x v="2"/>
    <x v="4"/>
  </r>
  <r>
    <x v="94"/>
    <x v="16"/>
    <x v="83"/>
    <x v="1"/>
    <x v="5"/>
    <x v="0"/>
    <x v="2"/>
    <x v="2"/>
    <x v="2"/>
    <x v="2"/>
    <x v="2"/>
    <x v="1"/>
    <x v="0"/>
    <x v="0"/>
    <x v="1"/>
  </r>
  <r>
    <x v="95"/>
    <x v="16"/>
    <x v="66"/>
    <x v="1"/>
    <x v="5"/>
    <x v="0"/>
    <x v="2"/>
    <x v="2"/>
    <x v="2"/>
    <x v="2"/>
    <x v="2"/>
    <x v="0"/>
    <x v="0"/>
    <x v="0"/>
    <x v="1"/>
  </r>
  <r>
    <x v="96"/>
    <x v="16"/>
    <x v="8"/>
    <x v="1"/>
    <x v="5"/>
    <x v="0"/>
    <x v="2"/>
    <x v="2"/>
    <x v="2"/>
    <x v="2"/>
    <x v="2"/>
    <x v="0"/>
    <x v="0"/>
    <x v="0"/>
    <x v="0"/>
  </r>
  <r>
    <x v="97"/>
    <x v="16"/>
    <x v="55"/>
    <x v="3"/>
    <x v="5"/>
    <x v="1"/>
    <x v="5"/>
    <x v="1"/>
    <x v="2"/>
    <x v="5"/>
    <x v="5"/>
    <x v="0"/>
    <x v="0"/>
    <x v="2"/>
    <x v="0"/>
  </r>
  <r>
    <x v="98"/>
    <x v="16"/>
    <x v="67"/>
    <x v="3"/>
    <x v="5"/>
    <x v="0"/>
    <x v="8"/>
    <x v="2"/>
    <x v="0"/>
    <x v="8"/>
    <x v="21"/>
    <x v="0"/>
    <x v="0"/>
    <x v="0"/>
    <x v="2"/>
  </r>
  <r>
    <x v="99"/>
    <x v="16"/>
    <x v="84"/>
    <x v="3"/>
    <x v="5"/>
    <x v="0"/>
    <x v="5"/>
    <x v="1"/>
    <x v="2"/>
    <x v="5"/>
    <x v="5"/>
    <x v="0"/>
    <x v="0"/>
    <x v="2"/>
    <x v="0"/>
  </r>
  <r>
    <x v="100"/>
    <x v="16"/>
    <x v="85"/>
    <x v="3"/>
    <x v="5"/>
    <x v="0"/>
    <x v="6"/>
    <x v="0"/>
    <x v="0"/>
    <x v="6"/>
    <x v="30"/>
    <x v="0"/>
    <x v="1"/>
    <x v="3"/>
    <x v="3"/>
  </r>
  <r>
    <x v="101"/>
    <x v="16"/>
    <x v="86"/>
    <x v="2"/>
    <x v="5"/>
    <x v="1"/>
    <x v="1"/>
    <x v="1"/>
    <x v="2"/>
    <x v="1"/>
    <x v="8"/>
    <x v="0"/>
    <x v="0"/>
    <x v="0"/>
    <x v="1"/>
  </r>
  <r>
    <x v="102"/>
    <x v="17"/>
    <x v="87"/>
    <x v="10"/>
    <x v="6"/>
    <x v="0"/>
    <x v="7"/>
    <x v="2"/>
    <x v="2"/>
    <x v="7"/>
    <x v="9"/>
    <x v="0"/>
    <x v="0"/>
    <x v="0"/>
    <x v="2"/>
  </r>
  <r>
    <x v="103"/>
    <x v="17"/>
    <x v="88"/>
    <x v="7"/>
    <x v="6"/>
    <x v="2"/>
    <x v="11"/>
    <x v="1"/>
    <x v="2"/>
    <x v="11"/>
    <x v="24"/>
    <x v="0"/>
    <x v="0"/>
    <x v="1"/>
    <x v="2"/>
  </r>
  <r>
    <x v="104"/>
    <x v="17"/>
    <x v="89"/>
    <x v="6"/>
    <x v="6"/>
    <x v="1"/>
    <x v="8"/>
    <x v="2"/>
    <x v="2"/>
    <x v="8"/>
    <x v="10"/>
    <x v="1"/>
    <x v="0"/>
    <x v="0"/>
    <x v="4"/>
  </r>
  <r>
    <x v="105"/>
    <x v="17"/>
    <x v="2"/>
    <x v="1"/>
    <x v="6"/>
    <x v="0"/>
    <x v="0"/>
    <x v="0"/>
    <x v="2"/>
    <x v="0"/>
    <x v="7"/>
    <x v="0"/>
    <x v="0"/>
    <x v="2"/>
    <x v="0"/>
  </r>
  <r>
    <x v="106"/>
    <x v="17"/>
    <x v="90"/>
    <x v="3"/>
    <x v="6"/>
    <x v="2"/>
    <x v="4"/>
    <x v="1"/>
    <x v="2"/>
    <x v="4"/>
    <x v="15"/>
    <x v="0"/>
    <x v="0"/>
    <x v="0"/>
    <x v="0"/>
  </r>
  <r>
    <x v="107"/>
    <x v="17"/>
    <x v="91"/>
    <x v="3"/>
    <x v="6"/>
    <x v="1"/>
    <x v="0"/>
    <x v="0"/>
    <x v="0"/>
    <x v="0"/>
    <x v="0"/>
    <x v="0"/>
    <x v="0"/>
    <x v="0"/>
    <x v="3"/>
  </r>
  <r>
    <x v="108"/>
    <x v="17"/>
    <x v="56"/>
    <x v="3"/>
    <x v="6"/>
    <x v="0"/>
    <x v="0"/>
    <x v="0"/>
    <x v="2"/>
    <x v="0"/>
    <x v="7"/>
    <x v="0"/>
    <x v="0"/>
    <x v="1"/>
    <x v="1"/>
  </r>
  <r>
    <x v="109"/>
    <x v="17"/>
    <x v="56"/>
    <x v="3"/>
    <x v="6"/>
    <x v="1"/>
    <x v="0"/>
    <x v="0"/>
    <x v="2"/>
    <x v="0"/>
    <x v="31"/>
    <x v="1"/>
    <x v="2"/>
    <x v="0"/>
    <x v="3"/>
  </r>
  <r>
    <x v="110"/>
    <x v="17"/>
    <x v="92"/>
    <x v="2"/>
    <x v="6"/>
    <x v="1"/>
    <x v="4"/>
    <x v="1"/>
    <x v="2"/>
    <x v="4"/>
    <x v="15"/>
    <x v="0"/>
    <x v="0"/>
    <x v="0"/>
    <x v="4"/>
  </r>
  <r>
    <x v="111"/>
    <x v="17"/>
    <x v="93"/>
    <x v="2"/>
    <x v="6"/>
    <x v="1"/>
    <x v="10"/>
    <x v="4"/>
    <x v="0"/>
    <x v="10"/>
    <x v="32"/>
    <x v="0"/>
    <x v="0"/>
    <x v="0"/>
    <x v="3"/>
  </r>
  <r>
    <x v="112"/>
    <x v="18"/>
    <x v="94"/>
    <x v="0"/>
    <x v="0"/>
    <x v="0"/>
    <x v="0"/>
    <x v="0"/>
    <x v="0"/>
    <x v="0"/>
    <x v="0"/>
    <x v="1"/>
    <x v="0"/>
    <x v="1"/>
    <x v="4"/>
  </r>
  <r>
    <x v="113"/>
    <x v="18"/>
    <x v="95"/>
    <x v="3"/>
    <x v="0"/>
    <x v="0"/>
    <x v="0"/>
    <x v="0"/>
    <x v="2"/>
    <x v="0"/>
    <x v="7"/>
    <x v="0"/>
    <x v="0"/>
    <x v="0"/>
    <x v="4"/>
  </r>
  <r>
    <x v="114"/>
    <x v="18"/>
    <x v="96"/>
    <x v="2"/>
    <x v="0"/>
    <x v="0"/>
    <x v="10"/>
    <x v="4"/>
    <x v="2"/>
    <x v="10"/>
    <x v="13"/>
    <x v="0"/>
    <x v="0"/>
    <x v="0"/>
    <x v="2"/>
  </r>
  <r>
    <x v="115"/>
    <x v="19"/>
    <x v="64"/>
    <x v="7"/>
    <x v="1"/>
    <x v="0"/>
    <x v="11"/>
    <x v="1"/>
    <x v="2"/>
    <x v="11"/>
    <x v="24"/>
    <x v="0"/>
    <x v="0"/>
    <x v="0"/>
    <x v="2"/>
  </r>
  <r>
    <x v="116"/>
    <x v="19"/>
    <x v="82"/>
    <x v="1"/>
    <x v="1"/>
    <x v="2"/>
    <x v="10"/>
    <x v="4"/>
    <x v="2"/>
    <x v="10"/>
    <x v="13"/>
    <x v="0"/>
    <x v="0"/>
    <x v="2"/>
    <x v="3"/>
  </r>
  <r>
    <x v="117"/>
    <x v="19"/>
    <x v="97"/>
    <x v="4"/>
    <x v="1"/>
    <x v="1"/>
    <x v="7"/>
    <x v="2"/>
    <x v="0"/>
    <x v="7"/>
    <x v="12"/>
    <x v="0"/>
    <x v="0"/>
    <x v="0"/>
    <x v="0"/>
  </r>
  <r>
    <x v="118"/>
    <x v="20"/>
    <x v="98"/>
    <x v="7"/>
    <x v="2"/>
    <x v="0"/>
    <x v="10"/>
    <x v="4"/>
    <x v="0"/>
    <x v="10"/>
    <x v="32"/>
    <x v="0"/>
    <x v="0"/>
    <x v="0"/>
    <x v="3"/>
  </r>
  <r>
    <x v="119"/>
    <x v="20"/>
    <x v="99"/>
    <x v="1"/>
    <x v="2"/>
    <x v="2"/>
    <x v="6"/>
    <x v="0"/>
    <x v="2"/>
    <x v="6"/>
    <x v="6"/>
    <x v="1"/>
    <x v="0"/>
    <x v="2"/>
    <x v="4"/>
  </r>
  <r>
    <x v="120"/>
    <x v="20"/>
    <x v="45"/>
    <x v="3"/>
    <x v="2"/>
    <x v="0"/>
    <x v="10"/>
    <x v="4"/>
    <x v="0"/>
    <x v="10"/>
    <x v="32"/>
    <x v="0"/>
    <x v="0"/>
    <x v="0"/>
    <x v="4"/>
  </r>
  <r>
    <x v="121"/>
    <x v="20"/>
    <x v="67"/>
    <x v="3"/>
    <x v="2"/>
    <x v="1"/>
    <x v="12"/>
    <x v="4"/>
    <x v="0"/>
    <x v="8"/>
    <x v="21"/>
    <x v="0"/>
    <x v="0"/>
    <x v="0"/>
    <x v="2"/>
  </r>
  <r>
    <x v="122"/>
    <x v="20"/>
    <x v="100"/>
    <x v="3"/>
    <x v="2"/>
    <x v="0"/>
    <x v="5"/>
    <x v="1"/>
    <x v="2"/>
    <x v="5"/>
    <x v="5"/>
    <x v="1"/>
    <x v="0"/>
    <x v="2"/>
    <x v="2"/>
  </r>
  <r>
    <x v="123"/>
    <x v="20"/>
    <x v="95"/>
    <x v="3"/>
    <x v="2"/>
    <x v="0"/>
    <x v="7"/>
    <x v="2"/>
    <x v="2"/>
    <x v="7"/>
    <x v="25"/>
    <x v="0"/>
    <x v="1"/>
    <x v="2"/>
    <x v="2"/>
  </r>
  <r>
    <x v="124"/>
    <x v="20"/>
    <x v="101"/>
    <x v="2"/>
    <x v="2"/>
    <x v="0"/>
    <x v="6"/>
    <x v="0"/>
    <x v="2"/>
    <x v="6"/>
    <x v="6"/>
    <x v="0"/>
    <x v="0"/>
    <x v="2"/>
    <x v="1"/>
  </r>
  <r>
    <x v="125"/>
    <x v="21"/>
    <x v="102"/>
    <x v="10"/>
    <x v="3"/>
    <x v="0"/>
    <x v="9"/>
    <x v="3"/>
    <x v="2"/>
    <x v="7"/>
    <x v="9"/>
    <x v="0"/>
    <x v="0"/>
    <x v="0"/>
    <x v="3"/>
  </r>
  <r>
    <x v="126"/>
    <x v="21"/>
    <x v="103"/>
    <x v="10"/>
    <x v="3"/>
    <x v="0"/>
    <x v="6"/>
    <x v="0"/>
    <x v="2"/>
    <x v="6"/>
    <x v="6"/>
    <x v="0"/>
    <x v="0"/>
    <x v="0"/>
    <x v="4"/>
  </r>
  <r>
    <x v="127"/>
    <x v="21"/>
    <x v="104"/>
    <x v="10"/>
    <x v="3"/>
    <x v="0"/>
    <x v="2"/>
    <x v="2"/>
    <x v="2"/>
    <x v="2"/>
    <x v="2"/>
    <x v="0"/>
    <x v="0"/>
    <x v="0"/>
    <x v="3"/>
  </r>
  <r>
    <x v="128"/>
    <x v="21"/>
    <x v="105"/>
    <x v="10"/>
    <x v="3"/>
    <x v="0"/>
    <x v="11"/>
    <x v="1"/>
    <x v="2"/>
    <x v="11"/>
    <x v="24"/>
    <x v="0"/>
    <x v="0"/>
    <x v="1"/>
    <x v="1"/>
  </r>
  <r>
    <x v="129"/>
    <x v="21"/>
    <x v="53"/>
    <x v="0"/>
    <x v="3"/>
    <x v="2"/>
    <x v="10"/>
    <x v="4"/>
    <x v="2"/>
    <x v="10"/>
    <x v="33"/>
    <x v="0"/>
    <x v="3"/>
    <x v="2"/>
    <x v="1"/>
  </r>
  <r>
    <x v="130"/>
    <x v="21"/>
    <x v="106"/>
    <x v="8"/>
    <x v="3"/>
    <x v="0"/>
    <x v="11"/>
    <x v="1"/>
    <x v="2"/>
    <x v="11"/>
    <x v="34"/>
    <x v="0"/>
    <x v="3"/>
    <x v="0"/>
    <x v="0"/>
  </r>
  <r>
    <x v="131"/>
    <x v="21"/>
    <x v="107"/>
    <x v="3"/>
    <x v="3"/>
    <x v="0"/>
    <x v="2"/>
    <x v="2"/>
    <x v="0"/>
    <x v="2"/>
    <x v="10"/>
    <x v="1"/>
    <x v="0"/>
    <x v="2"/>
    <x v="1"/>
  </r>
  <r>
    <x v="132"/>
    <x v="21"/>
    <x v="30"/>
    <x v="3"/>
    <x v="3"/>
    <x v="2"/>
    <x v="1"/>
    <x v="1"/>
    <x v="0"/>
    <x v="1"/>
    <x v="16"/>
    <x v="0"/>
    <x v="0"/>
    <x v="1"/>
    <x v="3"/>
  </r>
  <r>
    <x v="133"/>
    <x v="22"/>
    <x v="108"/>
    <x v="10"/>
    <x v="4"/>
    <x v="0"/>
    <x v="6"/>
    <x v="0"/>
    <x v="2"/>
    <x v="6"/>
    <x v="6"/>
    <x v="0"/>
    <x v="0"/>
    <x v="0"/>
    <x v="3"/>
  </r>
  <r>
    <x v="134"/>
    <x v="22"/>
    <x v="109"/>
    <x v="0"/>
    <x v="4"/>
    <x v="0"/>
    <x v="9"/>
    <x v="3"/>
    <x v="2"/>
    <x v="7"/>
    <x v="9"/>
    <x v="0"/>
    <x v="0"/>
    <x v="3"/>
    <x v="2"/>
  </r>
  <r>
    <x v="135"/>
    <x v="22"/>
    <x v="110"/>
    <x v="12"/>
    <x v="4"/>
    <x v="0"/>
    <x v="8"/>
    <x v="2"/>
    <x v="0"/>
    <x v="8"/>
    <x v="21"/>
    <x v="0"/>
    <x v="0"/>
    <x v="1"/>
    <x v="3"/>
  </r>
  <r>
    <x v="136"/>
    <x v="22"/>
    <x v="44"/>
    <x v="5"/>
    <x v="4"/>
    <x v="0"/>
    <x v="10"/>
    <x v="4"/>
    <x v="0"/>
    <x v="10"/>
    <x v="32"/>
    <x v="0"/>
    <x v="0"/>
    <x v="2"/>
    <x v="3"/>
  </r>
  <r>
    <x v="137"/>
    <x v="22"/>
    <x v="52"/>
    <x v="3"/>
    <x v="4"/>
    <x v="1"/>
    <x v="0"/>
    <x v="0"/>
    <x v="2"/>
    <x v="0"/>
    <x v="7"/>
    <x v="0"/>
    <x v="0"/>
    <x v="2"/>
    <x v="3"/>
  </r>
  <r>
    <x v="138"/>
    <x v="22"/>
    <x v="62"/>
    <x v="2"/>
    <x v="4"/>
    <x v="0"/>
    <x v="12"/>
    <x v="4"/>
    <x v="2"/>
    <x v="8"/>
    <x v="10"/>
    <x v="0"/>
    <x v="0"/>
    <x v="0"/>
    <x v="0"/>
  </r>
  <r>
    <x v="139"/>
    <x v="23"/>
    <x v="111"/>
    <x v="7"/>
    <x v="5"/>
    <x v="0"/>
    <x v="4"/>
    <x v="1"/>
    <x v="0"/>
    <x v="4"/>
    <x v="35"/>
    <x v="1"/>
    <x v="0"/>
    <x v="1"/>
    <x v="4"/>
  </r>
  <r>
    <x v="140"/>
    <x v="23"/>
    <x v="112"/>
    <x v="1"/>
    <x v="5"/>
    <x v="0"/>
    <x v="3"/>
    <x v="3"/>
    <x v="2"/>
    <x v="3"/>
    <x v="3"/>
    <x v="0"/>
    <x v="0"/>
    <x v="2"/>
    <x v="3"/>
  </r>
  <r>
    <x v="141"/>
    <x v="23"/>
    <x v="113"/>
    <x v="1"/>
    <x v="5"/>
    <x v="2"/>
    <x v="1"/>
    <x v="1"/>
    <x v="2"/>
    <x v="1"/>
    <x v="8"/>
    <x v="0"/>
    <x v="0"/>
    <x v="2"/>
    <x v="2"/>
  </r>
  <r>
    <x v="142"/>
    <x v="23"/>
    <x v="114"/>
    <x v="1"/>
    <x v="5"/>
    <x v="0"/>
    <x v="8"/>
    <x v="2"/>
    <x v="0"/>
    <x v="8"/>
    <x v="21"/>
    <x v="0"/>
    <x v="0"/>
    <x v="0"/>
    <x v="1"/>
  </r>
  <r>
    <x v="143"/>
    <x v="23"/>
    <x v="99"/>
    <x v="1"/>
    <x v="5"/>
    <x v="0"/>
    <x v="2"/>
    <x v="2"/>
    <x v="0"/>
    <x v="2"/>
    <x v="36"/>
    <x v="0"/>
    <x v="1"/>
    <x v="0"/>
    <x v="0"/>
  </r>
  <r>
    <x v="144"/>
    <x v="23"/>
    <x v="115"/>
    <x v="3"/>
    <x v="5"/>
    <x v="2"/>
    <x v="6"/>
    <x v="0"/>
    <x v="0"/>
    <x v="6"/>
    <x v="2"/>
    <x v="0"/>
    <x v="0"/>
    <x v="0"/>
    <x v="0"/>
  </r>
  <r>
    <x v="145"/>
    <x v="23"/>
    <x v="91"/>
    <x v="3"/>
    <x v="5"/>
    <x v="2"/>
    <x v="13"/>
    <x v="0"/>
    <x v="2"/>
    <x v="2"/>
    <x v="2"/>
    <x v="0"/>
    <x v="0"/>
    <x v="0"/>
    <x v="0"/>
  </r>
  <r>
    <x v="146"/>
    <x v="24"/>
    <x v="10"/>
    <x v="4"/>
    <x v="6"/>
    <x v="0"/>
    <x v="3"/>
    <x v="3"/>
    <x v="1"/>
    <x v="3"/>
    <x v="21"/>
    <x v="0"/>
    <x v="0"/>
    <x v="0"/>
    <x v="4"/>
  </r>
  <r>
    <x v="147"/>
    <x v="23"/>
    <x v="116"/>
    <x v="2"/>
    <x v="5"/>
    <x v="1"/>
    <x v="8"/>
    <x v="2"/>
    <x v="0"/>
    <x v="8"/>
    <x v="21"/>
    <x v="0"/>
    <x v="0"/>
    <x v="0"/>
    <x v="4"/>
  </r>
  <r>
    <x v="148"/>
    <x v="24"/>
    <x v="111"/>
    <x v="7"/>
    <x v="6"/>
    <x v="2"/>
    <x v="6"/>
    <x v="0"/>
    <x v="0"/>
    <x v="6"/>
    <x v="2"/>
    <x v="0"/>
    <x v="0"/>
    <x v="3"/>
    <x v="1"/>
  </r>
  <r>
    <x v="149"/>
    <x v="24"/>
    <x v="117"/>
    <x v="7"/>
    <x v="6"/>
    <x v="0"/>
    <x v="3"/>
    <x v="3"/>
    <x v="1"/>
    <x v="3"/>
    <x v="21"/>
    <x v="0"/>
    <x v="0"/>
    <x v="2"/>
    <x v="0"/>
  </r>
  <r>
    <x v="150"/>
    <x v="24"/>
    <x v="118"/>
    <x v="0"/>
    <x v="6"/>
    <x v="2"/>
    <x v="6"/>
    <x v="0"/>
    <x v="2"/>
    <x v="6"/>
    <x v="6"/>
    <x v="0"/>
    <x v="0"/>
    <x v="0"/>
    <x v="2"/>
  </r>
  <r>
    <x v="151"/>
    <x v="24"/>
    <x v="119"/>
    <x v="0"/>
    <x v="6"/>
    <x v="0"/>
    <x v="11"/>
    <x v="1"/>
    <x v="2"/>
    <x v="11"/>
    <x v="24"/>
    <x v="0"/>
    <x v="0"/>
    <x v="0"/>
    <x v="4"/>
  </r>
  <r>
    <x v="152"/>
    <x v="24"/>
    <x v="120"/>
    <x v="5"/>
    <x v="6"/>
    <x v="0"/>
    <x v="2"/>
    <x v="2"/>
    <x v="0"/>
    <x v="2"/>
    <x v="37"/>
    <x v="0"/>
    <x v="2"/>
    <x v="0"/>
    <x v="3"/>
  </r>
  <r>
    <x v="153"/>
    <x v="24"/>
    <x v="121"/>
    <x v="5"/>
    <x v="6"/>
    <x v="0"/>
    <x v="6"/>
    <x v="0"/>
    <x v="0"/>
    <x v="6"/>
    <x v="2"/>
    <x v="0"/>
    <x v="0"/>
    <x v="2"/>
    <x v="0"/>
  </r>
  <r>
    <x v="154"/>
    <x v="24"/>
    <x v="122"/>
    <x v="1"/>
    <x v="6"/>
    <x v="0"/>
    <x v="3"/>
    <x v="3"/>
    <x v="2"/>
    <x v="3"/>
    <x v="3"/>
    <x v="0"/>
    <x v="0"/>
    <x v="0"/>
    <x v="2"/>
  </r>
  <r>
    <x v="155"/>
    <x v="24"/>
    <x v="122"/>
    <x v="1"/>
    <x v="6"/>
    <x v="0"/>
    <x v="13"/>
    <x v="0"/>
    <x v="2"/>
    <x v="2"/>
    <x v="2"/>
    <x v="0"/>
    <x v="0"/>
    <x v="1"/>
    <x v="2"/>
  </r>
  <r>
    <x v="156"/>
    <x v="24"/>
    <x v="115"/>
    <x v="3"/>
    <x v="6"/>
    <x v="0"/>
    <x v="0"/>
    <x v="0"/>
    <x v="2"/>
    <x v="0"/>
    <x v="38"/>
    <x v="0"/>
    <x v="1"/>
    <x v="1"/>
    <x v="3"/>
  </r>
  <r>
    <x v="157"/>
    <x v="24"/>
    <x v="95"/>
    <x v="3"/>
    <x v="6"/>
    <x v="0"/>
    <x v="11"/>
    <x v="1"/>
    <x v="2"/>
    <x v="11"/>
    <x v="24"/>
    <x v="1"/>
    <x v="0"/>
    <x v="0"/>
    <x v="1"/>
  </r>
  <r>
    <x v="158"/>
    <x v="24"/>
    <x v="123"/>
    <x v="3"/>
    <x v="6"/>
    <x v="0"/>
    <x v="7"/>
    <x v="2"/>
    <x v="2"/>
    <x v="7"/>
    <x v="9"/>
    <x v="1"/>
    <x v="0"/>
    <x v="2"/>
    <x v="4"/>
  </r>
  <r>
    <x v="159"/>
    <x v="24"/>
    <x v="124"/>
    <x v="2"/>
    <x v="6"/>
    <x v="0"/>
    <x v="0"/>
    <x v="0"/>
    <x v="2"/>
    <x v="0"/>
    <x v="7"/>
    <x v="1"/>
    <x v="0"/>
    <x v="0"/>
    <x v="1"/>
  </r>
  <r>
    <x v="160"/>
    <x v="24"/>
    <x v="125"/>
    <x v="2"/>
    <x v="6"/>
    <x v="0"/>
    <x v="8"/>
    <x v="2"/>
    <x v="2"/>
    <x v="8"/>
    <x v="10"/>
    <x v="0"/>
    <x v="0"/>
    <x v="0"/>
    <x v="4"/>
  </r>
  <r>
    <x v="161"/>
    <x v="24"/>
    <x v="126"/>
    <x v="4"/>
    <x v="6"/>
    <x v="0"/>
    <x v="11"/>
    <x v="1"/>
    <x v="0"/>
    <x v="11"/>
    <x v="39"/>
    <x v="0"/>
    <x v="0"/>
    <x v="0"/>
    <x v="1"/>
  </r>
  <r>
    <x v="162"/>
    <x v="23"/>
    <x v="85"/>
    <x v="3"/>
    <x v="5"/>
    <x v="0"/>
    <x v="8"/>
    <x v="2"/>
    <x v="2"/>
    <x v="8"/>
    <x v="10"/>
    <x v="0"/>
    <x v="0"/>
    <x v="0"/>
    <x v="3"/>
  </r>
  <r>
    <x v="163"/>
    <x v="25"/>
    <x v="127"/>
    <x v="9"/>
    <x v="0"/>
    <x v="0"/>
    <x v="2"/>
    <x v="2"/>
    <x v="2"/>
    <x v="2"/>
    <x v="2"/>
    <x v="0"/>
    <x v="0"/>
    <x v="3"/>
    <x v="3"/>
  </r>
  <r>
    <x v="164"/>
    <x v="25"/>
    <x v="128"/>
    <x v="7"/>
    <x v="0"/>
    <x v="0"/>
    <x v="12"/>
    <x v="4"/>
    <x v="2"/>
    <x v="8"/>
    <x v="36"/>
    <x v="0"/>
    <x v="1"/>
    <x v="0"/>
    <x v="2"/>
  </r>
  <r>
    <x v="165"/>
    <x v="25"/>
    <x v="129"/>
    <x v="5"/>
    <x v="0"/>
    <x v="0"/>
    <x v="6"/>
    <x v="0"/>
    <x v="0"/>
    <x v="6"/>
    <x v="2"/>
    <x v="0"/>
    <x v="0"/>
    <x v="0"/>
    <x v="4"/>
  </r>
  <r>
    <x v="166"/>
    <x v="25"/>
    <x v="130"/>
    <x v="1"/>
    <x v="0"/>
    <x v="0"/>
    <x v="6"/>
    <x v="0"/>
    <x v="1"/>
    <x v="6"/>
    <x v="25"/>
    <x v="1"/>
    <x v="0"/>
    <x v="0"/>
    <x v="3"/>
  </r>
  <r>
    <x v="167"/>
    <x v="25"/>
    <x v="14"/>
    <x v="2"/>
    <x v="0"/>
    <x v="0"/>
    <x v="7"/>
    <x v="2"/>
    <x v="2"/>
    <x v="7"/>
    <x v="9"/>
    <x v="0"/>
    <x v="0"/>
    <x v="0"/>
    <x v="3"/>
  </r>
  <r>
    <x v="168"/>
    <x v="25"/>
    <x v="131"/>
    <x v="2"/>
    <x v="0"/>
    <x v="0"/>
    <x v="0"/>
    <x v="0"/>
    <x v="2"/>
    <x v="0"/>
    <x v="7"/>
    <x v="0"/>
    <x v="0"/>
    <x v="0"/>
    <x v="3"/>
  </r>
  <r>
    <x v="169"/>
    <x v="26"/>
    <x v="132"/>
    <x v="7"/>
    <x v="1"/>
    <x v="2"/>
    <x v="6"/>
    <x v="0"/>
    <x v="1"/>
    <x v="6"/>
    <x v="25"/>
    <x v="0"/>
    <x v="0"/>
    <x v="0"/>
    <x v="0"/>
  </r>
  <r>
    <x v="170"/>
    <x v="26"/>
    <x v="133"/>
    <x v="5"/>
    <x v="1"/>
    <x v="2"/>
    <x v="8"/>
    <x v="2"/>
    <x v="0"/>
    <x v="8"/>
    <x v="21"/>
    <x v="0"/>
    <x v="0"/>
    <x v="0"/>
    <x v="2"/>
  </r>
  <r>
    <x v="171"/>
    <x v="26"/>
    <x v="134"/>
    <x v="2"/>
    <x v="1"/>
    <x v="1"/>
    <x v="12"/>
    <x v="4"/>
    <x v="2"/>
    <x v="8"/>
    <x v="10"/>
    <x v="0"/>
    <x v="0"/>
    <x v="0"/>
    <x v="1"/>
  </r>
  <r>
    <x v="172"/>
    <x v="26"/>
    <x v="135"/>
    <x v="4"/>
    <x v="1"/>
    <x v="2"/>
    <x v="10"/>
    <x v="4"/>
    <x v="2"/>
    <x v="10"/>
    <x v="33"/>
    <x v="0"/>
    <x v="3"/>
    <x v="0"/>
    <x v="0"/>
  </r>
  <r>
    <x v="173"/>
    <x v="27"/>
    <x v="136"/>
    <x v="7"/>
    <x v="2"/>
    <x v="2"/>
    <x v="0"/>
    <x v="0"/>
    <x v="0"/>
    <x v="0"/>
    <x v="0"/>
    <x v="0"/>
    <x v="0"/>
    <x v="0"/>
    <x v="3"/>
  </r>
  <r>
    <x v="174"/>
    <x v="27"/>
    <x v="137"/>
    <x v="7"/>
    <x v="2"/>
    <x v="2"/>
    <x v="2"/>
    <x v="2"/>
    <x v="2"/>
    <x v="2"/>
    <x v="2"/>
    <x v="0"/>
    <x v="0"/>
    <x v="2"/>
    <x v="4"/>
  </r>
  <r>
    <x v="175"/>
    <x v="27"/>
    <x v="138"/>
    <x v="12"/>
    <x v="2"/>
    <x v="0"/>
    <x v="7"/>
    <x v="2"/>
    <x v="0"/>
    <x v="7"/>
    <x v="40"/>
    <x v="0"/>
    <x v="1"/>
    <x v="2"/>
    <x v="2"/>
  </r>
  <r>
    <x v="176"/>
    <x v="27"/>
    <x v="139"/>
    <x v="8"/>
    <x v="2"/>
    <x v="1"/>
    <x v="1"/>
    <x v="1"/>
    <x v="0"/>
    <x v="1"/>
    <x v="16"/>
    <x v="0"/>
    <x v="0"/>
    <x v="2"/>
    <x v="1"/>
  </r>
  <r>
    <x v="177"/>
    <x v="27"/>
    <x v="140"/>
    <x v="5"/>
    <x v="2"/>
    <x v="2"/>
    <x v="0"/>
    <x v="0"/>
    <x v="2"/>
    <x v="0"/>
    <x v="41"/>
    <x v="1"/>
    <x v="3"/>
    <x v="0"/>
    <x v="4"/>
  </r>
  <r>
    <x v="178"/>
    <x v="27"/>
    <x v="44"/>
    <x v="5"/>
    <x v="2"/>
    <x v="0"/>
    <x v="7"/>
    <x v="2"/>
    <x v="0"/>
    <x v="7"/>
    <x v="12"/>
    <x v="0"/>
    <x v="0"/>
    <x v="0"/>
    <x v="0"/>
  </r>
  <r>
    <x v="179"/>
    <x v="27"/>
    <x v="11"/>
    <x v="5"/>
    <x v="2"/>
    <x v="1"/>
    <x v="6"/>
    <x v="0"/>
    <x v="0"/>
    <x v="6"/>
    <x v="2"/>
    <x v="0"/>
    <x v="0"/>
    <x v="0"/>
    <x v="1"/>
  </r>
  <r>
    <x v="180"/>
    <x v="27"/>
    <x v="141"/>
    <x v="1"/>
    <x v="2"/>
    <x v="0"/>
    <x v="1"/>
    <x v="1"/>
    <x v="1"/>
    <x v="1"/>
    <x v="1"/>
    <x v="0"/>
    <x v="0"/>
    <x v="0"/>
    <x v="2"/>
  </r>
  <r>
    <x v="181"/>
    <x v="27"/>
    <x v="99"/>
    <x v="1"/>
    <x v="2"/>
    <x v="0"/>
    <x v="5"/>
    <x v="1"/>
    <x v="2"/>
    <x v="5"/>
    <x v="5"/>
    <x v="0"/>
    <x v="0"/>
    <x v="0"/>
    <x v="1"/>
  </r>
  <r>
    <x v="182"/>
    <x v="27"/>
    <x v="72"/>
    <x v="3"/>
    <x v="2"/>
    <x v="1"/>
    <x v="11"/>
    <x v="1"/>
    <x v="2"/>
    <x v="11"/>
    <x v="24"/>
    <x v="0"/>
    <x v="0"/>
    <x v="1"/>
    <x v="3"/>
  </r>
  <r>
    <x v="183"/>
    <x v="27"/>
    <x v="34"/>
    <x v="4"/>
    <x v="2"/>
    <x v="2"/>
    <x v="7"/>
    <x v="2"/>
    <x v="2"/>
    <x v="7"/>
    <x v="9"/>
    <x v="0"/>
    <x v="0"/>
    <x v="0"/>
    <x v="1"/>
  </r>
  <r>
    <x v="184"/>
    <x v="28"/>
    <x v="142"/>
    <x v="0"/>
    <x v="3"/>
    <x v="1"/>
    <x v="10"/>
    <x v="4"/>
    <x v="0"/>
    <x v="10"/>
    <x v="42"/>
    <x v="0"/>
    <x v="1"/>
    <x v="0"/>
    <x v="0"/>
  </r>
  <r>
    <x v="185"/>
    <x v="28"/>
    <x v="83"/>
    <x v="1"/>
    <x v="3"/>
    <x v="0"/>
    <x v="7"/>
    <x v="2"/>
    <x v="2"/>
    <x v="7"/>
    <x v="9"/>
    <x v="0"/>
    <x v="0"/>
    <x v="0"/>
    <x v="0"/>
  </r>
  <r>
    <x v="186"/>
    <x v="28"/>
    <x v="18"/>
    <x v="1"/>
    <x v="3"/>
    <x v="2"/>
    <x v="12"/>
    <x v="4"/>
    <x v="1"/>
    <x v="8"/>
    <x v="5"/>
    <x v="1"/>
    <x v="0"/>
    <x v="3"/>
    <x v="1"/>
  </r>
  <r>
    <x v="187"/>
    <x v="28"/>
    <x v="143"/>
    <x v="1"/>
    <x v="3"/>
    <x v="0"/>
    <x v="3"/>
    <x v="3"/>
    <x v="2"/>
    <x v="3"/>
    <x v="3"/>
    <x v="0"/>
    <x v="0"/>
    <x v="2"/>
    <x v="3"/>
  </r>
  <r>
    <x v="188"/>
    <x v="28"/>
    <x v="144"/>
    <x v="2"/>
    <x v="3"/>
    <x v="1"/>
    <x v="8"/>
    <x v="2"/>
    <x v="2"/>
    <x v="8"/>
    <x v="37"/>
    <x v="0"/>
    <x v="2"/>
    <x v="4"/>
    <x v="3"/>
  </r>
  <r>
    <x v="189"/>
    <x v="29"/>
    <x v="145"/>
    <x v="10"/>
    <x v="4"/>
    <x v="1"/>
    <x v="3"/>
    <x v="3"/>
    <x v="0"/>
    <x v="3"/>
    <x v="14"/>
    <x v="0"/>
    <x v="0"/>
    <x v="3"/>
    <x v="1"/>
  </r>
  <r>
    <x v="190"/>
    <x v="29"/>
    <x v="146"/>
    <x v="10"/>
    <x v="4"/>
    <x v="0"/>
    <x v="7"/>
    <x v="2"/>
    <x v="0"/>
    <x v="7"/>
    <x v="12"/>
    <x v="0"/>
    <x v="0"/>
    <x v="2"/>
    <x v="1"/>
  </r>
  <r>
    <x v="191"/>
    <x v="29"/>
    <x v="147"/>
    <x v="10"/>
    <x v="4"/>
    <x v="2"/>
    <x v="1"/>
    <x v="1"/>
    <x v="0"/>
    <x v="1"/>
    <x v="16"/>
    <x v="1"/>
    <x v="0"/>
    <x v="0"/>
    <x v="1"/>
  </r>
  <r>
    <x v="192"/>
    <x v="29"/>
    <x v="148"/>
    <x v="12"/>
    <x v="4"/>
    <x v="0"/>
    <x v="2"/>
    <x v="2"/>
    <x v="2"/>
    <x v="2"/>
    <x v="2"/>
    <x v="0"/>
    <x v="0"/>
    <x v="0"/>
    <x v="2"/>
  </r>
  <r>
    <x v="193"/>
    <x v="29"/>
    <x v="149"/>
    <x v="12"/>
    <x v="4"/>
    <x v="2"/>
    <x v="8"/>
    <x v="2"/>
    <x v="0"/>
    <x v="8"/>
    <x v="21"/>
    <x v="0"/>
    <x v="0"/>
    <x v="2"/>
    <x v="1"/>
  </r>
  <r>
    <x v="194"/>
    <x v="29"/>
    <x v="150"/>
    <x v="11"/>
    <x v="4"/>
    <x v="0"/>
    <x v="8"/>
    <x v="2"/>
    <x v="2"/>
    <x v="8"/>
    <x v="43"/>
    <x v="1"/>
    <x v="3"/>
    <x v="0"/>
    <x v="0"/>
  </r>
  <r>
    <x v="195"/>
    <x v="29"/>
    <x v="151"/>
    <x v="8"/>
    <x v="4"/>
    <x v="2"/>
    <x v="3"/>
    <x v="3"/>
    <x v="2"/>
    <x v="3"/>
    <x v="3"/>
    <x v="0"/>
    <x v="0"/>
    <x v="2"/>
    <x v="1"/>
  </r>
  <r>
    <x v="196"/>
    <x v="29"/>
    <x v="141"/>
    <x v="1"/>
    <x v="4"/>
    <x v="0"/>
    <x v="6"/>
    <x v="0"/>
    <x v="0"/>
    <x v="6"/>
    <x v="30"/>
    <x v="0"/>
    <x v="1"/>
    <x v="0"/>
    <x v="3"/>
  </r>
  <r>
    <x v="197"/>
    <x v="29"/>
    <x v="7"/>
    <x v="1"/>
    <x v="4"/>
    <x v="0"/>
    <x v="3"/>
    <x v="3"/>
    <x v="2"/>
    <x v="3"/>
    <x v="44"/>
    <x v="1"/>
    <x v="2"/>
    <x v="0"/>
    <x v="1"/>
  </r>
  <r>
    <x v="198"/>
    <x v="29"/>
    <x v="45"/>
    <x v="3"/>
    <x v="4"/>
    <x v="0"/>
    <x v="3"/>
    <x v="3"/>
    <x v="2"/>
    <x v="3"/>
    <x v="3"/>
    <x v="0"/>
    <x v="0"/>
    <x v="0"/>
    <x v="1"/>
  </r>
  <r>
    <x v="199"/>
    <x v="29"/>
    <x v="152"/>
    <x v="4"/>
    <x v="4"/>
    <x v="1"/>
    <x v="6"/>
    <x v="0"/>
    <x v="2"/>
    <x v="6"/>
    <x v="6"/>
    <x v="1"/>
    <x v="0"/>
    <x v="0"/>
    <x v="3"/>
  </r>
  <r>
    <x v="200"/>
    <x v="30"/>
    <x v="87"/>
    <x v="10"/>
    <x v="5"/>
    <x v="0"/>
    <x v="10"/>
    <x v="4"/>
    <x v="2"/>
    <x v="10"/>
    <x v="13"/>
    <x v="1"/>
    <x v="0"/>
    <x v="2"/>
    <x v="0"/>
  </r>
  <r>
    <x v="201"/>
    <x v="30"/>
    <x v="153"/>
    <x v="0"/>
    <x v="5"/>
    <x v="0"/>
    <x v="8"/>
    <x v="2"/>
    <x v="2"/>
    <x v="8"/>
    <x v="10"/>
    <x v="0"/>
    <x v="0"/>
    <x v="2"/>
    <x v="2"/>
  </r>
  <r>
    <x v="202"/>
    <x v="30"/>
    <x v="118"/>
    <x v="0"/>
    <x v="5"/>
    <x v="2"/>
    <x v="0"/>
    <x v="0"/>
    <x v="2"/>
    <x v="0"/>
    <x v="7"/>
    <x v="0"/>
    <x v="0"/>
    <x v="2"/>
    <x v="3"/>
  </r>
  <r>
    <x v="203"/>
    <x v="30"/>
    <x v="154"/>
    <x v="0"/>
    <x v="5"/>
    <x v="0"/>
    <x v="9"/>
    <x v="3"/>
    <x v="2"/>
    <x v="7"/>
    <x v="9"/>
    <x v="0"/>
    <x v="0"/>
    <x v="0"/>
    <x v="4"/>
  </r>
  <r>
    <x v="204"/>
    <x v="30"/>
    <x v="155"/>
    <x v="11"/>
    <x v="5"/>
    <x v="0"/>
    <x v="12"/>
    <x v="4"/>
    <x v="2"/>
    <x v="8"/>
    <x v="10"/>
    <x v="0"/>
    <x v="0"/>
    <x v="2"/>
    <x v="2"/>
  </r>
  <r>
    <x v="205"/>
    <x v="30"/>
    <x v="81"/>
    <x v="5"/>
    <x v="5"/>
    <x v="0"/>
    <x v="4"/>
    <x v="1"/>
    <x v="2"/>
    <x v="4"/>
    <x v="15"/>
    <x v="0"/>
    <x v="0"/>
    <x v="0"/>
    <x v="0"/>
  </r>
  <r>
    <x v="206"/>
    <x v="30"/>
    <x v="156"/>
    <x v="5"/>
    <x v="5"/>
    <x v="2"/>
    <x v="9"/>
    <x v="3"/>
    <x v="2"/>
    <x v="7"/>
    <x v="9"/>
    <x v="1"/>
    <x v="0"/>
    <x v="1"/>
    <x v="3"/>
  </r>
  <r>
    <x v="207"/>
    <x v="30"/>
    <x v="54"/>
    <x v="1"/>
    <x v="5"/>
    <x v="2"/>
    <x v="6"/>
    <x v="0"/>
    <x v="2"/>
    <x v="6"/>
    <x v="6"/>
    <x v="1"/>
    <x v="0"/>
    <x v="2"/>
    <x v="1"/>
  </r>
  <r>
    <x v="208"/>
    <x v="30"/>
    <x v="157"/>
    <x v="1"/>
    <x v="5"/>
    <x v="2"/>
    <x v="5"/>
    <x v="1"/>
    <x v="2"/>
    <x v="5"/>
    <x v="5"/>
    <x v="0"/>
    <x v="0"/>
    <x v="2"/>
    <x v="2"/>
  </r>
  <r>
    <x v="209"/>
    <x v="30"/>
    <x v="158"/>
    <x v="1"/>
    <x v="5"/>
    <x v="2"/>
    <x v="6"/>
    <x v="0"/>
    <x v="2"/>
    <x v="6"/>
    <x v="6"/>
    <x v="1"/>
    <x v="0"/>
    <x v="0"/>
    <x v="3"/>
  </r>
  <r>
    <x v="210"/>
    <x v="30"/>
    <x v="99"/>
    <x v="1"/>
    <x v="5"/>
    <x v="0"/>
    <x v="1"/>
    <x v="1"/>
    <x v="0"/>
    <x v="1"/>
    <x v="16"/>
    <x v="1"/>
    <x v="0"/>
    <x v="1"/>
    <x v="4"/>
  </r>
  <r>
    <x v="211"/>
    <x v="30"/>
    <x v="159"/>
    <x v="3"/>
    <x v="5"/>
    <x v="0"/>
    <x v="4"/>
    <x v="1"/>
    <x v="0"/>
    <x v="4"/>
    <x v="35"/>
    <x v="0"/>
    <x v="0"/>
    <x v="0"/>
    <x v="0"/>
  </r>
  <r>
    <x v="212"/>
    <x v="30"/>
    <x v="160"/>
    <x v="3"/>
    <x v="5"/>
    <x v="0"/>
    <x v="10"/>
    <x v="4"/>
    <x v="0"/>
    <x v="10"/>
    <x v="32"/>
    <x v="0"/>
    <x v="0"/>
    <x v="1"/>
    <x v="3"/>
  </r>
  <r>
    <x v="213"/>
    <x v="30"/>
    <x v="161"/>
    <x v="3"/>
    <x v="5"/>
    <x v="0"/>
    <x v="8"/>
    <x v="2"/>
    <x v="2"/>
    <x v="8"/>
    <x v="10"/>
    <x v="0"/>
    <x v="0"/>
    <x v="0"/>
    <x v="4"/>
  </r>
  <r>
    <x v="214"/>
    <x v="30"/>
    <x v="162"/>
    <x v="3"/>
    <x v="5"/>
    <x v="2"/>
    <x v="9"/>
    <x v="3"/>
    <x v="0"/>
    <x v="7"/>
    <x v="12"/>
    <x v="0"/>
    <x v="0"/>
    <x v="0"/>
    <x v="1"/>
  </r>
  <r>
    <x v="215"/>
    <x v="30"/>
    <x v="163"/>
    <x v="3"/>
    <x v="5"/>
    <x v="2"/>
    <x v="2"/>
    <x v="2"/>
    <x v="2"/>
    <x v="2"/>
    <x v="2"/>
    <x v="0"/>
    <x v="0"/>
    <x v="0"/>
    <x v="4"/>
  </r>
  <r>
    <x v="216"/>
    <x v="30"/>
    <x v="124"/>
    <x v="2"/>
    <x v="5"/>
    <x v="0"/>
    <x v="5"/>
    <x v="1"/>
    <x v="2"/>
    <x v="5"/>
    <x v="45"/>
    <x v="0"/>
    <x v="2"/>
    <x v="0"/>
    <x v="3"/>
  </r>
  <r>
    <x v="217"/>
    <x v="30"/>
    <x v="164"/>
    <x v="2"/>
    <x v="5"/>
    <x v="0"/>
    <x v="6"/>
    <x v="0"/>
    <x v="2"/>
    <x v="6"/>
    <x v="6"/>
    <x v="0"/>
    <x v="0"/>
    <x v="0"/>
    <x v="0"/>
  </r>
  <r>
    <x v="218"/>
    <x v="31"/>
    <x v="165"/>
    <x v="10"/>
    <x v="6"/>
    <x v="0"/>
    <x v="7"/>
    <x v="2"/>
    <x v="2"/>
    <x v="7"/>
    <x v="46"/>
    <x v="0"/>
    <x v="3"/>
    <x v="2"/>
    <x v="4"/>
  </r>
  <r>
    <x v="219"/>
    <x v="31"/>
    <x v="166"/>
    <x v="10"/>
    <x v="6"/>
    <x v="0"/>
    <x v="10"/>
    <x v="4"/>
    <x v="2"/>
    <x v="10"/>
    <x v="13"/>
    <x v="0"/>
    <x v="0"/>
    <x v="0"/>
    <x v="4"/>
  </r>
  <r>
    <x v="220"/>
    <x v="31"/>
    <x v="167"/>
    <x v="5"/>
    <x v="6"/>
    <x v="0"/>
    <x v="4"/>
    <x v="1"/>
    <x v="0"/>
    <x v="4"/>
    <x v="35"/>
    <x v="1"/>
    <x v="0"/>
    <x v="0"/>
    <x v="4"/>
  </r>
  <r>
    <x v="221"/>
    <x v="31"/>
    <x v="168"/>
    <x v="3"/>
    <x v="6"/>
    <x v="0"/>
    <x v="0"/>
    <x v="0"/>
    <x v="2"/>
    <x v="0"/>
    <x v="7"/>
    <x v="0"/>
    <x v="0"/>
    <x v="2"/>
    <x v="0"/>
  </r>
  <r>
    <x v="222"/>
    <x v="31"/>
    <x v="169"/>
    <x v="3"/>
    <x v="6"/>
    <x v="1"/>
    <x v="11"/>
    <x v="1"/>
    <x v="2"/>
    <x v="11"/>
    <x v="24"/>
    <x v="0"/>
    <x v="0"/>
    <x v="0"/>
    <x v="1"/>
  </r>
  <r>
    <x v="223"/>
    <x v="31"/>
    <x v="162"/>
    <x v="3"/>
    <x v="6"/>
    <x v="0"/>
    <x v="12"/>
    <x v="4"/>
    <x v="0"/>
    <x v="8"/>
    <x v="21"/>
    <x v="0"/>
    <x v="0"/>
    <x v="0"/>
    <x v="4"/>
  </r>
  <r>
    <x v="224"/>
    <x v="31"/>
    <x v="170"/>
    <x v="2"/>
    <x v="6"/>
    <x v="2"/>
    <x v="8"/>
    <x v="2"/>
    <x v="1"/>
    <x v="8"/>
    <x v="5"/>
    <x v="0"/>
    <x v="0"/>
    <x v="0"/>
    <x v="2"/>
  </r>
  <r>
    <x v="225"/>
    <x v="32"/>
    <x v="25"/>
    <x v="8"/>
    <x v="0"/>
    <x v="0"/>
    <x v="0"/>
    <x v="0"/>
    <x v="2"/>
    <x v="0"/>
    <x v="7"/>
    <x v="1"/>
    <x v="0"/>
    <x v="0"/>
    <x v="1"/>
  </r>
  <r>
    <x v="226"/>
    <x v="32"/>
    <x v="171"/>
    <x v="1"/>
    <x v="0"/>
    <x v="0"/>
    <x v="6"/>
    <x v="0"/>
    <x v="0"/>
    <x v="6"/>
    <x v="2"/>
    <x v="0"/>
    <x v="0"/>
    <x v="3"/>
    <x v="2"/>
  </r>
  <r>
    <x v="227"/>
    <x v="32"/>
    <x v="172"/>
    <x v="3"/>
    <x v="0"/>
    <x v="2"/>
    <x v="1"/>
    <x v="1"/>
    <x v="2"/>
    <x v="1"/>
    <x v="8"/>
    <x v="0"/>
    <x v="0"/>
    <x v="2"/>
    <x v="0"/>
  </r>
  <r>
    <x v="228"/>
    <x v="32"/>
    <x v="124"/>
    <x v="2"/>
    <x v="0"/>
    <x v="0"/>
    <x v="5"/>
    <x v="1"/>
    <x v="0"/>
    <x v="5"/>
    <x v="47"/>
    <x v="0"/>
    <x v="1"/>
    <x v="0"/>
    <x v="1"/>
  </r>
  <r>
    <x v="229"/>
    <x v="32"/>
    <x v="14"/>
    <x v="2"/>
    <x v="0"/>
    <x v="1"/>
    <x v="9"/>
    <x v="3"/>
    <x v="2"/>
    <x v="7"/>
    <x v="9"/>
    <x v="0"/>
    <x v="0"/>
    <x v="0"/>
    <x v="4"/>
  </r>
  <r>
    <x v="230"/>
    <x v="33"/>
    <x v="105"/>
    <x v="10"/>
    <x v="1"/>
    <x v="2"/>
    <x v="6"/>
    <x v="0"/>
    <x v="2"/>
    <x v="6"/>
    <x v="6"/>
    <x v="0"/>
    <x v="0"/>
    <x v="0"/>
    <x v="1"/>
  </r>
  <r>
    <x v="231"/>
    <x v="2"/>
    <x v="173"/>
    <x v="7"/>
    <x v="2"/>
    <x v="2"/>
    <x v="11"/>
    <x v="1"/>
    <x v="2"/>
    <x v="11"/>
    <x v="24"/>
    <x v="0"/>
    <x v="0"/>
    <x v="0"/>
    <x v="4"/>
  </r>
  <r>
    <x v="232"/>
    <x v="33"/>
    <x v="174"/>
    <x v="11"/>
    <x v="1"/>
    <x v="2"/>
    <x v="7"/>
    <x v="2"/>
    <x v="0"/>
    <x v="7"/>
    <x v="12"/>
    <x v="0"/>
    <x v="0"/>
    <x v="0"/>
    <x v="1"/>
  </r>
  <r>
    <x v="233"/>
    <x v="33"/>
    <x v="175"/>
    <x v="5"/>
    <x v="1"/>
    <x v="2"/>
    <x v="3"/>
    <x v="3"/>
    <x v="0"/>
    <x v="3"/>
    <x v="14"/>
    <x v="0"/>
    <x v="0"/>
    <x v="1"/>
    <x v="3"/>
  </r>
  <r>
    <x v="234"/>
    <x v="33"/>
    <x v="60"/>
    <x v="1"/>
    <x v="1"/>
    <x v="0"/>
    <x v="11"/>
    <x v="1"/>
    <x v="2"/>
    <x v="11"/>
    <x v="24"/>
    <x v="0"/>
    <x v="0"/>
    <x v="2"/>
    <x v="3"/>
  </r>
  <r>
    <x v="235"/>
    <x v="33"/>
    <x v="69"/>
    <x v="1"/>
    <x v="1"/>
    <x v="1"/>
    <x v="8"/>
    <x v="2"/>
    <x v="2"/>
    <x v="8"/>
    <x v="10"/>
    <x v="0"/>
    <x v="0"/>
    <x v="0"/>
    <x v="4"/>
  </r>
  <r>
    <x v="236"/>
    <x v="33"/>
    <x v="130"/>
    <x v="1"/>
    <x v="1"/>
    <x v="2"/>
    <x v="0"/>
    <x v="0"/>
    <x v="2"/>
    <x v="0"/>
    <x v="7"/>
    <x v="0"/>
    <x v="0"/>
    <x v="0"/>
    <x v="4"/>
  </r>
  <r>
    <x v="237"/>
    <x v="2"/>
    <x v="143"/>
    <x v="1"/>
    <x v="2"/>
    <x v="0"/>
    <x v="3"/>
    <x v="3"/>
    <x v="2"/>
    <x v="3"/>
    <x v="48"/>
    <x v="0"/>
    <x v="3"/>
    <x v="2"/>
    <x v="3"/>
  </r>
  <r>
    <x v="238"/>
    <x v="33"/>
    <x v="176"/>
    <x v="3"/>
    <x v="1"/>
    <x v="0"/>
    <x v="2"/>
    <x v="2"/>
    <x v="2"/>
    <x v="2"/>
    <x v="2"/>
    <x v="0"/>
    <x v="0"/>
    <x v="2"/>
    <x v="1"/>
  </r>
  <r>
    <x v="239"/>
    <x v="33"/>
    <x v="177"/>
    <x v="3"/>
    <x v="1"/>
    <x v="1"/>
    <x v="10"/>
    <x v="4"/>
    <x v="1"/>
    <x v="10"/>
    <x v="49"/>
    <x v="0"/>
    <x v="0"/>
    <x v="2"/>
    <x v="4"/>
  </r>
  <r>
    <x v="240"/>
    <x v="33"/>
    <x v="72"/>
    <x v="3"/>
    <x v="1"/>
    <x v="1"/>
    <x v="5"/>
    <x v="1"/>
    <x v="2"/>
    <x v="5"/>
    <x v="5"/>
    <x v="0"/>
    <x v="0"/>
    <x v="0"/>
    <x v="3"/>
  </r>
  <r>
    <x v="241"/>
    <x v="34"/>
    <x v="158"/>
    <x v="1"/>
    <x v="2"/>
    <x v="2"/>
    <x v="2"/>
    <x v="2"/>
    <x v="2"/>
    <x v="2"/>
    <x v="2"/>
    <x v="0"/>
    <x v="0"/>
    <x v="0"/>
    <x v="3"/>
  </r>
  <r>
    <x v="242"/>
    <x v="34"/>
    <x v="178"/>
    <x v="1"/>
    <x v="2"/>
    <x v="0"/>
    <x v="6"/>
    <x v="0"/>
    <x v="2"/>
    <x v="6"/>
    <x v="6"/>
    <x v="0"/>
    <x v="0"/>
    <x v="3"/>
    <x v="3"/>
  </r>
  <r>
    <x v="243"/>
    <x v="34"/>
    <x v="179"/>
    <x v="3"/>
    <x v="2"/>
    <x v="0"/>
    <x v="14"/>
    <x v="3"/>
    <x v="2"/>
    <x v="14"/>
    <x v="50"/>
    <x v="1"/>
    <x v="3"/>
    <x v="4"/>
    <x v="2"/>
  </r>
  <r>
    <x v="244"/>
    <x v="35"/>
    <x v="180"/>
    <x v="10"/>
    <x v="4"/>
    <x v="0"/>
    <x v="5"/>
    <x v="1"/>
    <x v="2"/>
    <x v="5"/>
    <x v="5"/>
    <x v="0"/>
    <x v="0"/>
    <x v="1"/>
    <x v="4"/>
  </r>
  <r>
    <x v="245"/>
    <x v="35"/>
    <x v="181"/>
    <x v="7"/>
    <x v="4"/>
    <x v="2"/>
    <x v="6"/>
    <x v="0"/>
    <x v="0"/>
    <x v="6"/>
    <x v="2"/>
    <x v="0"/>
    <x v="0"/>
    <x v="0"/>
    <x v="1"/>
  </r>
  <r>
    <x v="246"/>
    <x v="35"/>
    <x v="182"/>
    <x v="7"/>
    <x v="4"/>
    <x v="2"/>
    <x v="7"/>
    <x v="2"/>
    <x v="2"/>
    <x v="7"/>
    <x v="9"/>
    <x v="0"/>
    <x v="0"/>
    <x v="0"/>
    <x v="4"/>
  </r>
  <r>
    <x v="247"/>
    <x v="35"/>
    <x v="137"/>
    <x v="7"/>
    <x v="4"/>
    <x v="0"/>
    <x v="11"/>
    <x v="1"/>
    <x v="0"/>
    <x v="11"/>
    <x v="51"/>
    <x v="0"/>
    <x v="1"/>
    <x v="2"/>
    <x v="4"/>
  </r>
  <r>
    <x v="248"/>
    <x v="35"/>
    <x v="183"/>
    <x v="0"/>
    <x v="4"/>
    <x v="0"/>
    <x v="0"/>
    <x v="0"/>
    <x v="2"/>
    <x v="0"/>
    <x v="41"/>
    <x v="0"/>
    <x v="3"/>
    <x v="0"/>
    <x v="1"/>
  </r>
  <r>
    <x v="249"/>
    <x v="36"/>
    <x v="95"/>
    <x v="3"/>
    <x v="6"/>
    <x v="0"/>
    <x v="6"/>
    <x v="0"/>
    <x v="0"/>
    <x v="6"/>
    <x v="2"/>
    <x v="1"/>
    <x v="0"/>
    <x v="1"/>
    <x v="3"/>
  </r>
  <r>
    <x v="250"/>
    <x v="35"/>
    <x v="121"/>
    <x v="5"/>
    <x v="4"/>
    <x v="0"/>
    <x v="6"/>
    <x v="0"/>
    <x v="2"/>
    <x v="6"/>
    <x v="6"/>
    <x v="0"/>
    <x v="0"/>
    <x v="0"/>
    <x v="3"/>
  </r>
  <r>
    <x v="251"/>
    <x v="35"/>
    <x v="54"/>
    <x v="1"/>
    <x v="4"/>
    <x v="0"/>
    <x v="0"/>
    <x v="0"/>
    <x v="2"/>
    <x v="0"/>
    <x v="7"/>
    <x v="0"/>
    <x v="0"/>
    <x v="0"/>
    <x v="1"/>
  </r>
  <r>
    <x v="252"/>
    <x v="35"/>
    <x v="184"/>
    <x v="1"/>
    <x v="4"/>
    <x v="0"/>
    <x v="7"/>
    <x v="2"/>
    <x v="2"/>
    <x v="7"/>
    <x v="25"/>
    <x v="0"/>
    <x v="1"/>
    <x v="2"/>
    <x v="3"/>
  </r>
  <r>
    <x v="253"/>
    <x v="35"/>
    <x v="185"/>
    <x v="1"/>
    <x v="4"/>
    <x v="0"/>
    <x v="4"/>
    <x v="1"/>
    <x v="2"/>
    <x v="4"/>
    <x v="15"/>
    <x v="1"/>
    <x v="0"/>
    <x v="0"/>
    <x v="3"/>
  </r>
  <r>
    <x v="254"/>
    <x v="35"/>
    <x v="186"/>
    <x v="3"/>
    <x v="4"/>
    <x v="0"/>
    <x v="6"/>
    <x v="0"/>
    <x v="2"/>
    <x v="6"/>
    <x v="6"/>
    <x v="0"/>
    <x v="0"/>
    <x v="0"/>
    <x v="3"/>
  </r>
  <r>
    <x v="255"/>
    <x v="35"/>
    <x v="187"/>
    <x v="2"/>
    <x v="4"/>
    <x v="1"/>
    <x v="4"/>
    <x v="1"/>
    <x v="2"/>
    <x v="4"/>
    <x v="15"/>
    <x v="1"/>
    <x v="0"/>
    <x v="0"/>
    <x v="2"/>
  </r>
  <r>
    <x v="256"/>
    <x v="35"/>
    <x v="135"/>
    <x v="4"/>
    <x v="4"/>
    <x v="0"/>
    <x v="4"/>
    <x v="1"/>
    <x v="2"/>
    <x v="4"/>
    <x v="15"/>
    <x v="0"/>
    <x v="0"/>
    <x v="2"/>
    <x v="2"/>
  </r>
  <r>
    <x v="257"/>
    <x v="35"/>
    <x v="188"/>
    <x v="4"/>
    <x v="4"/>
    <x v="1"/>
    <x v="7"/>
    <x v="2"/>
    <x v="2"/>
    <x v="7"/>
    <x v="9"/>
    <x v="0"/>
    <x v="0"/>
    <x v="1"/>
    <x v="4"/>
  </r>
  <r>
    <x v="258"/>
    <x v="35"/>
    <x v="189"/>
    <x v="4"/>
    <x v="4"/>
    <x v="0"/>
    <x v="8"/>
    <x v="2"/>
    <x v="2"/>
    <x v="8"/>
    <x v="43"/>
    <x v="0"/>
    <x v="3"/>
    <x v="3"/>
    <x v="4"/>
  </r>
  <r>
    <x v="259"/>
    <x v="37"/>
    <x v="104"/>
    <x v="10"/>
    <x v="5"/>
    <x v="1"/>
    <x v="7"/>
    <x v="2"/>
    <x v="2"/>
    <x v="7"/>
    <x v="9"/>
    <x v="1"/>
    <x v="0"/>
    <x v="0"/>
    <x v="3"/>
  </r>
  <r>
    <x v="260"/>
    <x v="37"/>
    <x v="190"/>
    <x v="7"/>
    <x v="5"/>
    <x v="0"/>
    <x v="3"/>
    <x v="3"/>
    <x v="2"/>
    <x v="3"/>
    <x v="3"/>
    <x v="1"/>
    <x v="0"/>
    <x v="1"/>
    <x v="2"/>
  </r>
  <r>
    <x v="261"/>
    <x v="37"/>
    <x v="183"/>
    <x v="0"/>
    <x v="5"/>
    <x v="2"/>
    <x v="8"/>
    <x v="2"/>
    <x v="2"/>
    <x v="8"/>
    <x v="10"/>
    <x v="0"/>
    <x v="0"/>
    <x v="3"/>
    <x v="1"/>
  </r>
  <r>
    <x v="262"/>
    <x v="37"/>
    <x v="191"/>
    <x v="12"/>
    <x v="5"/>
    <x v="0"/>
    <x v="0"/>
    <x v="0"/>
    <x v="0"/>
    <x v="0"/>
    <x v="0"/>
    <x v="1"/>
    <x v="0"/>
    <x v="1"/>
    <x v="2"/>
  </r>
  <r>
    <x v="263"/>
    <x v="37"/>
    <x v="191"/>
    <x v="12"/>
    <x v="5"/>
    <x v="0"/>
    <x v="7"/>
    <x v="2"/>
    <x v="2"/>
    <x v="7"/>
    <x v="9"/>
    <x v="0"/>
    <x v="0"/>
    <x v="0"/>
    <x v="2"/>
  </r>
  <r>
    <x v="264"/>
    <x v="37"/>
    <x v="192"/>
    <x v="12"/>
    <x v="5"/>
    <x v="0"/>
    <x v="6"/>
    <x v="0"/>
    <x v="2"/>
    <x v="6"/>
    <x v="6"/>
    <x v="0"/>
    <x v="0"/>
    <x v="0"/>
    <x v="3"/>
  </r>
  <r>
    <x v="265"/>
    <x v="37"/>
    <x v="193"/>
    <x v="6"/>
    <x v="5"/>
    <x v="0"/>
    <x v="0"/>
    <x v="0"/>
    <x v="2"/>
    <x v="0"/>
    <x v="7"/>
    <x v="1"/>
    <x v="0"/>
    <x v="1"/>
    <x v="0"/>
  </r>
  <r>
    <x v="266"/>
    <x v="37"/>
    <x v="194"/>
    <x v="8"/>
    <x v="5"/>
    <x v="0"/>
    <x v="6"/>
    <x v="0"/>
    <x v="2"/>
    <x v="6"/>
    <x v="6"/>
    <x v="0"/>
    <x v="0"/>
    <x v="0"/>
    <x v="0"/>
  </r>
  <r>
    <x v="267"/>
    <x v="37"/>
    <x v="133"/>
    <x v="5"/>
    <x v="5"/>
    <x v="2"/>
    <x v="7"/>
    <x v="2"/>
    <x v="2"/>
    <x v="7"/>
    <x v="9"/>
    <x v="0"/>
    <x v="0"/>
    <x v="2"/>
    <x v="1"/>
  </r>
  <r>
    <x v="268"/>
    <x v="37"/>
    <x v="195"/>
    <x v="5"/>
    <x v="5"/>
    <x v="0"/>
    <x v="0"/>
    <x v="0"/>
    <x v="2"/>
    <x v="0"/>
    <x v="7"/>
    <x v="0"/>
    <x v="0"/>
    <x v="0"/>
    <x v="2"/>
  </r>
  <r>
    <x v="269"/>
    <x v="37"/>
    <x v="82"/>
    <x v="1"/>
    <x v="5"/>
    <x v="0"/>
    <x v="6"/>
    <x v="0"/>
    <x v="2"/>
    <x v="6"/>
    <x v="6"/>
    <x v="0"/>
    <x v="0"/>
    <x v="2"/>
    <x v="2"/>
  </r>
  <r>
    <x v="270"/>
    <x v="37"/>
    <x v="196"/>
    <x v="1"/>
    <x v="5"/>
    <x v="0"/>
    <x v="2"/>
    <x v="2"/>
    <x v="0"/>
    <x v="2"/>
    <x v="10"/>
    <x v="0"/>
    <x v="0"/>
    <x v="0"/>
    <x v="0"/>
  </r>
  <r>
    <x v="271"/>
    <x v="37"/>
    <x v="197"/>
    <x v="2"/>
    <x v="5"/>
    <x v="1"/>
    <x v="0"/>
    <x v="0"/>
    <x v="2"/>
    <x v="0"/>
    <x v="41"/>
    <x v="0"/>
    <x v="3"/>
    <x v="0"/>
    <x v="0"/>
  </r>
  <r>
    <x v="272"/>
    <x v="37"/>
    <x v="86"/>
    <x v="2"/>
    <x v="5"/>
    <x v="0"/>
    <x v="0"/>
    <x v="0"/>
    <x v="2"/>
    <x v="0"/>
    <x v="7"/>
    <x v="0"/>
    <x v="0"/>
    <x v="0"/>
    <x v="4"/>
  </r>
  <r>
    <x v="273"/>
    <x v="37"/>
    <x v="198"/>
    <x v="4"/>
    <x v="5"/>
    <x v="0"/>
    <x v="1"/>
    <x v="1"/>
    <x v="2"/>
    <x v="1"/>
    <x v="8"/>
    <x v="0"/>
    <x v="0"/>
    <x v="0"/>
    <x v="1"/>
  </r>
  <r>
    <x v="274"/>
    <x v="37"/>
    <x v="199"/>
    <x v="4"/>
    <x v="5"/>
    <x v="0"/>
    <x v="8"/>
    <x v="2"/>
    <x v="2"/>
    <x v="8"/>
    <x v="10"/>
    <x v="1"/>
    <x v="0"/>
    <x v="1"/>
    <x v="3"/>
  </r>
  <r>
    <x v="275"/>
    <x v="36"/>
    <x v="200"/>
    <x v="10"/>
    <x v="6"/>
    <x v="0"/>
    <x v="4"/>
    <x v="1"/>
    <x v="0"/>
    <x v="4"/>
    <x v="35"/>
    <x v="1"/>
    <x v="0"/>
    <x v="0"/>
    <x v="4"/>
  </r>
  <r>
    <x v="276"/>
    <x v="36"/>
    <x v="109"/>
    <x v="0"/>
    <x v="6"/>
    <x v="0"/>
    <x v="7"/>
    <x v="2"/>
    <x v="2"/>
    <x v="7"/>
    <x v="46"/>
    <x v="0"/>
    <x v="3"/>
    <x v="0"/>
    <x v="0"/>
  </r>
  <r>
    <x v="277"/>
    <x v="36"/>
    <x v="201"/>
    <x v="6"/>
    <x v="6"/>
    <x v="2"/>
    <x v="7"/>
    <x v="2"/>
    <x v="2"/>
    <x v="7"/>
    <x v="9"/>
    <x v="0"/>
    <x v="0"/>
    <x v="0"/>
    <x v="3"/>
  </r>
  <r>
    <x v="278"/>
    <x v="36"/>
    <x v="26"/>
    <x v="5"/>
    <x v="6"/>
    <x v="0"/>
    <x v="8"/>
    <x v="2"/>
    <x v="0"/>
    <x v="8"/>
    <x v="21"/>
    <x v="0"/>
    <x v="0"/>
    <x v="3"/>
    <x v="0"/>
  </r>
  <r>
    <x v="279"/>
    <x v="36"/>
    <x v="129"/>
    <x v="5"/>
    <x v="6"/>
    <x v="0"/>
    <x v="6"/>
    <x v="0"/>
    <x v="2"/>
    <x v="6"/>
    <x v="6"/>
    <x v="0"/>
    <x v="0"/>
    <x v="1"/>
    <x v="0"/>
  </r>
  <r>
    <x v="280"/>
    <x v="36"/>
    <x v="66"/>
    <x v="1"/>
    <x v="6"/>
    <x v="1"/>
    <x v="2"/>
    <x v="2"/>
    <x v="0"/>
    <x v="2"/>
    <x v="10"/>
    <x v="0"/>
    <x v="0"/>
    <x v="1"/>
    <x v="1"/>
  </r>
  <r>
    <x v="281"/>
    <x v="36"/>
    <x v="202"/>
    <x v="1"/>
    <x v="6"/>
    <x v="0"/>
    <x v="8"/>
    <x v="2"/>
    <x v="2"/>
    <x v="8"/>
    <x v="10"/>
    <x v="0"/>
    <x v="0"/>
    <x v="1"/>
    <x v="0"/>
  </r>
  <r>
    <x v="282"/>
    <x v="38"/>
    <x v="203"/>
    <x v="5"/>
    <x v="0"/>
    <x v="0"/>
    <x v="4"/>
    <x v="1"/>
    <x v="2"/>
    <x v="4"/>
    <x v="52"/>
    <x v="0"/>
    <x v="3"/>
    <x v="1"/>
    <x v="3"/>
  </r>
  <r>
    <x v="283"/>
    <x v="36"/>
    <x v="204"/>
    <x v="2"/>
    <x v="6"/>
    <x v="0"/>
    <x v="4"/>
    <x v="1"/>
    <x v="2"/>
    <x v="4"/>
    <x v="15"/>
    <x v="0"/>
    <x v="0"/>
    <x v="0"/>
    <x v="0"/>
  </r>
  <r>
    <x v="284"/>
    <x v="36"/>
    <x v="205"/>
    <x v="4"/>
    <x v="6"/>
    <x v="0"/>
    <x v="7"/>
    <x v="2"/>
    <x v="2"/>
    <x v="7"/>
    <x v="9"/>
    <x v="0"/>
    <x v="0"/>
    <x v="0"/>
    <x v="1"/>
  </r>
  <r>
    <x v="285"/>
    <x v="39"/>
    <x v="206"/>
    <x v="6"/>
    <x v="0"/>
    <x v="1"/>
    <x v="6"/>
    <x v="0"/>
    <x v="2"/>
    <x v="6"/>
    <x v="6"/>
    <x v="0"/>
    <x v="0"/>
    <x v="0"/>
    <x v="2"/>
  </r>
  <r>
    <x v="286"/>
    <x v="39"/>
    <x v="112"/>
    <x v="1"/>
    <x v="0"/>
    <x v="0"/>
    <x v="6"/>
    <x v="0"/>
    <x v="2"/>
    <x v="6"/>
    <x v="6"/>
    <x v="0"/>
    <x v="0"/>
    <x v="0"/>
    <x v="4"/>
  </r>
  <r>
    <x v="287"/>
    <x v="39"/>
    <x v="66"/>
    <x v="1"/>
    <x v="0"/>
    <x v="1"/>
    <x v="0"/>
    <x v="0"/>
    <x v="0"/>
    <x v="0"/>
    <x v="53"/>
    <x v="0"/>
    <x v="1"/>
    <x v="2"/>
    <x v="0"/>
  </r>
  <r>
    <x v="288"/>
    <x v="39"/>
    <x v="70"/>
    <x v="1"/>
    <x v="0"/>
    <x v="2"/>
    <x v="0"/>
    <x v="0"/>
    <x v="0"/>
    <x v="0"/>
    <x v="0"/>
    <x v="1"/>
    <x v="0"/>
    <x v="0"/>
    <x v="4"/>
  </r>
  <r>
    <x v="289"/>
    <x v="39"/>
    <x v="207"/>
    <x v="4"/>
    <x v="0"/>
    <x v="0"/>
    <x v="9"/>
    <x v="3"/>
    <x v="2"/>
    <x v="7"/>
    <x v="9"/>
    <x v="0"/>
    <x v="0"/>
    <x v="0"/>
    <x v="0"/>
  </r>
  <r>
    <x v="290"/>
    <x v="40"/>
    <x v="208"/>
    <x v="5"/>
    <x v="1"/>
    <x v="0"/>
    <x v="2"/>
    <x v="2"/>
    <x v="2"/>
    <x v="2"/>
    <x v="2"/>
    <x v="0"/>
    <x v="0"/>
    <x v="0"/>
    <x v="0"/>
  </r>
  <r>
    <x v="291"/>
    <x v="40"/>
    <x v="209"/>
    <x v="1"/>
    <x v="1"/>
    <x v="0"/>
    <x v="6"/>
    <x v="0"/>
    <x v="2"/>
    <x v="6"/>
    <x v="6"/>
    <x v="0"/>
    <x v="0"/>
    <x v="0"/>
    <x v="0"/>
  </r>
  <r>
    <x v="292"/>
    <x v="40"/>
    <x v="210"/>
    <x v="1"/>
    <x v="1"/>
    <x v="2"/>
    <x v="8"/>
    <x v="2"/>
    <x v="2"/>
    <x v="8"/>
    <x v="10"/>
    <x v="0"/>
    <x v="0"/>
    <x v="0"/>
    <x v="4"/>
  </r>
  <r>
    <x v="293"/>
    <x v="40"/>
    <x v="211"/>
    <x v="2"/>
    <x v="1"/>
    <x v="1"/>
    <x v="10"/>
    <x v="4"/>
    <x v="2"/>
    <x v="10"/>
    <x v="13"/>
    <x v="0"/>
    <x v="0"/>
    <x v="0"/>
    <x v="1"/>
  </r>
  <r>
    <x v="294"/>
    <x v="41"/>
    <x v="212"/>
    <x v="12"/>
    <x v="2"/>
    <x v="0"/>
    <x v="14"/>
    <x v="3"/>
    <x v="0"/>
    <x v="14"/>
    <x v="40"/>
    <x v="0"/>
    <x v="0"/>
    <x v="0"/>
    <x v="1"/>
  </r>
  <r>
    <x v="295"/>
    <x v="41"/>
    <x v="161"/>
    <x v="3"/>
    <x v="2"/>
    <x v="0"/>
    <x v="0"/>
    <x v="0"/>
    <x v="0"/>
    <x v="0"/>
    <x v="0"/>
    <x v="0"/>
    <x v="0"/>
    <x v="0"/>
    <x v="1"/>
  </r>
  <r>
    <x v="296"/>
    <x v="41"/>
    <x v="213"/>
    <x v="2"/>
    <x v="2"/>
    <x v="2"/>
    <x v="6"/>
    <x v="0"/>
    <x v="2"/>
    <x v="6"/>
    <x v="6"/>
    <x v="0"/>
    <x v="0"/>
    <x v="2"/>
    <x v="3"/>
  </r>
  <r>
    <x v="297"/>
    <x v="42"/>
    <x v="214"/>
    <x v="9"/>
    <x v="3"/>
    <x v="0"/>
    <x v="12"/>
    <x v="4"/>
    <x v="2"/>
    <x v="8"/>
    <x v="10"/>
    <x v="1"/>
    <x v="0"/>
    <x v="0"/>
    <x v="1"/>
  </r>
  <r>
    <x v="298"/>
    <x v="42"/>
    <x v="215"/>
    <x v="9"/>
    <x v="3"/>
    <x v="0"/>
    <x v="11"/>
    <x v="1"/>
    <x v="2"/>
    <x v="11"/>
    <x v="24"/>
    <x v="1"/>
    <x v="0"/>
    <x v="2"/>
    <x v="4"/>
  </r>
  <r>
    <x v="299"/>
    <x v="42"/>
    <x v="122"/>
    <x v="1"/>
    <x v="3"/>
    <x v="0"/>
    <x v="12"/>
    <x v="4"/>
    <x v="0"/>
    <x v="8"/>
    <x v="21"/>
    <x v="0"/>
    <x v="0"/>
    <x v="2"/>
    <x v="2"/>
  </r>
  <r>
    <x v="300"/>
    <x v="42"/>
    <x v="216"/>
    <x v="4"/>
    <x v="3"/>
    <x v="0"/>
    <x v="7"/>
    <x v="2"/>
    <x v="2"/>
    <x v="7"/>
    <x v="9"/>
    <x v="1"/>
    <x v="0"/>
    <x v="0"/>
    <x v="0"/>
  </r>
  <r>
    <x v="301"/>
    <x v="43"/>
    <x v="217"/>
    <x v="10"/>
    <x v="4"/>
    <x v="2"/>
    <x v="0"/>
    <x v="0"/>
    <x v="1"/>
    <x v="0"/>
    <x v="2"/>
    <x v="1"/>
    <x v="0"/>
    <x v="0"/>
    <x v="0"/>
  </r>
  <r>
    <x v="302"/>
    <x v="43"/>
    <x v="218"/>
    <x v="7"/>
    <x v="4"/>
    <x v="0"/>
    <x v="3"/>
    <x v="3"/>
    <x v="0"/>
    <x v="3"/>
    <x v="14"/>
    <x v="0"/>
    <x v="0"/>
    <x v="3"/>
    <x v="1"/>
  </r>
  <r>
    <x v="303"/>
    <x v="43"/>
    <x v="219"/>
    <x v="6"/>
    <x v="4"/>
    <x v="1"/>
    <x v="0"/>
    <x v="0"/>
    <x v="1"/>
    <x v="0"/>
    <x v="2"/>
    <x v="1"/>
    <x v="0"/>
    <x v="1"/>
    <x v="4"/>
  </r>
  <r>
    <x v="304"/>
    <x v="43"/>
    <x v="220"/>
    <x v="6"/>
    <x v="4"/>
    <x v="1"/>
    <x v="8"/>
    <x v="2"/>
    <x v="2"/>
    <x v="8"/>
    <x v="10"/>
    <x v="0"/>
    <x v="0"/>
    <x v="0"/>
    <x v="4"/>
  </r>
  <r>
    <x v="305"/>
    <x v="43"/>
    <x v="159"/>
    <x v="3"/>
    <x v="4"/>
    <x v="0"/>
    <x v="4"/>
    <x v="1"/>
    <x v="0"/>
    <x v="4"/>
    <x v="35"/>
    <x v="0"/>
    <x v="0"/>
    <x v="1"/>
    <x v="4"/>
  </r>
  <r>
    <x v="306"/>
    <x v="44"/>
    <x v="221"/>
    <x v="0"/>
    <x v="5"/>
    <x v="0"/>
    <x v="9"/>
    <x v="3"/>
    <x v="0"/>
    <x v="7"/>
    <x v="22"/>
    <x v="1"/>
    <x v="3"/>
    <x v="0"/>
    <x v="1"/>
  </r>
  <r>
    <x v="307"/>
    <x v="44"/>
    <x v="222"/>
    <x v="0"/>
    <x v="5"/>
    <x v="0"/>
    <x v="6"/>
    <x v="0"/>
    <x v="2"/>
    <x v="6"/>
    <x v="6"/>
    <x v="0"/>
    <x v="0"/>
    <x v="1"/>
    <x v="4"/>
  </r>
  <r>
    <x v="308"/>
    <x v="44"/>
    <x v="223"/>
    <x v="8"/>
    <x v="5"/>
    <x v="0"/>
    <x v="0"/>
    <x v="0"/>
    <x v="2"/>
    <x v="0"/>
    <x v="7"/>
    <x v="0"/>
    <x v="0"/>
    <x v="3"/>
    <x v="3"/>
  </r>
  <r>
    <x v="309"/>
    <x v="44"/>
    <x v="224"/>
    <x v="8"/>
    <x v="5"/>
    <x v="0"/>
    <x v="0"/>
    <x v="0"/>
    <x v="2"/>
    <x v="0"/>
    <x v="31"/>
    <x v="0"/>
    <x v="2"/>
    <x v="3"/>
    <x v="1"/>
  </r>
  <r>
    <x v="310"/>
    <x v="44"/>
    <x v="225"/>
    <x v="8"/>
    <x v="5"/>
    <x v="1"/>
    <x v="0"/>
    <x v="0"/>
    <x v="2"/>
    <x v="0"/>
    <x v="7"/>
    <x v="0"/>
    <x v="0"/>
    <x v="0"/>
    <x v="0"/>
  </r>
  <r>
    <x v="311"/>
    <x v="44"/>
    <x v="65"/>
    <x v="5"/>
    <x v="5"/>
    <x v="2"/>
    <x v="0"/>
    <x v="0"/>
    <x v="0"/>
    <x v="0"/>
    <x v="0"/>
    <x v="0"/>
    <x v="0"/>
    <x v="0"/>
    <x v="1"/>
  </r>
  <r>
    <x v="312"/>
    <x v="44"/>
    <x v="226"/>
    <x v="5"/>
    <x v="5"/>
    <x v="1"/>
    <x v="6"/>
    <x v="0"/>
    <x v="2"/>
    <x v="6"/>
    <x v="6"/>
    <x v="0"/>
    <x v="0"/>
    <x v="3"/>
    <x v="1"/>
  </r>
  <r>
    <x v="313"/>
    <x v="44"/>
    <x v="227"/>
    <x v="5"/>
    <x v="5"/>
    <x v="0"/>
    <x v="1"/>
    <x v="1"/>
    <x v="2"/>
    <x v="1"/>
    <x v="8"/>
    <x v="0"/>
    <x v="0"/>
    <x v="0"/>
    <x v="1"/>
  </r>
  <r>
    <x v="314"/>
    <x v="44"/>
    <x v="202"/>
    <x v="1"/>
    <x v="5"/>
    <x v="0"/>
    <x v="7"/>
    <x v="2"/>
    <x v="2"/>
    <x v="7"/>
    <x v="9"/>
    <x v="0"/>
    <x v="0"/>
    <x v="0"/>
    <x v="3"/>
  </r>
  <r>
    <x v="315"/>
    <x v="44"/>
    <x v="228"/>
    <x v="3"/>
    <x v="5"/>
    <x v="0"/>
    <x v="10"/>
    <x v="4"/>
    <x v="0"/>
    <x v="10"/>
    <x v="32"/>
    <x v="0"/>
    <x v="0"/>
    <x v="2"/>
    <x v="2"/>
  </r>
  <r>
    <x v="316"/>
    <x v="44"/>
    <x v="229"/>
    <x v="3"/>
    <x v="5"/>
    <x v="0"/>
    <x v="14"/>
    <x v="3"/>
    <x v="2"/>
    <x v="14"/>
    <x v="25"/>
    <x v="1"/>
    <x v="0"/>
    <x v="4"/>
    <x v="3"/>
  </r>
  <r>
    <x v="317"/>
    <x v="44"/>
    <x v="230"/>
    <x v="2"/>
    <x v="5"/>
    <x v="2"/>
    <x v="7"/>
    <x v="2"/>
    <x v="2"/>
    <x v="7"/>
    <x v="25"/>
    <x v="0"/>
    <x v="1"/>
    <x v="2"/>
    <x v="3"/>
  </r>
  <r>
    <x v="318"/>
    <x v="44"/>
    <x v="92"/>
    <x v="2"/>
    <x v="5"/>
    <x v="2"/>
    <x v="4"/>
    <x v="1"/>
    <x v="0"/>
    <x v="4"/>
    <x v="35"/>
    <x v="0"/>
    <x v="0"/>
    <x v="3"/>
    <x v="2"/>
  </r>
  <r>
    <x v="319"/>
    <x v="45"/>
    <x v="231"/>
    <x v="9"/>
    <x v="6"/>
    <x v="0"/>
    <x v="6"/>
    <x v="0"/>
    <x v="2"/>
    <x v="6"/>
    <x v="6"/>
    <x v="0"/>
    <x v="0"/>
    <x v="0"/>
    <x v="2"/>
  </r>
  <r>
    <x v="320"/>
    <x v="45"/>
    <x v="0"/>
    <x v="0"/>
    <x v="6"/>
    <x v="0"/>
    <x v="11"/>
    <x v="1"/>
    <x v="2"/>
    <x v="11"/>
    <x v="24"/>
    <x v="0"/>
    <x v="0"/>
    <x v="0"/>
    <x v="2"/>
  </r>
  <r>
    <x v="321"/>
    <x v="45"/>
    <x v="232"/>
    <x v="11"/>
    <x v="6"/>
    <x v="0"/>
    <x v="7"/>
    <x v="2"/>
    <x v="2"/>
    <x v="7"/>
    <x v="9"/>
    <x v="1"/>
    <x v="0"/>
    <x v="1"/>
    <x v="4"/>
  </r>
  <r>
    <x v="322"/>
    <x v="45"/>
    <x v="233"/>
    <x v="5"/>
    <x v="6"/>
    <x v="0"/>
    <x v="8"/>
    <x v="2"/>
    <x v="2"/>
    <x v="8"/>
    <x v="10"/>
    <x v="0"/>
    <x v="0"/>
    <x v="0"/>
    <x v="0"/>
  </r>
  <r>
    <x v="323"/>
    <x v="45"/>
    <x v="234"/>
    <x v="5"/>
    <x v="6"/>
    <x v="0"/>
    <x v="6"/>
    <x v="0"/>
    <x v="0"/>
    <x v="6"/>
    <x v="2"/>
    <x v="0"/>
    <x v="0"/>
    <x v="2"/>
    <x v="2"/>
  </r>
  <r>
    <x v="324"/>
    <x v="45"/>
    <x v="235"/>
    <x v="1"/>
    <x v="6"/>
    <x v="1"/>
    <x v="0"/>
    <x v="0"/>
    <x v="2"/>
    <x v="0"/>
    <x v="38"/>
    <x v="0"/>
    <x v="1"/>
    <x v="3"/>
    <x v="1"/>
  </r>
  <r>
    <x v="325"/>
    <x v="45"/>
    <x v="158"/>
    <x v="1"/>
    <x v="6"/>
    <x v="0"/>
    <x v="7"/>
    <x v="2"/>
    <x v="0"/>
    <x v="7"/>
    <x v="12"/>
    <x v="1"/>
    <x v="0"/>
    <x v="0"/>
    <x v="0"/>
  </r>
  <r>
    <x v="326"/>
    <x v="45"/>
    <x v="236"/>
    <x v="1"/>
    <x v="6"/>
    <x v="1"/>
    <x v="7"/>
    <x v="2"/>
    <x v="2"/>
    <x v="7"/>
    <x v="9"/>
    <x v="0"/>
    <x v="0"/>
    <x v="2"/>
    <x v="4"/>
  </r>
  <r>
    <x v="327"/>
    <x v="45"/>
    <x v="237"/>
    <x v="1"/>
    <x v="6"/>
    <x v="0"/>
    <x v="6"/>
    <x v="0"/>
    <x v="2"/>
    <x v="6"/>
    <x v="6"/>
    <x v="0"/>
    <x v="0"/>
    <x v="0"/>
    <x v="3"/>
  </r>
  <r>
    <x v="328"/>
    <x v="45"/>
    <x v="168"/>
    <x v="3"/>
    <x v="6"/>
    <x v="1"/>
    <x v="11"/>
    <x v="1"/>
    <x v="2"/>
    <x v="11"/>
    <x v="24"/>
    <x v="0"/>
    <x v="0"/>
    <x v="2"/>
    <x v="4"/>
  </r>
  <r>
    <x v="329"/>
    <x v="45"/>
    <x v="238"/>
    <x v="3"/>
    <x v="6"/>
    <x v="0"/>
    <x v="12"/>
    <x v="4"/>
    <x v="0"/>
    <x v="8"/>
    <x v="21"/>
    <x v="0"/>
    <x v="0"/>
    <x v="0"/>
    <x v="2"/>
  </r>
  <r>
    <x v="330"/>
    <x v="45"/>
    <x v="239"/>
    <x v="3"/>
    <x v="6"/>
    <x v="0"/>
    <x v="8"/>
    <x v="2"/>
    <x v="2"/>
    <x v="8"/>
    <x v="10"/>
    <x v="0"/>
    <x v="0"/>
    <x v="2"/>
    <x v="4"/>
  </r>
  <r>
    <x v="331"/>
    <x v="45"/>
    <x v="86"/>
    <x v="2"/>
    <x v="6"/>
    <x v="0"/>
    <x v="6"/>
    <x v="0"/>
    <x v="2"/>
    <x v="6"/>
    <x v="6"/>
    <x v="0"/>
    <x v="0"/>
    <x v="2"/>
    <x v="2"/>
  </r>
  <r>
    <x v="332"/>
    <x v="46"/>
    <x v="240"/>
    <x v="10"/>
    <x v="0"/>
    <x v="2"/>
    <x v="2"/>
    <x v="2"/>
    <x v="1"/>
    <x v="2"/>
    <x v="54"/>
    <x v="0"/>
    <x v="1"/>
    <x v="3"/>
    <x v="0"/>
  </r>
  <r>
    <x v="333"/>
    <x v="46"/>
    <x v="109"/>
    <x v="0"/>
    <x v="0"/>
    <x v="2"/>
    <x v="2"/>
    <x v="2"/>
    <x v="2"/>
    <x v="2"/>
    <x v="55"/>
    <x v="0"/>
    <x v="3"/>
    <x v="0"/>
    <x v="4"/>
  </r>
  <r>
    <x v="334"/>
    <x v="46"/>
    <x v="81"/>
    <x v="5"/>
    <x v="0"/>
    <x v="2"/>
    <x v="2"/>
    <x v="2"/>
    <x v="2"/>
    <x v="2"/>
    <x v="2"/>
    <x v="0"/>
    <x v="0"/>
    <x v="0"/>
    <x v="0"/>
  </r>
  <r>
    <x v="335"/>
    <x v="46"/>
    <x v="171"/>
    <x v="1"/>
    <x v="0"/>
    <x v="1"/>
    <x v="0"/>
    <x v="0"/>
    <x v="1"/>
    <x v="0"/>
    <x v="2"/>
    <x v="0"/>
    <x v="0"/>
    <x v="0"/>
    <x v="2"/>
  </r>
  <r>
    <x v="336"/>
    <x v="46"/>
    <x v="241"/>
    <x v="3"/>
    <x v="0"/>
    <x v="1"/>
    <x v="11"/>
    <x v="1"/>
    <x v="2"/>
    <x v="11"/>
    <x v="24"/>
    <x v="0"/>
    <x v="0"/>
    <x v="3"/>
    <x v="3"/>
  </r>
  <r>
    <x v="337"/>
    <x v="47"/>
    <x v="141"/>
    <x v="1"/>
    <x v="1"/>
    <x v="1"/>
    <x v="9"/>
    <x v="3"/>
    <x v="2"/>
    <x v="7"/>
    <x v="9"/>
    <x v="0"/>
    <x v="0"/>
    <x v="2"/>
    <x v="1"/>
  </r>
  <r>
    <x v="338"/>
    <x v="47"/>
    <x v="210"/>
    <x v="1"/>
    <x v="1"/>
    <x v="0"/>
    <x v="2"/>
    <x v="2"/>
    <x v="0"/>
    <x v="2"/>
    <x v="10"/>
    <x v="0"/>
    <x v="0"/>
    <x v="0"/>
    <x v="1"/>
  </r>
  <r>
    <x v="339"/>
    <x v="47"/>
    <x v="242"/>
    <x v="1"/>
    <x v="1"/>
    <x v="0"/>
    <x v="9"/>
    <x v="3"/>
    <x v="1"/>
    <x v="7"/>
    <x v="8"/>
    <x v="0"/>
    <x v="0"/>
    <x v="0"/>
    <x v="0"/>
  </r>
  <r>
    <x v="340"/>
    <x v="48"/>
    <x v="243"/>
    <x v="12"/>
    <x v="2"/>
    <x v="2"/>
    <x v="3"/>
    <x v="3"/>
    <x v="2"/>
    <x v="3"/>
    <x v="3"/>
    <x v="1"/>
    <x v="0"/>
    <x v="1"/>
    <x v="2"/>
  </r>
  <r>
    <x v="341"/>
    <x v="48"/>
    <x v="244"/>
    <x v="12"/>
    <x v="2"/>
    <x v="2"/>
    <x v="8"/>
    <x v="2"/>
    <x v="2"/>
    <x v="8"/>
    <x v="10"/>
    <x v="1"/>
    <x v="0"/>
    <x v="0"/>
    <x v="0"/>
  </r>
  <r>
    <x v="342"/>
    <x v="48"/>
    <x v="245"/>
    <x v="2"/>
    <x v="2"/>
    <x v="1"/>
    <x v="0"/>
    <x v="0"/>
    <x v="0"/>
    <x v="0"/>
    <x v="0"/>
    <x v="0"/>
    <x v="0"/>
    <x v="0"/>
    <x v="2"/>
  </r>
  <r>
    <x v="343"/>
    <x v="49"/>
    <x v="246"/>
    <x v="0"/>
    <x v="3"/>
    <x v="0"/>
    <x v="6"/>
    <x v="0"/>
    <x v="0"/>
    <x v="6"/>
    <x v="2"/>
    <x v="1"/>
    <x v="0"/>
    <x v="2"/>
    <x v="1"/>
  </r>
  <r>
    <x v="344"/>
    <x v="49"/>
    <x v="0"/>
    <x v="0"/>
    <x v="3"/>
    <x v="0"/>
    <x v="12"/>
    <x v="4"/>
    <x v="2"/>
    <x v="8"/>
    <x v="10"/>
    <x v="0"/>
    <x v="0"/>
    <x v="0"/>
    <x v="3"/>
  </r>
  <r>
    <x v="345"/>
    <x v="49"/>
    <x v="110"/>
    <x v="12"/>
    <x v="3"/>
    <x v="2"/>
    <x v="10"/>
    <x v="4"/>
    <x v="2"/>
    <x v="10"/>
    <x v="13"/>
    <x v="1"/>
    <x v="0"/>
    <x v="0"/>
    <x v="4"/>
  </r>
  <r>
    <x v="346"/>
    <x v="49"/>
    <x v="247"/>
    <x v="12"/>
    <x v="3"/>
    <x v="0"/>
    <x v="9"/>
    <x v="3"/>
    <x v="2"/>
    <x v="7"/>
    <x v="9"/>
    <x v="0"/>
    <x v="0"/>
    <x v="0"/>
    <x v="2"/>
  </r>
  <r>
    <x v="347"/>
    <x v="49"/>
    <x v="196"/>
    <x v="1"/>
    <x v="3"/>
    <x v="0"/>
    <x v="9"/>
    <x v="3"/>
    <x v="2"/>
    <x v="7"/>
    <x v="9"/>
    <x v="0"/>
    <x v="0"/>
    <x v="1"/>
    <x v="4"/>
  </r>
  <r>
    <x v="348"/>
    <x v="49"/>
    <x v="61"/>
    <x v="1"/>
    <x v="3"/>
    <x v="0"/>
    <x v="11"/>
    <x v="1"/>
    <x v="2"/>
    <x v="11"/>
    <x v="24"/>
    <x v="0"/>
    <x v="0"/>
    <x v="1"/>
    <x v="1"/>
  </r>
  <r>
    <x v="349"/>
    <x v="49"/>
    <x v="52"/>
    <x v="3"/>
    <x v="3"/>
    <x v="0"/>
    <x v="0"/>
    <x v="0"/>
    <x v="2"/>
    <x v="0"/>
    <x v="7"/>
    <x v="1"/>
    <x v="0"/>
    <x v="0"/>
    <x v="1"/>
  </r>
  <r>
    <x v="350"/>
    <x v="49"/>
    <x v="248"/>
    <x v="3"/>
    <x v="3"/>
    <x v="2"/>
    <x v="0"/>
    <x v="0"/>
    <x v="0"/>
    <x v="0"/>
    <x v="0"/>
    <x v="1"/>
    <x v="0"/>
    <x v="0"/>
    <x v="4"/>
  </r>
  <r>
    <x v="351"/>
    <x v="49"/>
    <x v="249"/>
    <x v="3"/>
    <x v="3"/>
    <x v="0"/>
    <x v="7"/>
    <x v="2"/>
    <x v="2"/>
    <x v="7"/>
    <x v="9"/>
    <x v="0"/>
    <x v="0"/>
    <x v="0"/>
    <x v="1"/>
  </r>
  <r>
    <x v="352"/>
    <x v="50"/>
    <x v="64"/>
    <x v="7"/>
    <x v="4"/>
    <x v="0"/>
    <x v="5"/>
    <x v="1"/>
    <x v="0"/>
    <x v="5"/>
    <x v="47"/>
    <x v="0"/>
    <x v="1"/>
    <x v="0"/>
    <x v="0"/>
  </r>
  <r>
    <x v="353"/>
    <x v="50"/>
    <x v="250"/>
    <x v="11"/>
    <x v="4"/>
    <x v="2"/>
    <x v="2"/>
    <x v="2"/>
    <x v="2"/>
    <x v="2"/>
    <x v="2"/>
    <x v="0"/>
    <x v="0"/>
    <x v="0"/>
    <x v="0"/>
  </r>
  <r>
    <x v="354"/>
    <x v="50"/>
    <x v="251"/>
    <x v="6"/>
    <x v="4"/>
    <x v="1"/>
    <x v="7"/>
    <x v="2"/>
    <x v="2"/>
    <x v="7"/>
    <x v="9"/>
    <x v="0"/>
    <x v="0"/>
    <x v="0"/>
    <x v="1"/>
  </r>
  <r>
    <x v="355"/>
    <x v="50"/>
    <x v="252"/>
    <x v="8"/>
    <x v="4"/>
    <x v="0"/>
    <x v="8"/>
    <x v="2"/>
    <x v="1"/>
    <x v="8"/>
    <x v="5"/>
    <x v="1"/>
    <x v="0"/>
    <x v="1"/>
    <x v="1"/>
  </r>
  <r>
    <x v="356"/>
    <x v="50"/>
    <x v="253"/>
    <x v="1"/>
    <x v="4"/>
    <x v="0"/>
    <x v="8"/>
    <x v="2"/>
    <x v="2"/>
    <x v="8"/>
    <x v="10"/>
    <x v="0"/>
    <x v="0"/>
    <x v="0"/>
    <x v="2"/>
  </r>
  <r>
    <x v="357"/>
    <x v="51"/>
    <x v="254"/>
    <x v="7"/>
    <x v="5"/>
    <x v="0"/>
    <x v="7"/>
    <x v="2"/>
    <x v="0"/>
    <x v="7"/>
    <x v="12"/>
    <x v="0"/>
    <x v="0"/>
    <x v="2"/>
    <x v="1"/>
  </r>
  <r>
    <x v="358"/>
    <x v="51"/>
    <x v="255"/>
    <x v="7"/>
    <x v="5"/>
    <x v="2"/>
    <x v="4"/>
    <x v="1"/>
    <x v="2"/>
    <x v="4"/>
    <x v="15"/>
    <x v="0"/>
    <x v="0"/>
    <x v="0"/>
    <x v="2"/>
  </r>
  <r>
    <x v="359"/>
    <x v="51"/>
    <x v="256"/>
    <x v="7"/>
    <x v="5"/>
    <x v="2"/>
    <x v="6"/>
    <x v="0"/>
    <x v="2"/>
    <x v="6"/>
    <x v="56"/>
    <x v="0"/>
    <x v="1"/>
    <x v="0"/>
    <x v="2"/>
  </r>
  <r>
    <x v="360"/>
    <x v="51"/>
    <x v="257"/>
    <x v="0"/>
    <x v="5"/>
    <x v="2"/>
    <x v="4"/>
    <x v="1"/>
    <x v="2"/>
    <x v="4"/>
    <x v="15"/>
    <x v="0"/>
    <x v="0"/>
    <x v="0"/>
    <x v="3"/>
  </r>
  <r>
    <x v="361"/>
    <x v="51"/>
    <x v="258"/>
    <x v="1"/>
    <x v="5"/>
    <x v="1"/>
    <x v="7"/>
    <x v="2"/>
    <x v="1"/>
    <x v="7"/>
    <x v="8"/>
    <x v="0"/>
    <x v="0"/>
    <x v="1"/>
    <x v="3"/>
  </r>
  <r>
    <x v="362"/>
    <x v="51"/>
    <x v="143"/>
    <x v="1"/>
    <x v="5"/>
    <x v="2"/>
    <x v="3"/>
    <x v="3"/>
    <x v="2"/>
    <x v="3"/>
    <x v="3"/>
    <x v="0"/>
    <x v="0"/>
    <x v="0"/>
    <x v="0"/>
  </r>
  <r>
    <x v="363"/>
    <x v="51"/>
    <x v="259"/>
    <x v="1"/>
    <x v="5"/>
    <x v="2"/>
    <x v="2"/>
    <x v="2"/>
    <x v="2"/>
    <x v="2"/>
    <x v="2"/>
    <x v="0"/>
    <x v="0"/>
    <x v="0"/>
    <x v="3"/>
  </r>
  <r>
    <x v="364"/>
    <x v="51"/>
    <x v="242"/>
    <x v="1"/>
    <x v="5"/>
    <x v="0"/>
    <x v="3"/>
    <x v="3"/>
    <x v="0"/>
    <x v="3"/>
    <x v="14"/>
    <x v="0"/>
    <x v="0"/>
    <x v="0"/>
    <x v="3"/>
  </r>
  <r>
    <x v="365"/>
    <x v="51"/>
    <x v="260"/>
    <x v="3"/>
    <x v="5"/>
    <x v="1"/>
    <x v="5"/>
    <x v="1"/>
    <x v="1"/>
    <x v="5"/>
    <x v="28"/>
    <x v="0"/>
    <x v="0"/>
    <x v="0"/>
    <x v="1"/>
  </r>
  <r>
    <x v="366"/>
    <x v="51"/>
    <x v="9"/>
    <x v="3"/>
    <x v="5"/>
    <x v="0"/>
    <x v="4"/>
    <x v="1"/>
    <x v="2"/>
    <x v="4"/>
    <x v="15"/>
    <x v="0"/>
    <x v="0"/>
    <x v="0"/>
    <x v="2"/>
  </r>
  <r>
    <x v="367"/>
    <x v="51"/>
    <x v="56"/>
    <x v="3"/>
    <x v="5"/>
    <x v="1"/>
    <x v="1"/>
    <x v="1"/>
    <x v="0"/>
    <x v="1"/>
    <x v="16"/>
    <x v="0"/>
    <x v="0"/>
    <x v="0"/>
    <x v="0"/>
  </r>
  <r>
    <x v="368"/>
    <x v="52"/>
    <x v="36"/>
    <x v="10"/>
    <x v="6"/>
    <x v="0"/>
    <x v="7"/>
    <x v="2"/>
    <x v="2"/>
    <x v="7"/>
    <x v="9"/>
    <x v="1"/>
    <x v="0"/>
    <x v="1"/>
    <x v="4"/>
  </r>
  <r>
    <x v="369"/>
    <x v="52"/>
    <x v="87"/>
    <x v="10"/>
    <x v="6"/>
    <x v="2"/>
    <x v="14"/>
    <x v="3"/>
    <x v="2"/>
    <x v="14"/>
    <x v="25"/>
    <x v="1"/>
    <x v="0"/>
    <x v="0"/>
    <x v="0"/>
  </r>
  <r>
    <x v="370"/>
    <x v="52"/>
    <x v="190"/>
    <x v="7"/>
    <x v="6"/>
    <x v="0"/>
    <x v="7"/>
    <x v="2"/>
    <x v="2"/>
    <x v="7"/>
    <x v="46"/>
    <x v="0"/>
    <x v="3"/>
    <x v="0"/>
    <x v="0"/>
  </r>
  <r>
    <x v="371"/>
    <x v="52"/>
    <x v="261"/>
    <x v="0"/>
    <x v="6"/>
    <x v="0"/>
    <x v="3"/>
    <x v="3"/>
    <x v="2"/>
    <x v="3"/>
    <x v="3"/>
    <x v="0"/>
    <x v="0"/>
    <x v="0"/>
    <x v="1"/>
  </r>
  <r>
    <x v="372"/>
    <x v="52"/>
    <x v="262"/>
    <x v="0"/>
    <x v="6"/>
    <x v="0"/>
    <x v="13"/>
    <x v="0"/>
    <x v="1"/>
    <x v="2"/>
    <x v="40"/>
    <x v="0"/>
    <x v="0"/>
    <x v="0"/>
    <x v="3"/>
  </r>
  <r>
    <x v="373"/>
    <x v="52"/>
    <x v="263"/>
    <x v="12"/>
    <x v="6"/>
    <x v="2"/>
    <x v="7"/>
    <x v="2"/>
    <x v="2"/>
    <x v="7"/>
    <x v="9"/>
    <x v="0"/>
    <x v="0"/>
    <x v="0"/>
    <x v="3"/>
  </r>
  <r>
    <x v="374"/>
    <x v="52"/>
    <x v="194"/>
    <x v="8"/>
    <x v="6"/>
    <x v="1"/>
    <x v="4"/>
    <x v="1"/>
    <x v="2"/>
    <x v="4"/>
    <x v="15"/>
    <x v="0"/>
    <x v="0"/>
    <x v="0"/>
    <x v="3"/>
  </r>
  <r>
    <x v="375"/>
    <x v="52"/>
    <x v="264"/>
    <x v="5"/>
    <x v="6"/>
    <x v="0"/>
    <x v="0"/>
    <x v="0"/>
    <x v="0"/>
    <x v="0"/>
    <x v="0"/>
    <x v="0"/>
    <x v="0"/>
    <x v="3"/>
    <x v="2"/>
  </r>
  <r>
    <x v="376"/>
    <x v="52"/>
    <x v="265"/>
    <x v="1"/>
    <x v="6"/>
    <x v="0"/>
    <x v="11"/>
    <x v="1"/>
    <x v="2"/>
    <x v="11"/>
    <x v="45"/>
    <x v="0"/>
    <x v="1"/>
    <x v="3"/>
    <x v="0"/>
  </r>
  <r>
    <x v="377"/>
    <x v="52"/>
    <x v="266"/>
    <x v="1"/>
    <x v="6"/>
    <x v="2"/>
    <x v="10"/>
    <x v="4"/>
    <x v="2"/>
    <x v="10"/>
    <x v="13"/>
    <x v="0"/>
    <x v="0"/>
    <x v="0"/>
    <x v="3"/>
  </r>
  <r>
    <x v="378"/>
    <x v="52"/>
    <x v="30"/>
    <x v="3"/>
    <x v="6"/>
    <x v="2"/>
    <x v="6"/>
    <x v="0"/>
    <x v="2"/>
    <x v="6"/>
    <x v="6"/>
    <x v="0"/>
    <x v="0"/>
    <x v="0"/>
    <x v="1"/>
  </r>
  <r>
    <x v="379"/>
    <x v="52"/>
    <x v="267"/>
    <x v="3"/>
    <x v="6"/>
    <x v="2"/>
    <x v="6"/>
    <x v="0"/>
    <x v="2"/>
    <x v="6"/>
    <x v="6"/>
    <x v="0"/>
    <x v="0"/>
    <x v="0"/>
    <x v="3"/>
  </r>
  <r>
    <x v="380"/>
    <x v="52"/>
    <x v="144"/>
    <x v="2"/>
    <x v="6"/>
    <x v="0"/>
    <x v="0"/>
    <x v="0"/>
    <x v="2"/>
    <x v="0"/>
    <x v="38"/>
    <x v="0"/>
    <x v="1"/>
    <x v="0"/>
    <x v="0"/>
  </r>
  <r>
    <x v="381"/>
    <x v="52"/>
    <x v="268"/>
    <x v="4"/>
    <x v="6"/>
    <x v="1"/>
    <x v="6"/>
    <x v="0"/>
    <x v="2"/>
    <x v="6"/>
    <x v="6"/>
    <x v="1"/>
    <x v="0"/>
    <x v="0"/>
    <x v="0"/>
  </r>
  <r>
    <x v="382"/>
    <x v="53"/>
    <x v="269"/>
    <x v="8"/>
    <x v="0"/>
    <x v="0"/>
    <x v="7"/>
    <x v="2"/>
    <x v="2"/>
    <x v="7"/>
    <x v="46"/>
    <x v="0"/>
    <x v="3"/>
    <x v="0"/>
    <x v="4"/>
  </r>
  <r>
    <x v="383"/>
    <x v="53"/>
    <x v="270"/>
    <x v="4"/>
    <x v="0"/>
    <x v="0"/>
    <x v="0"/>
    <x v="0"/>
    <x v="2"/>
    <x v="0"/>
    <x v="7"/>
    <x v="1"/>
    <x v="0"/>
    <x v="0"/>
    <x v="1"/>
  </r>
  <r>
    <x v="384"/>
    <x v="54"/>
    <x v="271"/>
    <x v="9"/>
    <x v="1"/>
    <x v="0"/>
    <x v="6"/>
    <x v="0"/>
    <x v="2"/>
    <x v="6"/>
    <x v="6"/>
    <x v="0"/>
    <x v="0"/>
    <x v="2"/>
    <x v="2"/>
  </r>
  <r>
    <x v="385"/>
    <x v="54"/>
    <x v="272"/>
    <x v="7"/>
    <x v="1"/>
    <x v="0"/>
    <x v="0"/>
    <x v="0"/>
    <x v="2"/>
    <x v="0"/>
    <x v="7"/>
    <x v="0"/>
    <x v="0"/>
    <x v="2"/>
    <x v="3"/>
  </r>
  <r>
    <x v="386"/>
    <x v="54"/>
    <x v="273"/>
    <x v="6"/>
    <x v="1"/>
    <x v="2"/>
    <x v="0"/>
    <x v="0"/>
    <x v="2"/>
    <x v="0"/>
    <x v="7"/>
    <x v="0"/>
    <x v="0"/>
    <x v="0"/>
    <x v="4"/>
  </r>
  <r>
    <x v="387"/>
    <x v="54"/>
    <x v="203"/>
    <x v="5"/>
    <x v="1"/>
    <x v="2"/>
    <x v="7"/>
    <x v="2"/>
    <x v="0"/>
    <x v="7"/>
    <x v="22"/>
    <x v="0"/>
    <x v="3"/>
    <x v="0"/>
    <x v="4"/>
  </r>
  <r>
    <x v="388"/>
    <x v="54"/>
    <x v="274"/>
    <x v="5"/>
    <x v="1"/>
    <x v="1"/>
    <x v="11"/>
    <x v="1"/>
    <x v="0"/>
    <x v="11"/>
    <x v="39"/>
    <x v="0"/>
    <x v="0"/>
    <x v="0"/>
    <x v="1"/>
  </r>
  <r>
    <x v="389"/>
    <x v="54"/>
    <x v="167"/>
    <x v="5"/>
    <x v="1"/>
    <x v="0"/>
    <x v="6"/>
    <x v="0"/>
    <x v="2"/>
    <x v="6"/>
    <x v="6"/>
    <x v="1"/>
    <x v="0"/>
    <x v="0"/>
    <x v="1"/>
  </r>
  <r>
    <x v="390"/>
    <x v="54"/>
    <x v="275"/>
    <x v="1"/>
    <x v="1"/>
    <x v="2"/>
    <x v="4"/>
    <x v="1"/>
    <x v="2"/>
    <x v="4"/>
    <x v="15"/>
    <x v="1"/>
    <x v="0"/>
    <x v="0"/>
    <x v="0"/>
  </r>
  <r>
    <x v="391"/>
    <x v="54"/>
    <x v="7"/>
    <x v="1"/>
    <x v="1"/>
    <x v="0"/>
    <x v="3"/>
    <x v="3"/>
    <x v="2"/>
    <x v="3"/>
    <x v="3"/>
    <x v="0"/>
    <x v="0"/>
    <x v="0"/>
    <x v="3"/>
  </r>
  <r>
    <x v="392"/>
    <x v="54"/>
    <x v="2"/>
    <x v="1"/>
    <x v="1"/>
    <x v="0"/>
    <x v="12"/>
    <x v="4"/>
    <x v="0"/>
    <x v="8"/>
    <x v="21"/>
    <x v="1"/>
    <x v="0"/>
    <x v="0"/>
    <x v="3"/>
  </r>
  <r>
    <x v="393"/>
    <x v="54"/>
    <x v="276"/>
    <x v="1"/>
    <x v="1"/>
    <x v="0"/>
    <x v="7"/>
    <x v="2"/>
    <x v="2"/>
    <x v="7"/>
    <x v="9"/>
    <x v="0"/>
    <x v="0"/>
    <x v="0"/>
    <x v="3"/>
  </r>
  <r>
    <x v="394"/>
    <x v="54"/>
    <x v="196"/>
    <x v="1"/>
    <x v="1"/>
    <x v="1"/>
    <x v="0"/>
    <x v="0"/>
    <x v="2"/>
    <x v="0"/>
    <x v="7"/>
    <x v="0"/>
    <x v="0"/>
    <x v="0"/>
    <x v="3"/>
  </r>
  <r>
    <x v="395"/>
    <x v="54"/>
    <x v="277"/>
    <x v="3"/>
    <x v="1"/>
    <x v="2"/>
    <x v="9"/>
    <x v="3"/>
    <x v="2"/>
    <x v="7"/>
    <x v="9"/>
    <x v="0"/>
    <x v="0"/>
    <x v="0"/>
    <x v="0"/>
  </r>
  <r>
    <x v="396"/>
    <x v="54"/>
    <x v="46"/>
    <x v="3"/>
    <x v="1"/>
    <x v="0"/>
    <x v="8"/>
    <x v="2"/>
    <x v="2"/>
    <x v="8"/>
    <x v="10"/>
    <x v="0"/>
    <x v="0"/>
    <x v="0"/>
    <x v="1"/>
  </r>
  <r>
    <x v="397"/>
    <x v="54"/>
    <x v="278"/>
    <x v="3"/>
    <x v="1"/>
    <x v="0"/>
    <x v="10"/>
    <x v="4"/>
    <x v="2"/>
    <x v="10"/>
    <x v="13"/>
    <x v="1"/>
    <x v="0"/>
    <x v="0"/>
    <x v="2"/>
  </r>
  <r>
    <x v="398"/>
    <x v="55"/>
    <x v="279"/>
    <x v="8"/>
    <x v="2"/>
    <x v="0"/>
    <x v="9"/>
    <x v="3"/>
    <x v="2"/>
    <x v="7"/>
    <x v="9"/>
    <x v="1"/>
    <x v="0"/>
    <x v="0"/>
    <x v="1"/>
  </r>
  <r>
    <x v="399"/>
    <x v="55"/>
    <x v="237"/>
    <x v="1"/>
    <x v="2"/>
    <x v="0"/>
    <x v="9"/>
    <x v="3"/>
    <x v="2"/>
    <x v="7"/>
    <x v="3"/>
    <x v="1"/>
    <x v="2"/>
    <x v="0"/>
    <x v="0"/>
  </r>
  <r>
    <x v="400"/>
    <x v="55"/>
    <x v="202"/>
    <x v="1"/>
    <x v="2"/>
    <x v="0"/>
    <x v="9"/>
    <x v="3"/>
    <x v="2"/>
    <x v="7"/>
    <x v="9"/>
    <x v="0"/>
    <x v="0"/>
    <x v="1"/>
    <x v="1"/>
  </r>
  <r>
    <x v="401"/>
    <x v="55"/>
    <x v="242"/>
    <x v="1"/>
    <x v="2"/>
    <x v="0"/>
    <x v="13"/>
    <x v="0"/>
    <x v="2"/>
    <x v="2"/>
    <x v="2"/>
    <x v="0"/>
    <x v="0"/>
    <x v="0"/>
    <x v="2"/>
  </r>
  <r>
    <x v="402"/>
    <x v="56"/>
    <x v="280"/>
    <x v="7"/>
    <x v="3"/>
    <x v="0"/>
    <x v="7"/>
    <x v="2"/>
    <x v="0"/>
    <x v="7"/>
    <x v="12"/>
    <x v="0"/>
    <x v="0"/>
    <x v="0"/>
    <x v="4"/>
  </r>
  <r>
    <x v="403"/>
    <x v="56"/>
    <x v="98"/>
    <x v="7"/>
    <x v="3"/>
    <x v="0"/>
    <x v="3"/>
    <x v="3"/>
    <x v="2"/>
    <x v="3"/>
    <x v="3"/>
    <x v="1"/>
    <x v="0"/>
    <x v="0"/>
    <x v="0"/>
  </r>
  <r>
    <x v="404"/>
    <x v="56"/>
    <x v="281"/>
    <x v="1"/>
    <x v="3"/>
    <x v="0"/>
    <x v="2"/>
    <x v="2"/>
    <x v="2"/>
    <x v="2"/>
    <x v="57"/>
    <x v="1"/>
    <x v="2"/>
    <x v="0"/>
    <x v="1"/>
  </r>
  <r>
    <x v="405"/>
    <x v="56"/>
    <x v="143"/>
    <x v="1"/>
    <x v="3"/>
    <x v="0"/>
    <x v="6"/>
    <x v="0"/>
    <x v="2"/>
    <x v="6"/>
    <x v="6"/>
    <x v="0"/>
    <x v="0"/>
    <x v="0"/>
    <x v="0"/>
  </r>
  <r>
    <x v="406"/>
    <x v="56"/>
    <x v="282"/>
    <x v="1"/>
    <x v="3"/>
    <x v="2"/>
    <x v="12"/>
    <x v="4"/>
    <x v="2"/>
    <x v="8"/>
    <x v="10"/>
    <x v="1"/>
    <x v="0"/>
    <x v="0"/>
    <x v="2"/>
  </r>
  <r>
    <x v="407"/>
    <x v="57"/>
    <x v="283"/>
    <x v="10"/>
    <x v="4"/>
    <x v="2"/>
    <x v="8"/>
    <x v="2"/>
    <x v="2"/>
    <x v="8"/>
    <x v="10"/>
    <x v="0"/>
    <x v="0"/>
    <x v="2"/>
    <x v="4"/>
  </r>
  <r>
    <x v="408"/>
    <x v="57"/>
    <x v="284"/>
    <x v="10"/>
    <x v="4"/>
    <x v="0"/>
    <x v="4"/>
    <x v="1"/>
    <x v="2"/>
    <x v="4"/>
    <x v="15"/>
    <x v="1"/>
    <x v="0"/>
    <x v="2"/>
    <x v="0"/>
  </r>
  <r>
    <x v="409"/>
    <x v="57"/>
    <x v="147"/>
    <x v="10"/>
    <x v="4"/>
    <x v="0"/>
    <x v="0"/>
    <x v="0"/>
    <x v="0"/>
    <x v="0"/>
    <x v="0"/>
    <x v="0"/>
    <x v="0"/>
    <x v="1"/>
    <x v="1"/>
  </r>
  <r>
    <x v="410"/>
    <x v="57"/>
    <x v="285"/>
    <x v="0"/>
    <x v="4"/>
    <x v="0"/>
    <x v="8"/>
    <x v="2"/>
    <x v="2"/>
    <x v="8"/>
    <x v="10"/>
    <x v="0"/>
    <x v="0"/>
    <x v="0"/>
    <x v="2"/>
  </r>
  <r>
    <x v="411"/>
    <x v="57"/>
    <x v="286"/>
    <x v="0"/>
    <x v="4"/>
    <x v="2"/>
    <x v="6"/>
    <x v="0"/>
    <x v="2"/>
    <x v="6"/>
    <x v="6"/>
    <x v="0"/>
    <x v="0"/>
    <x v="1"/>
    <x v="3"/>
  </r>
  <r>
    <x v="412"/>
    <x v="57"/>
    <x v="287"/>
    <x v="12"/>
    <x v="4"/>
    <x v="2"/>
    <x v="2"/>
    <x v="2"/>
    <x v="2"/>
    <x v="2"/>
    <x v="2"/>
    <x v="1"/>
    <x v="0"/>
    <x v="2"/>
    <x v="4"/>
  </r>
  <r>
    <x v="413"/>
    <x v="57"/>
    <x v="50"/>
    <x v="5"/>
    <x v="4"/>
    <x v="0"/>
    <x v="1"/>
    <x v="1"/>
    <x v="0"/>
    <x v="1"/>
    <x v="16"/>
    <x v="0"/>
    <x v="0"/>
    <x v="0"/>
    <x v="1"/>
  </r>
  <r>
    <x v="414"/>
    <x v="57"/>
    <x v="54"/>
    <x v="1"/>
    <x v="4"/>
    <x v="2"/>
    <x v="4"/>
    <x v="1"/>
    <x v="0"/>
    <x v="4"/>
    <x v="35"/>
    <x v="0"/>
    <x v="0"/>
    <x v="2"/>
    <x v="0"/>
  </r>
  <r>
    <x v="415"/>
    <x v="57"/>
    <x v="122"/>
    <x v="1"/>
    <x v="4"/>
    <x v="0"/>
    <x v="6"/>
    <x v="0"/>
    <x v="2"/>
    <x v="6"/>
    <x v="56"/>
    <x v="0"/>
    <x v="1"/>
    <x v="0"/>
    <x v="4"/>
  </r>
  <r>
    <x v="416"/>
    <x v="57"/>
    <x v="71"/>
    <x v="3"/>
    <x v="4"/>
    <x v="2"/>
    <x v="6"/>
    <x v="0"/>
    <x v="2"/>
    <x v="6"/>
    <x v="6"/>
    <x v="0"/>
    <x v="0"/>
    <x v="0"/>
    <x v="2"/>
  </r>
  <r>
    <x v="417"/>
    <x v="57"/>
    <x v="288"/>
    <x v="2"/>
    <x v="4"/>
    <x v="0"/>
    <x v="0"/>
    <x v="0"/>
    <x v="2"/>
    <x v="0"/>
    <x v="31"/>
    <x v="1"/>
    <x v="2"/>
    <x v="3"/>
    <x v="2"/>
  </r>
  <r>
    <x v="418"/>
    <x v="57"/>
    <x v="289"/>
    <x v="2"/>
    <x v="4"/>
    <x v="1"/>
    <x v="4"/>
    <x v="1"/>
    <x v="2"/>
    <x v="4"/>
    <x v="15"/>
    <x v="0"/>
    <x v="0"/>
    <x v="0"/>
    <x v="3"/>
  </r>
  <r>
    <x v="419"/>
    <x v="57"/>
    <x v="207"/>
    <x v="4"/>
    <x v="4"/>
    <x v="0"/>
    <x v="5"/>
    <x v="1"/>
    <x v="0"/>
    <x v="5"/>
    <x v="17"/>
    <x v="1"/>
    <x v="0"/>
    <x v="2"/>
    <x v="3"/>
  </r>
  <r>
    <x v="420"/>
    <x v="57"/>
    <x v="74"/>
    <x v="4"/>
    <x v="4"/>
    <x v="2"/>
    <x v="0"/>
    <x v="0"/>
    <x v="0"/>
    <x v="0"/>
    <x v="0"/>
    <x v="0"/>
    <x v="0"/>
    <x v="2"/>
    <x v="3"/>
  </r>
  <r>
    <x v="421"/>
    <x v="57"/>
    <x v="290"/>
    <x v="4"/>
    <x v="4"/>
    <x v="0"/>
    <x v="10"/>
    <x v="4"/>
    <x v="2"/>
    <x v="10"/>
    <x v="13"/>
    <x v="1"/>
    <x v="0"/>
    <x v="2"/>
    <x v="0"/>
  </r>
  <r>
    <x v="422"/>
    <x v="58"/>
    <x v="291"/>
    <x v="12"/>
    <x v="5"/>
    <x v="1"/>
    <x v="7"/>
    <x v="2"/>
    <x v="2"/>
    <x v="7"/>
    <x v="9"/>
    <x v="0"/>
    <x v="0"/>
    <x v="0"/>
    <x v="0"/>
  </r>
  <r>
    <x v="423"/>
    <x v="58"/>
    <x v="292"/>
    <x v="8"/>
    <x v="5"/>
    <x v="2"/>
    <x v="5"/>
    <x v="1"/>
    <x v="0"/>
    <x v="5"/>
    <x v="17"/>
    <x v="0"/>
    <x v="0"/>
    <x v="1"/>
    <x v="0"/>
  </r>
  <r>
    <x v="424"/>
    <x v="58"/>
    <x v="293"/>
    <x v="5"/>
    <x v="5"/>
    <x v="1"/>
    <x v="3"/>
    <x v="3"/>
    <x v="2"/>
    <x v="3"/>
    <x v="48"/>
    <x v="1"/>
    <x v="3"/>
    <x v="2"/>
    <x v="1"/>
  </r>
  <r>
    <x v="425"/>
    <x v="58"/>
    <x v="294"/>
    <x v="5"/>
    <x v="5"/>
    <x v="0"/>
    <x v="1"/>
    <x v="1"/>
    <x v="2"/>
    <x v="1"/>
    <x v="8"/>
    <x v="0"/>
    <x v="0"/>
    <x v="0"/>
    <x v="4"/>
  </r>
  <r>
    <x v="426"/>
    <x v="58"/>
    <x v="56"/>
    <x v="3"/>
    <x v="5"/>
    <x v="0"/>
    <x v="0"/>
    <x v="0"/>
    <x v="2"/>
    <x v="0"/>
    <x v="7"/>
    <x v="0"/>
    <x v="0"/>
    <x v="0"/>
    <x v="0"/>
  </r>
  <r>
    <x v="427"/>
    <x v="58"/>
    <x v="162"/>
    <x v="3"/>
    <x v="5"/>
    <x v="1"/>
    <x v="6"/>
    <x v="0"/>
    <x v="2"/>
    <x v="6"/>
    <x v="6"/>
    <x v="0"/>
    <x v="0"/>
    <x v="0"/>
    <x v="1"/>
  </r>
  <r>
    <x v="428"/>
    <x v="58"/>
    <x v="278"/>
    <x v="3"/>
    <x v="5"/>
    <x v="2"/>
    <x v="7"/>
    <x v="2"/>
    <x v="2"/>
    <x v="7"/>
    <x v="25"/>
    <x v="0"/>
    <x v="1"/>
    <x v="0"/>
    <x v="2"/>
  </r>
  <r>
    <x v="429"/>
    <x v="58"/>
    <x v="239"/>
    <x v="3"/>
    <x v="5"/>
    <x v="1"/>
    <x v="6"/>
    <x v="0"/>
    <x v="0"/>
    <x v="6"/>
    <x v="2"/>
    <x v="0"/>
    <x v="0"/>
    <x v="0"/>
    <x v="1"/>
  </r>
  <r>
    <x v="430"/>
    <x v="58"/>
    <x v="295"/>
    <x v="2"/>
    <x v="5"/>
    <x v="0"/>
    <x v="11"/>
    <x v="1"/>
    <x v="2"/>
    <x v="11"/>
    <x v="24"/>
    <x v="0"/>
    <x v="0"/>
    <x v="1"/>
    <x v="1"/>
  </r>
  <r>
    <x v="431"/>
    <x v="58"/>
    <x v="296"/>
    <x v="2"/>
    <x v="5"/>
    <x v="0"/>
    <x v="10"/>
    <x v="4"/>
    <x v="2"/>
    <x v="10"/>
    <x v="13"/>
    <x v="0"/>
    <x v="0"/>
    <x v="0"/>
    <x v="3"/>
  </r>
  <r>
    <x v="432"/>
    <x v="58"/>
    <x v="14"/>
    <x v="2"/>
    <x v="5"/>
    <x v="1"/>
    <x v="4"/>
    <x v="1"/>
    <x v="0"/>
    <x v="4"/>
    <x v="35"/>
    <x v="0"/>
    <x v="0"/>
    <x v="0"/>
    <x v="1"/>
  </r>
  <r>
    <x v="433"/>
    <x v="58"/>
    <x v="297"/>
    <x v="2"/>
    <x v="5"/>
    <x v="0"/>
    <x v="7"/>
    <x v="2"/>
    <x v="2"/>
    <x v="14"/>
    <x v="58"/>
    <x v="1"/>
    <x v="1"/>
    <x v="2"/>
    <x v="1"/>
  </r>
  <r>
    <x v="434"/>
    <x v="59"/>
    <x v="147"/>
    <x v="10"/>
    <x v="6"/>
    <x v="0"/>
    <x v="7"/>
    <x v="2"/>
    <x v="2"/>
    <x v="7"/>
    <x v="9"/>
    <x v="0"/>
    <x v="0"/>
    <x v="3"/>
    <x v="0"/>
  </r>
  <r>
    <x v="435"/>
    <x v="59"/>
    <x v="298"/>
    <x v="12"/>
    <x v="6"/>
    <x v="2"/>
    <x v="6"/>
    <x v="0"/>
    <x v="2"/>
    <x v="6"/>
    <x v="6"/>
    <x v="0"/>
    <x v="0"/>
    <x v="0"/>
    <x v="2"/>
  </r>
  <r>
    <x v="436"/>
    <x v="59"/>
    <x v="299"/>
    <x v="8"/>
    <x v="6"/>
    <x v="2"/>
    <x v="11"/>
    <x v="1"/>
    <x v="2"/>
    <x v="11"/>
    <x v="24"/>
    <x v="0"/>
    <x v="0"/>
    <x v="0"/>
    <x v="1"/>
  </r>
  <r>
    <x v="437"/>
    <x v="59"/>
    <x v="195"/>
    <x v="5"/>
    <x v="6"/>
    <x v="1"/>
    <x v="8"/>
    <x v="2"/>
    <x v="0"/>
    <x v="8"/>
    <x v="59"/>
    <x v="0"/>
    <x v="2"/>
    <x v="0"/>
    <x v="2"/>
  </r>
  <r>
    <x v="438"/>
    <x v="59"/>
    <x v="300"/>
    <x v="5"/>
    <x v="6"/>
    <x v="2"/>
    <x v="4"/>
    <x v="1"/>
    <x v="0"/>
    <x v="4"/>
    <x v="35"/>
    <x v="0"/>
    <x v="0"/>
    <x v="2"/>
    <x v="2"/>
  </r>
  <r>
    <x v="439"/>
    <x v="59"/>
    <x v="258"/>
    <x v="1"/>
    <x v="6"/>
    <x v="2"/>
    <x v="2"/>
    <x v="2"/>
    <x v="0"/>
    <x v="2"/>
    <x v="10"/>
    <x v="1"/>
    <x v="0"/>
    <x v="0"/>
    <x v="1"/>
  </r>
  <r>
    <x v="440"/>
    <x v="59"/>
    <x v="114"/>
    <x v="1"/>
    <x v="6"/>
    <x v="0"/>
    <x v="8"/>
    <x v="2"/>
    <x v="2"/>
    <x v="8"/>
    <x v="10"/>
    <x v="0"/>
    <x v="0"/>
    <x v="0"/>
    <x v="0"/>
  </r>
  <r>
    <x v="441"/>
    <x v="59"/>
    <x v="301"/>
    <x v="3"/>
    <x v="6"/>
    <x v="0"/>
    <x v="2"/>
    <x v="2"/>
    <x v="0"/>
    <x v="2"/>
    <x v="10"/>
    <x v="1"/>
    <x v="0"/>
    <x v="0"/>
    <x v="4"/>
  </r>
  <r>
    <x v="442"/>
    <x v="59"/>
    <x v="163"/>
    <x v="3"/>
    <x v="6"/>
    <x v="0"/>
    <x v="7"/>
    <x v="2"/>
    <x v="2"/>
    <x v="7"/>
    <x v="9"/>
    <x v="1"/>
    <x v="0"/>
    <x v="0"/>
    <x v="3"/>
  </r>
  <r>
    <x v="443"/>
    <x v="59"/>
    <x v="278"/>
    <x v="3"/>
    <x v="6"/>
    <x v="0"/>
    <x v="6"/>
    <x v="0"/>
    <x v="2"/>
    <x v="6"/>
    <x v="6"/>
    <x v="0"/>
    <x v="0"/>
    <x v="2"/>
    <x v="2"/>
  </r>
  <r>
    <x v="444"/>
    <x v="59"/>
    <x v="230"/>
    <x v="2"/>
    <x v="6"/>
    <x v="1"/>
    <x v="7"/>
    <x v="2"/>
    <x v="2"/>
    <x v="7"/>
    <x v="9"/>
    <x v="0"/>
    <x v="0"/>
    <x v="0"/>
    <x v="1"/>
  </r>
  <r>
    <x v="445"/>
    <x v="59"/>
    <x v="302"/>
    <x v="4"/>
    <x v="6"/>
    <x v="2"/>
    <x v="4"/>
    <x v="1"/>
    <x v="2"/>
    <x v="4"/>
    <x v="15"/>
    <x v="0"/>
    <x v="0"/>
    <x v="1"/>
    <x v="2"/>
  </r>
  <r>
    <x v="446"/>
    <x v="59"/>
    <x v="303"/>
    <x v="4"/>
    <x v="6"/>
    <x v="2"/>
    <x v="11"/>
    <x v="1"/>
    <x v="0"/>
    <x v="11"/>
    <x v="39"/>
    <x v="1"/>
    <x v="0"/>
    <x v="0"/>
    <x v="4"/>
  </r>
  <r>
    <x v="447"/>
    <x v="60"/>
    <x v="276"/>
    <x v="1"/>
    <x v="0"/>
    <x v="1"/>
    <x v="8"/>
    <x v="2"/>
    <x v="0"/>
    <x v="8"/>
    <x v="21"/>
    <x v="0"/>
    <x v="0"/>
    <x v="0"/>
    <x v="3"/>
  </r>
  <r>
    <x v="448"/>
    <x v="60"/>
    <x v="184"/>
    <x v="1"/>
    <x v="0"/>
    <x v="0"/>
    <x v="3"/>
    <x v="3"/>
    <x v="2"/>
    <x v="3"/>
    <x v="3"/>
    <x v="1"/>
    <x v="0"/>
    <x v="0"/>
    <x v="3"/>
  </r>
  <r>
    <x v="449"/>
    <x v="60"/>
    <x v="99"/>
    <x v="1"/>
    <x v="0"/>
    <x v="0"/>
    <x v="7"/>
    <x v="2"/>
    <x v="1"/>
    <x v="7"/>
    <x v="8"/>
    <x v="0"/>
    <x v="0"/>
    <x v="2"/>
    <x v="2"/>
  </r>
  <r>
    <x v="450"/>
    <x v="60"/>
    <x v="100"/>
    <x v="3"/>
    <x v="0"/>
    <x v="1"/>
    <x v="11"/>
    <x v="1"/>
    <x v="2"/>
    <x v="11"/>
    <x v="24"/>
    <x v="0"/>
    <x v="0"/>
    <x v="1"/>
    <x v="1"/>
  </r>
  <r>
    <x v="451"/>
    <x v="60"/>
    <x v="277"/>
    <x v="3"/>
    <x v="0"/>
    <x v="1"/>
    <x v="11"/>
    <x v="1"/>
    <x v="2"/>
    <x v="11"/>
    <x v="24"/>
    <x v="0"/>
    <x v="0"/>
    <x v="0"/>
    <x v="2"/>
  </r>
  <r>
    <x v="452"/>
    <x v="60"/>
    <x v="304"/>
    <x v="2"/>
    <x v="0"/>
    <x v="2"/>
    <x v="13"/>
    <x v="0"/>
    <x v="2"/>
    <x v="2"/>
    <x v="2"/>
    <x v="0"/>
    <x v="0"/>
    <x v="2"/>
    <x v="3"/>
  </r>
  <r>
    <x v="453"/>
    <x v="60"/>
    <x v="305"/>
    <x v="4"/>
    <x v="0"/>
    <x v="1"/>
    <x v="6"/>
    <x v="0"/>
    <x v="2"/>
    <x v="6"/>
    <x v="60"/>
    <x v="0"/>
    <x v="3"/>
    <x v="0"/>
    <x v="4"/>
  </r>
  <r>
    <x v="454"/>
    <x v="61"/>
    <x v="137"/>
    <x v="7"/>
    <x v="1"/>
    <x v="0"/>
    <x v="1"/>
    <x v="1"/>
    <x v="2"/>
    <x v="1"/>
    <x v="8"/>
    <x v="1"/>
    <x v="0"/>
    <x v="0"/>
    <x v="3"/>
  </r>
  <r>
    <x v="455"/>
    <x v="61"/>
    <x v="306"/>
    <x v="0"/>
    <x v="1"/>
    <x v="0"/>
    <x v="0"/>
    <x v="0"/>
    <x v="0"/>
    <x v="0"/>
    <x v="0"/>
    <x v="1"/>
    <x v="0"/>
    <x v="0"/>
    <x v="3"/>
  </r>
  <r>
    <x v="456"/>
    <x v="61"/>
    <x v="307"/>
    <x v="3"/>
    <x v="1"/>
    <x v="1"/>
    <x v="4"/>
    <x v="1"/>
    <x v="2"/>
    <x v="4"/>
    <x v="15"/>
    <x v="0"/>
    <x v="0"/>
    <x v="0"/>
    <x v="3"/>
  </r>
  <r>
    <x v="457"/>
    <x v="61"/>
    <x v="62"/>
    <x v="2"/>
    <x v="1"/>
    <x v="1"/>
    <x v="5"/>
    <x v="1"/>
    <x v="2"/>
    <x v="5"/>
    <x v="5"/>
    <x v="1"/>
    <x v="0"/>
    <x v="0"/>
    <x v="0"/>
  </r>
  <r>
    <x v="458"/>
    <x v="62"/>
    <x v="77"/>
    <x v="7"/>
    <x v="2"/>
    <x v="0"/>
    <x v="0"/>
    <x v="0"/>
    <x v="2"/>
    <x v="0"/>
    <x v="7"/>
    <x v="0"/>
    <x v="0"/>
    <x v="0"/>
    <x v="0"/>
  </r>
  <r>
    <x v="459"/>
    <x v="62"/>
    <x v="308"/>
    <x v="0"/>
    <x v="2"/>
    <x v="0"/>
    <x v="8"/>
    <x v="2"/>
    <x v="2"/>
    <x v="8"/>
    <x v="10"/>
    <x v="0"/>
    <x v="0"/>
    <x v="0"/>
    <x v="4"/>
  </r>
  <r>
    <x v="460"/>
    <x v="62"/>
    <x v="309"/>
    <x v="0"/>
    <x v="2"/>
    <x v="2"/>
    <x v="0"/>
    <x v="0"/>
    <x v="0"/>
    <x v="0"/>
    <x v="0"/>
    <x v="0"/>
    <x v="0"/>
    <x v="0"/>
    <x v="3"/>
  </r>
  <r>
    <x v="461"/>
    <x v="62"/>
    <x v="310"/>
    <x v="12"/>
    <x v="2"/>
    <x v="2"/>
    <x v="8"/>
    <x v="2"/>
    <x v="2"/>
    <x v="8"/>
    <x v="10"/>
    <x v="0"/>
    <x v="0"/>
    <x v="0"/>
    <x v="2"/>
  </r>
  <r>
    <x v="462"/>
    <x v="62"/>
    <x v="311"/>
    <x v="11"/>
    <x v="2"/>
    <x v="0"/>
    <x v="11"/>
    <x v="1"/>
    <x v="1"/>
    <x v="11"/>
    <x v="19"/>
    <x v="0"/>
    <x v="0"/>
    <x v="0"/>
    <x v="3"/>
  </r>
  <r>
    <x v="463"/>
    <x v="62"/>
    <x v="312"/>
    <x v="5"/>
    <x v="2"/>
    <x v="0"/>
    <x v="6"/>
    <x v="0"/>
    <x v="2"/>
    <x v="6"/>
    <x v="6"/>
    <x v="1"/>
    <x v="0"/>
    <x v="0"/>
    <x v="2"/>
  </r>
  <r>
    <x v="464"/>
    <x v="62"/>
    <x v="187"/>
    <x v="2"/>
    <x v="2"/>
    <x v="2"/>
    <x v="14"/>
    <x v="3"/>
    <x v="2"/>
    <x v="14"/>
    <x v="25"/>
    <x v="0"/>
    <x v="0"/>
    <x v="0"/>
    <x v="0"/>
  </r>
  <r>
    <x v="465"/>
    <x v="63"/>
    <x v="154"/>
    <x v="0"/>
    <x v="3"/>
    <x v="0"/>
    <x v="9"/>
    <x v="3"/>
    <x v="2"/>
    <x v="7"/>
    <x v="9"/>
    <x v="0"/>
    <x v="0"/>
    <x v="3"/>
    <x v="3"/>
  </r>
  <r>
    <x v="466"/>
    <x v="63"/>
    <x v="313"/>
    <x v="11"/>
    <x v="3"/>
    <x v="0"/>
    <x v="11"/>
    <x v="1"/>
    <x v="0"/>
    <x v="11"/>
    <x v="51"/>
    <x v="0"/>
    <x v="1"/>
    <x v="0"/>
    <x v="2"/>
  </r>
  <r>
    <x v="467"/>
    <x v="63"/>
    <x v="314"/>
    <x v="6"/>
    <x v="3"/>
    <x v="0"/>
    <x v="7"/>
    <x v="2"/>
    <x v="2"/>
    <x v="7"/>
    <x v="9"/>
    <x v="0"/>
    <x v="0"/>
    <x v="2"/>
    <x v="1"/>
  </r>
  <r>
    <x v="468"/>
    <x v="63"/>
    <x v="99"/>
    <x v="1"/>
    <x v="3"/>
    <x v="1"/>
    <x v="6"/>
    <x v="0"/>
    <x v="2"/>
    <x v="6"/>
    <x v="60"/>
    <x v="1"/>
    <x v="3"/>
    <x v="2"/>
    <x v="0"/>
  </r>
  <r>
    <x v="469"/>
    <x v="63"/>
    <x v="202"/>
    <x v="1"/>
    <x v="3"/>
    <x v="2"/>
    <x v="6"/>
    <x v="0"/>
    <x v="2"/>
    <x v="6"/>
    <x v="6"/>
    <x v="0"/>
    <x v="0"/>
    <x v="2"/>
    <x v="2"/>
  </r>
  <r>
    <x v="470"/>
    <x v="64"/>
    <x v="315"/>
    <x v="4"/>
    <x v="0"/>
    <x v="1"/>
    <x v="9"/>
    <x v="3"/>
    <x v="2"/>
    <x v="7"/>
    <x v="9"/>
    <x v="1"/>
    <x v="0"/>
    <x v="0"/>
    <x v="2"/>
  </r>
  <r>
    <x v="471"/>
    <x v="65"/>
    <x v="316"/>
    <x v="7"/>
    <x v="4"/>
    <x v="1"/>
    <x v="13"/>
    <x v="0"/>
    <x v="2"/>
    <x v="2"/>
    <x v="2"/>
    <x v="0"/>
    <x v="0"/>
    <x v="0"/>
    <x v="2"/>
  </r>
  <r>
    <x v="472"/>
    <x v="65"/>
    <x v="317"/>
    <x v="12"/>
    <x v="4"/>
    <x v="2"/>
    <x v="10"/>
    <x v="4"/>
    <x v="2"/>
    <x v="10"/>
    <x v="13"/>
    <x v="0"/>
    <x v="0"/>
    <x v="1"/>
    <x v="2"/>
  </r>
  <r>
    <x v="473"/>
    <x v="65"/>
    <x v="156"/>
    <x v="5"/>
    <x v="4"/>
    <x v="1"/>
    <x v="8"/>
    <x v="2"/>
    <x v="2"/>
    <x v="8"/>
    <x v="10"/>
    <x v="0"/>
    <x v="0"/>
    <x v="0"/>
    <x v="1"/>
  </r>
  <r>
    <x v="474"/>
    <x v="3"/>
    <x v="115"/>
    <x v="3"/>
    <x v="3"/>
    <x v="2"/>
    <x v="8"/>
    <x v="2"/>
    <x v="2"/>
    <x v="8"/>
    <x v="10"/>
    <x v="1"/>
    <x v="0"/>
    <x v="1"/>
    <x v="4"/>
  </r>
  <r>
    <x v="475"/>
    <x v="3"/>
    <x v="186"/>
    <x v="3"/>
    <x v="3"/>
    <x v="0"/>
    <x v="5"/>
    <x v="1"/>
    <x v="2"/>
    <x v="5"/>
    <x v="5"/>
    <x v="0"/>
    <x v="0"/>
    <x v="1"/>
    <x v="2"/>
  </r>
  <r>
    <x v="476"/>
    <x v="3"/>
    <x v="179"/>
    <x v="3"/>
    <x v="3"/>
    <x v="0"/>
    <x v="4"/>
    <x v="1"/>
    <x v="0"/>
    <x v="4"/>
    <x v="35"/>
    <x v="1"/>
    <x v="0"/>
    <x v="0"/>
    <x v="3"/>
  </r>
  <r>
    <x v="477"/>
    <x v="65"/>
    <x v="318"/>
    <x v="2"/>
    <x v="4"/>
    <x v="2"/>
    <x v="6"/>
    <x v="0"/>
    <x v="2"/>
    <x v="6"/>
    <x v="6"/>
    <x v="0"/>
    <x v="0"/>
    <x v="0"/>
    <x v="1"/>
  </r>
  <r>
    <x v="478"/>
    <x v="65"/>
    <x v="101"/>
    <x v="2"/>
    <x v="4"/>
    <x v="1"/>
    <x v="11"/>
    <x v="1"/>
    <x v="2"/>
    <x v="11"/>
    <x v="24"/>
    <x v="0"/>
    <x v="0"/>
    <x v="0"/>
    <x v="0"/>
  </r>
  <r>
    <x v="479"/>
    <x v="65"/>
    <x v="93"/>
    <x v="2"/>
    <x v="4"/>
    <x v="0"/>
    <x v="7"/>
    <x v="2"/>
    <x v="2"/>
    <x v="7"/>
    <x v="9"/>
    <x v="1"/>
    <x v="0"/>
    <x v="0"/>
    <x v="1"/>
  </r>
  <r>
    <x v="480"/>
    <x v="65"/>
    <x v="319"/>
    <x v="4"/>
    <x v="4"/>
    <x v="1"/>
    <x v="3"/>
    <x v="3"/>
    <x v="0"/>
    <x v="3"/>
    <x v="14"/>
    <x v="0"/>
    <x v="0"/>
    <x v="0"/>
    <x v="0"/>
  </r>
  <r>
    <x v="481"/>
    <x v="66"/>
    <x v="320"/>
    <x v="12"/>
    <x v="5"/>
    <x v="1"/>
    <x v="1"/>
    <x v="1"/>
    <x v="2"/>
    <x v="1"/>
    <x v="8"/>
    <x v="1"/>
    <x v="0"/>
    <x v="2"/>
    <x v="0"/>
  </r>
  <r>
    <x v="482"/>
    <x v="66"/>
    <x v="321"/>
    <x v="11"/>
    <x v="5"/>
    <x v="0"/>
    <x v="4"/>
    <x v="1"/>
    <x v="0"/>
    <x v="4"/>
    <x v="61"/>
    <x v="0"/>
    <x v="3"/>
    <x v="0"/>
    <x v="3"/>
  </r>
  <r>
    <x v="483"/>
    <x v="66"/>
    <x v="322"/>
    <x v="8"/>
    <x v="5"/>
    <x v="0"/>
    <x v="2"/>
    <x v="2"/>
    <x v="2"/>
    <x v="2"/>
    <x v="2"/>
    <x v="0"/>
    <x v="0"/>
    <x v="3"/>
    <x v="0"/>
  </r>
  <r>
    <x v="484"/>
    <x v="66"/>
    <x v="323"/>
    <x v="5"/>
    <x v="5"/>
    <x v="0"/>
    <x v="1"/>
    <x v="1"/>
    <x v="2"/>
    <x v="1"/>
    <x v="8"/>
    <x v="0"/>
    <x v="0"/>
    <x v="0"/>
    <x v="0"/>
  </r>
  <r>
    <x v="485"/>
    <x v="66"/>
    <x v="324"/>
    <x v="5"/>
    <x v="5"/>
    <x v="1"/>
    <x v="1"/>
    <x v="1"/>
    <x v="2"/>
    <x v="1"/>
    <x v="8"/>
    <x v="0"/>
    <x v="0"/>
    <x v="0"/>
    <x v="3"/>
  </r>
  <r>
    <x v="486"/>
    <x v="67"/>
    <x v="202"/>
    <x v="1"/>
    <x v="3"/>
    <x v="0"/>
    <x v="12"/>
    <x v="4"/>
    <x v="2"/>
    <x v="8"/>
    <x v="36"/>
    <x v="0"/>
    <x v="1"/>
    <x v="2"/>
    <x v="2"/>
  </r>
  <r>
    <x v="487"/>
    <x v="66"/>
    <x v="325"/>
    <x v="1"/>
    <x v="5"/>
    <x v="2"/>
    <x v="1"/>
    <x v="1"/>
    <x v="2"/>
    <x v="1"/>
    <x v="8"/>
    <x v="0"/>
    <x v="0"/>
    <x v="2"/>
    <x v="1"/>
  </r>
  <r>
    <x v="488"/>
    <x v="67"/>
    <x v="326"/>
    <x v="3"/>
    <x v="3"/>
    <x v="0"/>
    <x v="7"/>
    <x v="2"/>
    <x v="0"/>
    <x v="7"/>
    <x v="12"/>
    <x v="0"/>
    <x v="0"/>
    <x v="1"/>
    <x v="3"/>
  </r>
  <r>
    <x v="489"/>
    <x v="67"/>
    <x v="248"/>
    <x v="3"/>
    <x v="3"/>
    <x v="0"/>
    <x v="1"/>
    <x v="1"/>
    <x v="2"/>
    <x v="1"/>
    <x v="21"/>
    <x v="0"/>
    <x v="2"/>
    <x v="0"/>
    <x v="2"/>
  </r>
  <r>
    <x v="490"/>
    <x v="66"/>
    <x v="241"/>
    <x v="3"/>
    <x v="5"/>
    <x v="2"/>
    <x v="6"/>
    <x v="0"/>
    <x v="2"/>
    <x v="6"/>
    <x v="6"/>
    <x v="1"/>
    <x v="0"/>
    <x v="3"/>
    <x v="1"/>
  </r>
  <r>
    <x v="491"/>
    <x v="66"/>
    <x v="85"/>
    <x v="3"/>
    <x v="5"/>
    <x v="0"/>
    <x v="11"/>
    <x v="1"/>
    <x v="2"/>
    <x v="11"/>
    <x v="24"/>
    <x v="0"/>
    <x v="0"/>
    <x v="0"/>
    <x v="4"/>
  </r>
  <r>
    <x v="492"/>
    <x v="66"/>
    <x v="57"/>
    <x v="2"/>
    <x v="5"/>
    <x v="0"/>
    <x v="1"/>
    <x v="1"/>
    <x v="2"/>
    <x v="1"/>
    <x v="8"/>
    <x v="0"/>
    <x v="0"/>
    <x v="0"/>
    <x v="1"/>
  </r>
  <r>
    <x v="493"/>
    <x v="66"/>
    <x v="327"/>
    <x v="2"/>
    <x v="5"/>
    <x v="2"/>
    <x v="6"/>
    <x v="0"/>
    <x v="2"/>
    <x v="6"/>
    <x v="6"/>
    <x v="0"/>
    <x v="0"/>
    <x v="1"/>
    <x v="2"/>
  </r>
  <r>
    <x v="494"/>
    <x v="66"/>
    <x v="58"/>
    <x v="2"/>
    <x v="5"/>
    <x v="0"/>
    <x v="1"/>
    <x v="1"/>
    <x v="2"/>
    <x v="1"/>
    <x v="8"/>
    <x v="1"/>
    <x v="0"/>
    <x v="2"/>
    <x v="4"/>
  </r>
  <r>
    <x v="495"/>
    <x v="68"/>
    <x v="328"/>
    <x v="10"/>
    <x v="6"/>
    <x v="0"/>
    <x v="7"/>
    <x v="2"/>
    <x v="2"/>
    <x v="7"/>
    <x v="46"/>
    <x v="0"/>
    <x v="3"/>
    <x v="0"/>
    <x v="3"/>
  </r>
  <r>
    <x v="496"/>
    <x v="68"/>
    <x v="329"/>
    <x v="7"/>
    <x v="6"/>
    <x v="2"/>
    <x v="2"/>
    <x v="2"/>
    <x v="2"/>
    <x v="2"/>
    <x v="2"/>
    <x v="1"/>
    <x v="0"/>
    <x v="0"/>
    <x v="2"/>
  </r>
  <r>
    <x v="497"/>
    <x v="68"/>
    <x v="330"/>
    <x v="7"/>
    <x v="6"/>
    <x v="0"/>
    <x v="3"/>
    <x v="3"/>
    <x v="0"/>
    <x v="3"/>
    <x v="14"/>
    <x v="0"/>
    <x v="0"/>
    <x v="2"/>
    <x v="2"/>
  </r>
  <r>
    <x v="498"/>
    <x v="68"/>
    <x v="308"/>
    <x v="0"/>
    <x v="6"/>
    <x v="0"/>
    <x v="0"/>
    <x v="0"/>
    <x v="0"/>
    <x v="0"/>
    <x v="0"/>
    <x v="0"/>
    <x v="0"/>
    <x v="0"/>
    <x v="4"/>
  </r>
  <r>
    <x v="499"/>
    <x v="68"/>
    <x v="331"/>
    <x v="5"/>
    <x v="6"/>
    <x v="0"/>
    <x v="1"/>
    <x v="1"/>
    <x v="2"/>
    <x v="1"/>
    <x v="8"/>
    <x v="0"/>
    <x v="0"/>
    <x v="0"/>
    <x v="0"/>
  </r>
  <r>
    <x v="500"/>
    <x v="68"/>
    <x v="113"/>
    <x v="1"/>
    <x v="6"/>
    <x v="0"/>
    <x v="1"/>
    <x v="1"/>
    <x v="0"/>
    <x v="1"/>
    <x v="16"/>
    <x v="0"/>
    <x v="0"/>
    <x v="0"/>
    <x v="1"/>
  </r>
  <r>
    <x v="501"/>
    <x v="68"/>
    <x v="282"/>
    <x v="1"/>
    <x v="6"/>
    <x v="0"/>
    <x v="6"/>
    <x v="0"/>
    <x v="1"/>
    <x v="6"/>
    <x v="25"/>
    <x v="0"/>
    <x v="0"/>
    <x v="0"/>
    <x v="2"/>
  </r>
  <r>
    <x v="502"/>
    <x v="68"/>
    <x v="266"/>
    <x v="1"/>
    <x v="6"/>
    <x v="0"/>
    <x v="8"/>
    <x v="2"/>
    <x v="2"/>
    <x v="8"/>
    <x v="10"/>
    <x v="0"/>
    <x v="0"/>
    <x v="0"/>
    <x v="4"/>
  </r>
  <r>
    <x v="503"/>
    <x v="68"/>
    <x v="61"/>
    <x v="1"/>
    <x v="6"/>
    <x v="1"/>
    <x v="3"/>
    <x v="3"/>
    <x v="0"/>
    <x v="3"/>
    <x v="14"/>
    <x v="0"/>
    <x v="0"/>
    <x v="0"/>
    <x v="0"/>
  </r>
  <r>
    <x v="504"/>
    <x v="68"/>
    <x v="297"/>
    <x v="2"/>
    <x v="6"/>
    <x v="1"/>
    <x v="7"/>
    <x v="2"/>
    <x v="0"/>
    <x v="7"/>
    <x v="12"/>
    <x v="1"/>
    <x v="0"/>
    <x v="0"/>
    <x v="4"/>
  </r>
  <r>
    <x v="505"/>
    <x v="68"/>
    <x v="49"/>
    <x v="2"/>
    <x v="6"/>
    <x v="0"/>
    <x v="7"/>
    <x v="2"/>
    <x v="2"/>
    <x v="7"/>
    <x v="9"/>
    <x v="0"/>
    <x v="0"/>
    <x v="1"/>
    <x v="4"/>
  </r>
  <r>
    <x v="506"/>
    <x v="68"/>
    <x v="5"/>
    <x v="2"/>
    <x v="6"/>
    <x v="1"/>
    <x v="1"/>
    <x v="1"/>
    <x v="2"/>
    <x v="1"/>
    <x v="8"/>
    <x v="0"/>
    <x v="0"/>
    <x v="3"/>
    <x v="3"/>
  </r>
  <r>
    <x v="507"/>
    <x v="68"/>
    <x v="199"/>
    <x v="4"/>
    <x v="6"/>
    <x v="1"/>
    <x v="0"/>
    <x v="0"/>
    <x v="2"/>
    <x v="0"/>
    <x v="7"/>
    <x v="0"/>
    <x v="0"/>
    <x v="2"/>
    <x v="1"/>
  </r>
  <r>
    <x v="508"/>
    <x v="69"/>
    <x v="332"/>
    <x v="7"/>
    <x v="0"/>
    <x v="0"/>
    <x v="0"/>
    <x v="0"/>
    <x v="2"/>
    <x v="0"/>
    <x v="7"/>
    <x v="0"/>
    <x v="0"/>
    <x v="0"/>
    <x v="2"/>
  </r>
  <r>
    <x v="509"/>
    <x v="69"/>
    <x v="273"/>
    <x v="6"/>
    <x v="0"/>
    <x v="2"/>
    <x v="1"/>
    <x v="1"/>
    <x v="0"/>
    <x v="1"/>
    <x v="16"/>
    <x v="0"/>
    <x v="0"/>
    <x v="2"/>
    <x v="4"/>
  </r>
  <r>
    <x v="510"/>
    <x v="69"/>
    <x v="233"/>
    <x v="5"/>
    <x v="0"/>
    <x v="2"/>
    <x v="11"/>
    <x v="1"/>
    <x v="2"/>
    <x v="15"/>
    <x v="62"/>
    <x v="0"/>
    <x v="3"/>
    <x v="0"/>
    <x v="2"/>
  </r>
  <r>
    <x v="511"/>
    <x v="69"/>
    <x v="69"/>
    <x v="1"/>
    <x v="0"/>
    <x v="1"/>
    <x v="2"/>
    <x v="2"/>
    <x v="2"/>
    <x v="2"/>
    <x v="2"/>
    <x v="0"/>
    <x v="0"/>
    <x v="1"/>
    <x v="1"/>
  </r>
  <r>
    <x v="512"/>
    <x v="69"/>
    <x v="29"/>
    <x v="3"/>
    <x v="0"/>
    <x v="2"/>
    <x v="10"/>
    <x v="4"/>
    <x v="2"/>
    <x v="10"/>
    <x v="13"/>
    <x v="0"/>
    <x v="0"/>
    <x v="0"/>
    <x v="2"/>
  </r>
  <r>
    <x v="513"/>
    <x v="69"/>
    <x v="333"/>
    <x v="3"/>
    <x v="0"/>
    <x v="0"/>
    <x v="2"/>
    <x v="2"/>
    <x v="2"/>
    <x v="2"/>
    <x v="2"/>
    <x v="1"/>
    <x v="0"/>
    <x v="2"/>
    <x v="1"/>
  </r>
  <r>
    <x v="514"/>
    <x v="69"/>
    <x v="334"/>
    <x v="2"/>
    <x v="0"/>
    <x v="0"/>
    <x v="12"/>
    <x v="4"/>
    <x v="2"/>
    <x v="8"/>
    <x v="10"/>
    <x v="0"/>
    <x v="0"/>
    <x v="2"/>
    <x v="0"/>
  </r>
  <r>
    <x v="515"/>
    <x v="70"/>
    <x v="335"/>
    <x v="7"/>
    <x v="1"/>
    <x v="0"/>
    <x v="6"/>
    <x v="0"/>
    <x v="2"/>
    <x v="6"/>
    <x v="6"/>
    <x v="0"/>
    <x v="0"/>
    <x v="1"/>
    <x v="2"/>
  </r>
  <r>
    <x v="516"/>
    <x v="70"/>
    <x v="336"/>
    <x v="12"/>
    <x v="1"/>
    <x v="0"/>
    <x v="14"/>
    <x v="3"/>
    <x v="2"/>
    <x v="14"/>
    <x v="25"/>
    <x v="1"/>
    <x v="0"/>
    <x v="0"/>
    <x v="4"/>
  </r>
  <r>
    <x v="517"/>
    <x v="70"/>
    <x v="337"/>
    <x v="12"/>
    <x v="1"/>
    <x v="0"/>
    <x v="3"/>
    <x v="3"/>
    <x v="0"/>
    <x v="3"/>
    <x v="14"/>
    <x v="0"/>
    <x v="0"/>
    <x v="0"/>
    <x v="2"/>
  </r>
  <r>
    <x v="518"/>
    <x v="70"/>
    <x v="212"/>
    <x v="12"/>
    <x v="1"/>
    <x v="0"/>
    <x v="5"/>
    <x v="1"/>
    <x v="2"/>
    <x v="5"/>
    <x v="5"/>
    <x v="0"/>
    <x v="0"/>
    <x v="1"/>
    <x v="3"/>
  </r>
  <r>
    <x v="519"/>
    <x v="70"/>
    <x v="338"/>
    <x v="5"/>
    <x v="1"/>
    <x v="0"/>
    <x v="5"/>
    <x v="1"/>
    <x v="2"/>
    <x v="5"/>
    <x v="5"/>
    <x v="1"/>
    <x v="0"/>
    <x v="0"/>
    <x v="2"/>
  </r>
  <r>
    <x v="520"/>
    <x v="70"/>
    <x v="236"/>
    <x v="1"/>
    <x v="1"/>
    <x v="0"/>
    <x v="10"/>
    <x v="4"/>
    <x v="0"/>
    <x v="10"/>
    <x v="32"/>
    <x v="0"/>
    <x v="0"/>
    <x v="2"/>
    <x v="3"/>
  </r>
  <r>
    <x v="521"/>
    <x v="70"/>
    <x v="209"/>
    <x v="1"/>
    <x v="1"/>
    <x v="1"/>
    <x v="1"/>
    <x v="1"/>
    <x v="2"/>
    <x v="1"/>
    <x v="8"/>
    <x v="1"/>
    <x v="0"/>
    <x v="0"/>
    <x v="1"/>
  </r>
  <r>
    <x v="522"/>
    <x v="70"/>
    <x v="228"/>
    <x v="3"/>
    <x v="1"/>
    <x v="2"/>
    <x v="3"/>
    <x v="3"/>
    <x v="2"/>
    <x v="3"/>
    <x v="3"/>
    <x v="0"/>
    <x v="0"/>
    <x v="0"/>
    <x v="4"/>
  </r>
  <r>
    <x v="523"/>
    <x v="71"/>
    <x v="137"/>
    <x v="7"/>
    <x v="2"/>
    <x v="0"/>
    <x v="8"/>
    <x v="2"/>
    <x v="2"/>
    <x v="8"/>
    <x v="10"/>
    <x v="0"/>
    <x v="0"/>
    <x v="2"/>
    <x v="0"/>
  </r>
  <r>
    <x v="524"/>
    <x v="71"/>
    <x v="339"/>
    <x v="12"/>
    <x v="2"/>
    <x v="2"/>
    <x v="4"/>
    <x v="1"/>
    <x v="0"/>
    <x v="4"/>
    <x v="35"/>
    <x v="0"/>
    <x v="0"/>
    <x v="0"/>
    <x v="0"/>
  </r>
  <r>
    <x v="525"/>
    <x v="71"/>
    <x v="340"/>
    <x v="5"/>
    <x v="2"/>
    <x v="2"/>
    <x v="11"/>
    <x v="1"/>
    <x v="2"/>
    <x v="11"/>
    <x v="24"/>
    <x v="1"/>
    <x v="0"/>
    <x v="0"/>
    <x v="3"/>
  </r>
  <r>
    <x v="526"/>
    <x v="71"/>
    <x v="341"/>
    <x v="5"/>
    <x v="2"/>
    <x v="2"/>
    <x v="6"/>
    <x v="0"/>
    <x v="1"/>
    <x v="6"/>
    <x v="25"/>
    <x v="1"/>
    <x v="0"/>
    <x v="0"/>
    <x v="2"/>
  </r>
  <r>
    <x v="527"/>
    <x v="71"/>
    <x v="235"/>
    <x v="1"/>
    <x v="2"/>
    <x v="0"/>
    <x v="2"/>
    <x v="2"/>
    <x v="2"/>
    <x v="2"/>
    <x v="55"/>
    <x v="0"/>
    <x v="3"/>
    <x v="0"/>
    <x v="1"/>
  </r>
  <r>
    <x v="528"/>
    <x v="71"/>
    <x v="236"/>
    <x v="1"/>
    <x v="2"/>
    <x v="2"/>
    <x v="7"/>
    <x v="2"/>
    <x v="2"/>
    <x v="7"/>
    <x v="9"/>
    <x v="0"/>
    <x v="0"/>
    <x v="0"/>
    <x v="3"/>
  </r>
  <r>
    <x v="529"/>
    <x v="71"/>
    <x v="342"/>
    <x v="4"/>
    <x v="2"/>
    <x v="1"/>
    <x v="6"/>
    <x v="0"/>
    <x v="1"/>
    <x v="6"/>
    <x v="25"/>
    <x v="0"/>
    <x v="0"/>
    <x v="0"/>
    <x v="3"/>
  </r>
  <r>
    <x v="530"/>
    <x v="72"/>
    <x v="53"/>
    <x v="0"/>
    <x v="3"/>
    <x v="1"/>
    <x v="5"/>
    <x v="1"/>
    <x v="2"/>
    <x v="5"/>
    <x v="5"/>
    <x v="0"/>
    <x v="0"/>
    <x v="2"/>
    <x v="3"/>
  </r>
  <r>
    <x v="531"/>
    <x v="72"/>
    <x v="343"/>
    <x v="12"/>
    <x v="3"/>
    <x v="1"/>
    <x v="5"/>
    <x v="1"/>
    <x v="2"/>
    <x v="5"/>
    <x v="5"/>
    <x v="0"/>
    <x v="0"/>
    <x v="0"/>
    <x v="4"/>
  </r>
  <r>
    <x v="532"/>
    <x v="72"/>
    <x v="344"/>
    <x v="8"/>
    <x v="3"/>
    <x v="0"/>
    <x v="0"/>
    <x v="0"/>
    <x v="0"/>
    <x v="0"/>
    <x v="0"/>
    <x v="0"/>
    <x v="0"/>
    <x v="3"/>
    <x v="0"/>
  </r>
  <r>
    <x v="533"/>
    <x v="72"/>
    <x v="345"/>
    <x v="5"/>
    <x v="3"/>
    <x v="0"/>
    <x v="8"/>
    <x v="2"/>
    <x v="2"/>
    <x v="8"/>
    <x v="10"/>
    <x v="0"/>
    <x v="0"/>
    <x v="1"/>
    <x v="4"/>
  </r>
  <r>
    <x v="534"/>
    <x v="72"/>
    <x v="55"/>
    <x v="3"/>
    <x v="3"/>
    <x v="1"/>
    <x v="7"/>
    <x v="2"/>
    <x v="2"/>
    <x v="7"/>
    <x v="9"/>
    <x v="1"/>
    <x v="0"/>
    <x v="0"/>
    <x v="3"/>
  </r>
  <r>
    <x v="535"/>
    <x v="72"/>
    <x v="57"/>
    <x v="2"/>
    <x v="3"/>
    <x v="0"/>
    <x v="8"/>
    <x v="2"/>
    <x v="2"/>
    <x v="8"/>
    <x v="10"/>
    <x v="1"/>
    <x v="0"/>
    <x v="3"/>
    <x v="0"/>
  </r>
  <r>
    <x v="536"/>
    <x v="72"/>
    <x v="290"/>
    <x v="4"/>
    <x v="3"/>
    <x v="1"/>
    <x v="7"/>
    <x v="2"/>
    <x v="2"/>
    <x v="7"/>
    <x v="9"/>
    <x v="0"/>
    <x v="0"/>
    <x v="0"/>
    <x v="2"/>
  </r>
  <r>
    <x v="537"/>
    <x v="73"/>
    <x v="102"/>
    <x v="10"/>
    <x v="4"/>
    <x v="2"/>
    <x v="1"/>
    <x v="1"/>
    <x v="0"/>
    <x v="1"/>
    <x v="16"/>
    <x v="0"/>
    <x v="0"/>
    <x v="3"/>
    <x v="4"/>
  </r>
  <r>
    <x v="538"/>
    <x v="73"/>
    <x v="218"/>
    <x v="7"/>
    <x v="4"/>
    <x v="0"/>
    <x v="8"/>
    <x v="2"/>
    <x v="0"/>
    <x v="8"/>
    <x v="21"/>
    <x v="0"/>
    <x v="0"/>
    <x v="0"/>
    <x v="1"/>
  </r>
  <r>
    <x v="539"/>
    <x v="73"/>
    <x v="346"/>
    <x v="7"/>
    <x v="4"/>
    <x v="1"/>
    <x v="4"/>
    <x v="1"/>
    <x v="2"/>
    <x v="4"/>
    <x v="15"/>
    <x v="1"/>
    <x v="0"/>
    <x v="0"/>
    <x v="3"/>
  </r>
  <r>
    <x v="540"/>
    <x v="73"/>
    <x v="347"/>
    <x v="12"/>
    <x v="4"/>
    <x v="2"/>
    <x v="8"/>
    <x v="2"/>
    <x v="2"/>
    <x v="8"/>
    <x v="10"/>
    <x v="1"/>
    <x v="0"/>
    <x v="0"/>
    <x v="0"/>
  </r>
  <r>
    <x v="541"/>
    <x v="73"/>
    <x v="331"/>
    <x v="5"/>
    <x v="4"/>
    <x v="0"/>
    <x v="4"/>
    <x v="1"/>
    <x v="0"/>
    <x v="4"/>
    <x v="35"/>
    <x v="1"/>
    <x v="0"/>
    <x v="0"/>
    <x v="0"/>
  </r>
  <r>
    <x v="542"/>
    <x v="73"/>
    <x v="348"/>
    <x v="5"/>
    <x v="4"/>
    <x v="1"/>
    <x v="4"/>
    <x v="1"/>
    <x v="2"/>
    <x v="4"/>
    <x v="52"/>
    <x v="0"/>
    <x v="3"/>
    <x v="0"/>
    <x v="2"/>
  </r>
  <r>
    <x v="543"/>
    <x v="73"/>
    <x v="260"/>
    <x v="3"/>
    <x v="4"/>
    <x v="0"/>
    <x v="10"/>
    <x v="4"/>
    <x v="2"/>
    <x v="10"/>
    <x v="13"/>
    <x v="0"/>
    <x v="0"/>
    <x v="0"/>
    <x v="3"/>
  </r>
  <r>
    <x v="544"/>
    <x v="73"/>
    <x v="349"/>
    <x v="4"/>
    <x v="4"/>
    <x v="1"/>
    <x v="1"/>
    <x v="1"/>
    <x v="0"/>
    <x v="1"/>
    <x v="16"/>
    <x v="0"/>
    <x v="0"/>
    <x v="0"/>
    <x v="3"/>
  </r>
  <r>
    <x v="545"/>
    <x v="74"/>
    <x v="350"/>
    <x v="7"/>
    <x v="5"/>
    <x v="2"/>
    <x v="7"/>
    <x v="2"/>
    <x v="0"/>
    <x v="7"/>
    <x v="14"/>
    <x v="0"/>
    <x v="2"/>
    <x v="0"/>
    <x v="1"/>
  </r>
  <r>
    <x v="546"/>
    <x v="74"/>
    <x v="350"/>
    <x v="7"/>
    <x v="5"/>
    <x v="2"/>
    <x v="0"/>
    <x v="0"/>
    <x v="2"/>
    <x v="0"/>
    <x v="7"/>
    <x v="1"/>
    <x v="0"/>
    <x v="0"/>
    <x v="0"/>
  </r>
  <r>
    <x v="547"/>
    <x v="74"/>
    <x v="247"/>
    <x v="12"/>
    <x v="5"/>
    <x v="0"/>
    <x v="3"/>
    <x v="3"/>
    <x v="2"/>
    <x v="3"/>
    <x v="3"/>
    <x v="0"/>
    <x v="0"/>
    <x v="0"/>
    <x v="1"/>
  </r>
  <r>
    <x v="548"/>
    <x v="74"/>
    <x v="351"/>
    <x v="11"/>
    <x v="5"/>
    <x v="2"/>
    <x v="1"/>
    <x v="1"/>
    <x v="0"/>
    <x v="1"/>
    <x v="16"/>
    <x v="1"/>
    <x v="0"/>
    <x v="0"/>
    <x v="0"/>
  </r>
  <r>
    <x v="549"/>
    <x v="74"/>
    <x v="293"/>
    <x v="5"/>
    <x v="5"/>
    <x v="1"/>
    <x v="6"/>
    <x v="0"/>
    <x v="2"/>
    <x v="6"/>
    <x v="56"/>
    <x v="0"/>
    <x v="1"/>
    <x v="0"/>
    <x v="3"/>
  </r>
  <r>
    <x v="550"/>
    <x v="74"/>
    <x v="81"/>
    <x v="5"/>
    <x v="5"/>
    <x v="0"/>
    <x v="7"/>
    <x v="2"/>
    <x v="0"/>
    <x v="7"/>
    <x v="12"/>
    <x v="1"/>
    <x v="0"/>
    <x v="2"/>
    <x v="1"/>
  </r>
  <r>
    <x v="551"/>
    <x v="75"/>
    <x v="331"/>
    <x v="5"/>
    <x v="0"/>
    <x v="0"/>
    <x v="5"/>
    <x v="1"/>
    <x v="2"/>
    <x v="5"/>
    <x v="5"/>
    <x v="1"/>
    <x v="0"/>
    <x v="2"/>
    <x v="1"/>
  </r>
  <r>
    <x v="552"/>
    <x v="74"/>
    <x v="352"/>
    <x v="5"/>
    <x v="5"/>
    <x v="1"/>
    <x v="10"/>
    <x v="4"/>
    <x v="2"/>
    <x v="10"/>
    <x v="13"/>
    <x v="0"/>
    <x v="0"/>
    <x v="0"/>
    <x v="0"/>
  </r>
  <r>
    <x v="553"/>
    <x v="74"/>
    <x v="353"/>
    <x v="1"/>
    <x v="5"/>
    <x v="1"/>
    <x v="5"/>
    <x v="1"/>
    <x v="2"/>
    <x v="5"/>
    <x v="5"/>
    <x v="0"/>
    <x v="0"/>
    <x v="2"/>
    <x v="1"/>
  </r>
  <r>
    <x v="554"/>
    <x v="74"/>
    <x v="112"/>
    <x v="1"/>
    <x v="5"/>
    <x v="2"/>
    <x v="4"/>
    <x v="1"/>
    <x v="2"/>
    <x v="4"/>
    <x v="15"/>
    <x v="0"/>
    <x v="0"/>
    <x v="2"/>
    <x v="4"/>
  </r>
  <r>
    <x v="555"/>
    <x v="74"/>
    <x v="253"/>
    <x v="1"/>
    <x v="5"/>
    <x v="1"/>
    <x v="0"/>
    <x v="0"/>
    <x v="0"/>
    <x v="0"/>
    <x v="0"/>
    <x v="0"/>
    <x v="0"/>
    <x v="2"/>
    <x v="1"/>
  </r>
  <r>
    <x v="556"/>
    <x v="74"/>
    <x v="248"/>
    <x v="3"/>
    <x v="5"/>
    <x v="0"/>
    <x v="6"/>
    <x v="0"/>
    <x v="2"/>
    <x v="6"/>
    <x v="6"/>
    <x v="1"/>
    <x v="0"/>
    <x v="0"/>
    <x v="3"/>
  </r>
  <r>
    <x v="557"/>
    <x v="74"/>
    <x v="95"/>
    <x v="3"/>
    <x v="5"/>
    <x v="1"/>
    <x v="0"/>
    <x v="0"/>
    <x v="0"/>
    <x v="0"/>
    <x v="0"/>
    <x v="0"/>
    <x v="0"/>
    <x v="0"/>
    <x v="1"/>
  </r>
  <r>
    <x v="558"/>
    <x v="74"/>
    <x v="327"/>
    <x v="2"/>
    <x v="5"/>
    <x v="1"/>
    <x v="5"/>
    <x v="1"/>
    <x v="2"/>
    <x v="5"/>
    <x v="5"/>
    <x v="0"/>
    <x v="0"/>
    <x v="0"/>
    <x v="3"/>
  </r>
  <r>
    <x v="559"/>
    <x v="76"/>
    <x v="181"/>
    <x v="7"/>
    <x v="6"/>
    <x v="1"/>
    <x v="1"/>
    <x v="1"/>
    <x v="0"/>
    <x v="1"/>
    <x v="63"/>
    <x v="0"/>
    <x v="3"/>
    <x v="2"/>
    <x v="3"/>
  </r>
  <r>
    <x v="560"/>
    <x v="76"/>
    <x v="354"/>
    <x v="7"/>
    <x v="6"/>
    <x v="0"/>
    <x v="1"/>
    <x v="1"/>
    <x v="2"/>
    <x v="1"/>
    <x v="8"/>
    <x v="0"/>
    <x v="0"/>
    <x v="2"/>
    <x v="2"/>
  </r>
  <r>
    <x v="561"/>
    <x v="76"/>
    <x v="355"/>
    <x v="0"/>
    <x v="6"/>
    <x v="2"/>
    <x v="0"/>
    <x v="0"/>
    <x v="0"/>
    <x v="0"/>
    <x v="0"/>
    <x v="0"/>
    <x v="0"/>
    <x v="3"/>
    <x v="3"/>
  </r>
  <r>
    <x v="562"/>
    <x v="77"/>
    <x v="356"/>
    <x v="12"/>
    <x v="3"/>
    <x v="0"/>
    <x v="8"/>
    <x v="2"/>
    <x v="2"/>
    <x v="8"/>
    <x v="10"/>
    <x v="0"/>
    <x v="0"/>
    <x v="2"/>
    <x v="0"/>
  </r>
  <r>
    <x v="563"/>
    <x v="77"/>
    <x v="252"/>
    <x v="8"/>
    <x v="3"/>
    <x v="0"/>
    <x v="11"/>
    <x v="1"/>
    <x v="2"/>
    <x v="11"/>
    <x v="24"/>
    <x v="0"/>
    <x v="0"/>
    <x v="0"/>
    <x v="3"/>
  </r>
  <r>
    <x v="564"/>
    <x v="76"/>
    <x v="357"/>
    <x v="8"/>
    <x v="6"/>
    <x v="0"/>
    <x v="2"/>
    <x v="2"/>
    <x v="2"/>
    <x v="2"/>
    <x v="2"/>
    <x v="1"/>
    <x v="0"/>
    <x v="2"/>
    <x v="1"/>
  </r>
  <r>
    <x v="565"/>
    <x v="76"/>
    <x v="2"/>
    <x v="1"/>
    <x v="6"/>
    <x v="0"/>
    <x v="7"/>
    <x v="2"/>
    <x v="2"/>
    <x v="7"/>
    <x v="25"/>
    <x v="1"/>
    <x v="1"/>
    <x v="1"/>
    <x v="4"/>
  </r>
  <r>
    <x v="566"/>
    <x v="76"/>
    <x v="358"/>
    <x v="1"/>
    <x v="6"/>
    <x v="2"/>
    <x v="7"/>
    <x v="2"/>
    <x v="2"/>
    <x v="7"/>
    <x v="46"/>
    <x v="1"/>
    <x v="3"/>
    <x v="2"/>
    <x v="2"/>
  </r>
  <r>
    <x v="567"/>
    <x v="77"/>
    <x v="359"/>
    <x v="2"/>
    <x v="3"/>
    <x v="0"/>
    <x v="6"/>
    <x v="0"/>
    <x v="2"/>
    <x v="6"/>
    <x v="60"/>
    <x v="0"/>
    <x v="3"/>
    <x v="2"/>
    <x v="1"/>
  </r>
  <r>
    <x v="568"/>
    <x v="78"/>
    <x v="360"/>
    <x v="10"/>
    <x v="0"/>
    <x v="0"/>
    <x v="1"/>
    <x v="1"/>
    <x v="2"/>
    <x v="1"/>
    <x v="8"/>
    <x v="1"/>
    <x v="0"/>
    <x v="1"/>
    <x v="0"/>
  </r>
  <r>
    <x v="569"/>
    <x v="78"/>
    <x v="361"/>
    <x v="0"/>
    <x v="0"/>
    <x v="0"/>
    <x v="7"/>
    <x v="2"/>
    <x v="2"/>
    <x v="7"/>
    <x v="9"/>
    <x v="1"/>
    <x v="0"/>
    <x v="0"/>
    <x v="4"/>
  </r>
  <r>
    <x v="570"/>
    <x v="78"/>
    <x v="362"/>
    <x v="8"/>
    <x v="0"/>
    <x v="0"/>
    <x v="2"/>
    <x v="2"/>
    <x v="2"/>
    <x v="2"/>
    <x v="2"/>
    <x v="0"/>
    <x v="0"/>
    <x v="0"/>
    <x v="0"/>
  </r>
  <r>
    <x v="571"/>
    <x v="79"/>
    <x v="363"/>
    <x v="5"/>
    <x v="5"/>
    <x v="0"/>
    <x v="7"/>
    <x v="2"/>
    <x v="2"/>
    <x v="7"/>
    <x v="9"/>
    <x v="1"/>
    <x v="0"/>
    <x v="1"/>
    <x v="0"/>
  </r>
  <r>
    <x v="572"/>
    <x v="78"/>
    <x v="265"/>
    <x v="1"/>
    <x v="0"/>
    <x v="2"/>
    <x v="0"/>
    <x v="0"/>
    <x v="1"/>
    <x v="0"/>
    <x v="2"/>
    <x v="1"/>
    <x v="0"/>
    <x v="3"/>
    <x v="0"/>
  </r>
  <r>
    <x v="573"/>
    <x v="80"/>
    <x v="132"/>
    <x v="7"/>
    <x v="1"/>
    <x v="0"/>
    <x v="5"/>
    <x v="1"/>
    <x v="0"/>
    <x v="5"/>
    <x v="17"/>
    <x v="0"/>
    <x v="0"/>
    <x v="0"/>
    <x v="2"/>
  </r>
  <r>
    <x v="574"/>
    <x v="80"/>
    <x v="139"/>
    <x v="8"/>
    <x v="1"/>
    <x v="0"/>
    <x v="11"/>
    <x v="1"/>
    <x v="2"/>
    <x v="11"/>
    <x v="24"/>
    <x v="0"/>
    <x v="0"/>
    <x v="0"/>
    <x v="4"/>
  </r>
  <r>
    <x v="575"/>
    <x v="80"/>
    <x v="364"/>
    <x v="1"/>
    <x v="1"/>
    <x v="1"/>
    <x v="12"/>
    <x v="4"/>
    <x v="2"/>
    <x v="8"/>
    <x v="10"/>
    <x v="0"/>
    <x v="0"/>
    <x v="0"/>
    <x v="4"/>
  </r>
  <r>
    <x v="576"/>
    <x v="80"/>
    <x v="72"/>
    <x v="3"/>
    <x v="1"/>
    <x v="2"/>
    <x v="6"/>
    <x v="0"/>
    <x v="2"/>
    <x v="6"/>
    <x v="6"/>
    <x v="0"/>
    <x v="0"/>
    <x v="0"/>
    <x v="1"/>
  </r>
  <r>
    <x v="577"/>
    <x v="80"/>
    <x v="85"/>
    <x v="3"/>
    <x v="1"/>
    <x v="0"/>
    <x v="4"/>
    <x v="1"/>
    <x v="2"/>
    <x v="4"/>
    <x v="15"/>
    <x v="1"/>
    <x v="0"/>
    <x v="0"/>
    <x v="1"/>
  </r>
  <r>
    <x v="578"/>
    <x v="80"/>
    <x v="365"/>
    <x v="2"/>
    <x v="1"/>
    <x v="1"/>
    <x v="4"/>
    <x v="1"/>
    <x v="2"/>
    <x v="4"/>
    <x v="15"/>
    <x v="1"/>
    <x v="0"/>
    <x v="2"/>
    <x v="4"/>
  </r>
  <r>
    <x v="579"/>
    <x v="81"/>
    <x v="366"/>
    <x v="10"/>
    <x v="2"/>
    <x v="0"/>
    <x v="6"/>
    <x v="0"/>
    <x v="2"/>
    <x v="6"/>
    <x v="60"/>
    <x v="0"/>
    <x v="3"/>
    <x v="0"/>
    <x v="0"/>
  </r>
  <r>
    <x v="580"/>
    <x v="81"/>
    <x v="367"/>
    <x v="10"/>
    <x v="2"/>
    <x v="0"/>
    <x v="0"/>
    <x v="0"/>
    <x v="0"/>
    <x v="0"/>
    <x v="53"/>
    <x v="0"/>
    <x v="1"/>
    <x v="2"/>
    <x v="4"/>
  </r>
  <r>
    <x v="581"/>
    <x v="81"/>
    <x v="154"/>
    <x v="0"/>
    <x v="2"/>
    <x v="0"/>
    <x v="4"/>
    <x v="1"/>
    <x v="2"/>
    <x v="4"/>
    <x v="15"/>
    <x v="0"/>
    <x v="0"/>
    <x v="2"/>
    <x v="0"/>
  </r>
  <r>
    <x v="582"/>
    <x v="81"/>
    <x v="142"/>
    <x v="0"/>
    <x v="2"/>
    <x v="0"/>
    <x v="7"/>
    <x v="2"/>
    <x v="2"/>
    <x v="7"/>
    <x v="9"/>
    <x v="0"/>
    <x v="0"/>
    <x v="2"/>
    <x v="1"/>
  </r>
  <r>
    <x v="583"/>
    <x v="81"/>
    <x v="209"/>
    <x v="1"/>
    <x v="2"/>
    <x v="0"/>
    <x v="9"/>
    <x v="3"/>
    <x v="2"/>
    <x v="7"/>
    <x v="9"/>
    <x v="0"/>
    <x v="0"/>
    <x v="0"/>
    <x v="1"/>
  </r>
  <r>
    <x v="584"/>
    <x v="81"/>
    <x v="29"/>
    <x v="3"/>
    <x v="2"/>
    <x v="1"/>
    <x v="0"/>
    <x v="0"/>
    <x v="0"/>
    <x v="0"/>
    <x v="0"/>
    <x v="0"/>
    <x v="0"/>
    <x v="3"/>
    <x v="2"/>
  </r>
  <r>
    <x v="585"/>
    <x v="81"/>
    <x v="169"/>
    <x v="3"/>
    <x v="2"/>
    <x v="0"/>
    <x v="5"/>
    <x v="1"/>
    <x v="2"/>
    <x v="5"/>
    <x v="5"/>
    <x v="0"/>
    <x v="0"/>
    <x v="0"/>
    <x v="0"/>
  </r>
  <r>
    <x v="586"/>
    <x v="81"/>
    <x v="368"/>
    <x v="2"/>
    <x v="2"/>
    <x v="1"/>
    <x v="14"/>
    <x v="3"/>
    <x v="2"/>
    <x v="14"/>
    <x v="25"/>
    <x v="0"/>
    <x v="0"/>
    <x v="0"/>
    <x v="2"/>
  </r>
  <r>
    <x v="587"/>
    <x v="81"/>
    <x v="369"/>
    <x v="2"/>
    <x v="2"/>
    <x v="2"/>
    <x v="11"/>
    <x v="1"/>
    <x v="2"/>
    <x v="11"/>
    <x v="45"/>
    <x v="0"/>
    <x v="1"/>
    <x v="2"/>
    <x v="4"/>
  </r>
  <r>
    <x v="588"/>
    <x v="82"/>
    <x v="370"/>
    <x v="7"/>
    <x v="3"/>
    <x v="2"/>
    <x v="8"/>
    <x v="2"/>
    <x v="2"/>
    <x v="8"/>
    <x v="10"/>
    <x v="0"/>
    <x v="0"/>
    <x v="0"/>
    <x v="2"/>
  </r>
  <r>
    <x v="589"/>
    <x v="82"/>
    <x v="274"/>
    <x v="5"/>
    <x v="3"/>
    <x v="0"/>
    <x v="1"/>
    <x v="1"/>
    <x v="2"/>
    <x v="1"/>
    <x v="8"/>
    <x v="0"/>
    <x v="0"/>
    <x v="1"/>
    <x v="3"/>
  </r>
  <r>
    <x v="590"/>
    <x v="83"/>
    <x v="371"/>
    <x v="7"/>
    <x v="4"/>
    <x v="1"/>
    <x v="3"/>
    <x v="3"/>
    <x v="0"/>
    <x v="3"/>
    <x v="14"/>
    <x v="0"/>
    <x v="0"/>
    <x v="1"/>
    <x v="1"/>
  </r>
  <r>
    <x v="591"/>
    <x v="83"/>
    <x v="153"/>
    <x v="0"/>
    <x v="4"/>
    <x v="2"/>
    <x v="6"/>
    <x v="0"/>
    <x v="2"/>
    <x v="6"/>
    <x v="6"/>
    <x v="1"/>
    <x v="0"/>
    <x v="2"/>
    <x v="3"/>
  </r>
  <r>
    <x v="592"/>
    <x v="83"/>
    <x v="372"/>
    <x v="8"/>
    <x v="4"/>
    <x v="0"/>
    <x v="10"/>
    <x v="4"/>
    <x v="0"/>
    <x v="10"/>
    <x v="64"/>
    <x v="0"/>
    <x v="3"/>
    <x v="0"/>
    <x v="3"/>
  </r>
  <r>
    <x v="593"/>
    <x v="83"/>
    <x v="373"/>
    <x v="5"/>
    <x v="4"/>
    <x v="0"/>
    <x v="8"/>
    <x v="2"/>
    <x v="2"/>
    <x v="8"/>
    <x v="36"/>
    <x v="1"/>
    <x v="1"/>
    <x v="0"/>
    <x v="4"/>
  </r>
  <r>
    <x v="594"/>
    <x v="83"/>
    <x v="158"/>
    <x v="1"/>
    <x v="4"/>
    <x v="0"/>
    <x v="10"/>
    <x v="4"/>
    <x v="2"/>
    <x v="10"/>
    <x v="13"/>
    <x v="0"/>
    <x v="0"/>
    <x v="2"/>
    <x v="1"/>
  </r>
  <r>
    <x v="595"/>
    <x v="83"/>
    <x v="91"/>
    <x v="3"/>
    <x v="4"/>
    <x v="0"/>
    <x v="9"/>
    <x v="3"/>
    <x v="2"/>
    <x v="7"/>
    <x v="9"/>
    <x v="0"/>
    <x v="0"/>
    <x v="0"/>
    <x v="1"/>
  </r>
  <r>
    <x v="596"/>
    <x v="83"/>
    <x v="334"/>
    <x v="2"/>
    <x v="4"/>
    <x v="1"/>
    <x v="5"/>
    <x v="1"/>
    <x v="0"/>
    <x v="5"/>
    <x v="17"/>
    <x v="0"/>
    <x v="0"/>
    <x v="0"/>
    <x v="0"/>
  </r>
  <r>
    <x v="597"/>
    <x v="83"/>
    <x v="374"/>
    <x v="2"/>
    <x v="4"/>
    <x v="0"/>
    <x v="7"/>
    <x v="2"/>
    <x v="2"/>
    <x v="7"/>
    <x v="9"/>
    <x v="0"/>
    <x v="0"/>
    <x v="1"/>
    <x v="2"/>
  </r>
  <r>
    <x v="598"/>
    <x v="83"/>
    <x v="375"/>
    <x v="4"/>
    <x v="4"/>
    <x v="0"/>
    <x v="0"/>
    <x v="0"/>
    <x v="0"/>
    <x v="0"/>
    <x v="0"/>
    <x v="0"/>
    <x v="0"/>
    <x v="0"/>
    <x v="0"/>
  </r>
  <r>
    <x v="599"/>
    <x v="84"/>
    <x v="376"/>
    <x v="10"/>
    <x v="5"/>
    <x v="1"/>
    <x v="9"/>
    <x v="3"/>
    <x v="2"/>
    <x v="7"/>
    <x v="9"/>
    <x v="0"/>
    <x v="0"/>
    <x v="2"/>
    <x v="3"/>
  </r>
  <r>
    <x v="600"/>
    <x v="84"/>
    <x v="377"/>
    <x v="10"/>
    <x v="5"/>
    <x v="0"/>
    <x v="6"/>
    <x v="0"/>
    <x v="2"/>
    <x v="6"/>
    <x v="6"/>
    <x v="0"/>
    <x v="0"/>
    <x v="0"/>
    <x v="1"/>
  </r>
  <r>
    <x v="601"/>
    <x v="84"/>
    <x v="329"/>
    <x v="7"/>
    <x v="5"/>
    <x v="0"/>
    <x v="11"/>
    <x v="1"/>
    <x v="2"/>
    <x v="11"/>
    <x v="24"/>
    <x v="0"/>
    <x v="0"/>
    <x v="1"/>
    <x v="4"/>
  </r>
  <r>
    <x v="602"/>
    <x v="84"/>
    <x v="378"/>
    <x v="0"/>
    <x v="5"/>
    <x v="0"/>
    <x v="6"/>
    <x v="0"/>
    <x v="0"/>
    <x v="6"/>
    <x v="2"/>
    <x v="0"/>
    <x v="0"/>
    <x v="0"/>
    <x v="3"/>
  </r>
  <r>
    <x v="603"/>
    <x v="84"/>
    <x v="287"/>
    <x v="12"/>
    <x v="5"/>
    <x v="0"/>
    <x v="3"/>
    <x v="3"/>
    <x v="2"/>
    <x v="3"/>
    <x v="3"/>
    <x v="0"/>
    <x v="0"/>
    <x v="2"/>
    <x v="0"/>
  </r>
  <r>
    <x v="604"/>
    <x v="84"/>
    <x v="379"/>
    <x v="5"/>
    <x v="5"/>
    <x v="0"/>
    <x v="6"/>
    <x v="0"/>
    <x v="2"/>
    <x v="6"/>
    <x v="6"/>
    <x v="0"/>
    <x v="0"/>
    <x v="0"/>
    <x v="0"/>
  </r>
  <r>
    <x v="605"/>
    <x v="84"/>
    <x v="294"/>
    <x v="5"/>
    <x v="5"/>
    <x v="2"/>
    <x v="11"/>
    <x v="1"/>
    <x v="2"/>
    <x v="11"/>
    <x v="24"/>
    <x v="1"/>
    <x v="0"/>
    <x v="0"/>
    <x v="4"/>
  </r>
  <r>
    <x v="606"/>
    <x v="84"/>
    <x v="50"/>
    <x v="5"/>
    <x v="5"/>
    <x v="2"/>
    <x v="5"/>
    <x v="1"/>
    <x v="3"/>
    <x v="5"/>
    <x v="65"/>
    <x v="1"/>
    <x v="3"/>
    <x v="0"/>
    <x v="1"/>
  </r>
  <r>
    <x v="607"/>
    <x v="84"/>
    <x v="318"/>
    <x v="2"/>
    <x v="5"/>
    <x v="2"/>
    <x v="10"/>
    <x v="4"/>
    <x v="2"/>
    <x v="10"/>
    <x v="66"/>
    <x v="1"/>
    <x v="1"/>
    <x v="1"/>
    <x v="0"/>
  </r>
  <r>
    <x v="608"/>
    <x v="84"/>
    <x v="380"/>
    <x v="2"/>
    <x v="5"/>
    <x v="0"/>
    <x v="1"/>
    <x v="1"/>
    <x v="2"/>
    <x v="1"/>
    <x v="8"/>
    <x v="0"/>
    <x v="0"/>
    <x v="2"/>
    <x v="3"/>
  </r>
  <r>
    <x v="609"/>
    <x v="85"/>
    <x v="181"/>
    <x v="7"/>
    <x v="6"/>
    <x v="0"/>
    <x v="2"/>
    <x v="2"/>
    <x v="0"/>
    <x v="2"/>
    <x v="36"/>
    <x v="1"/>
    <x v="1"/>
    <x v="3"/>
    <x v="1"/>
  </r>
  <r>
    <x v="610"/>
    <x v="85"/>
    <x v="381"/>
    <x v="0"/>
    <x v="6"/>
    <x v="0"/>
    <x v="7"/>
    <x v="2"/>
    <x v="2"/>
    <x v="7"/>
    <x v="9"/>
    <x v="0"/>
    <x v="0"/>
    <x v="2"/>
    <x v="2"/>
  </r>
  <r>
    <x v="611"/>
    <x v="85"/>
    <x v="191"/>
    <x v="12"/>
    <x v="6"/>
    <x v="0"/>
    <x v="4"/>
    <x v="1"/>
    <x v="0"/>
    <x v="4"/>
    <x v="35"/>
    <x v="0"/>
    <x v="0"/>
    <x v="1"/>
    <x v="4"/>
  </r>
  <r>
    <x v="612"/>
    <x v="85"/>
    <x v="382"/>
    <x v="11"/>
    <x v="6"/>
    <x v="2"/>
    <x v="0"/>
    <x v="0"/>
    <x v="2"/>
    <x v="0"/>
    <x v="7"/>
    <x v="0"/>
    <x v="0"/>
    <x v="0"/>
    <x v="1"/>
  </r>
  <r>
    <x v="613"/>
    <x v="85"/>
    <x v="383"/>
    <x v="8"/>
    <x v="6"/>
    <x v="1"/>
    <x v="11"/>
    <x v="1"/>
    <x v="2"/>
    <x v="11"/>
    <x v="24"/>
    <x v="0"/>
    <x v="0"/>
    <x v="0"/>
    <x v="1"/>
  </r>
  <r>
    <x v="614"/>
    <x v="85"/>
    <x v="379"/>
    <x v="5"/>
    <x v="6"/>
    <x v="0"/>
    <x v="4"/>
    <x v="1"/>
    <x v="2"/>
    <x v="4"/>
    <x v="15"/>
    <x v="0"/>
    <x v="0"/>
    <x v="2"/>
    <x v="1"/>
  </r>
  <r>
    <x v="615"/>
    <x v="85"/>
    <x v="384"/>
    <x v="5"/>
    <x v="6"/>
    <x v="1"/>
    <x v="6"/>
    <x v="0"/>
    <x v="0"/>
    <x v="6"/>
    <x v="2"/>
    <x v="0"/>
    <x v="0"/>
    <x v="0"/>
    <x v="1"/>
  </r>
  <r>
    <x v="616"/>
    <x v="85"/>
    <x v="266"/>
    <x v="1"/>
    <x v="6"/>
    <x v="0"/>
    <x v="6"/>
    <x v="0"/>
    <x v="2"/>
    <x v="6"/>
    <x v="6"/>
    <x v="0"/>
    <x v="0"/>
    <x v="0"/>
    <x v="2"/>
  </r>
  <r>
    <x v="617"/>
    <x v="85"/>
    <x v="358"/>
    <x v="1"/>
    <x v="6"/>
    <x v="0"/>
    <x v="6"/>
    <x v="0"/>
    <x v="2"/>
    <x v="6"/>
    <x v="6"/>
    <x v="0"/>
    <x v="0"/>
    <x v="3"/>
    <x v="3"/>
  </r>
  <r>
    <x v="618"/>
    <x v="85"/>
    <x v="385"/>
    <x v="3"/>
    <x v="6"/>
    <x v="1"/>
    <x v="4"/>
    <x v="1"/>
    <x v="2"/>
    <x v="4"/>
    <x v="15"/>
    <x v="1"/>
    <x v="0"/>
    <x v="0"/>
    <x v="1"/>
  </r>
  <r>
    <x v="619"/>
    <x v="85"/>
    <x v="91"/>
    <x v="3"/>
    <x v="6"/>
    <x v="0"/>
    <x v="10"/>
    <x v="4"/>
    <x v="2"/>
    <x v="10"/>
    <x v="13"/>
    <x v="0"/>
    <x v="0"/>
    <x v="3"/>
    <x v="1"/>
  </r>
  <r>
    <x v="620"/>
    <x v="86"/>
    <x v="386"/>
    <x v="0"/>
    <x v="0"/>
    <x v="1"/>
    <x v="4"/>
    <x v="1"/>
    <x v="2"/>
    <x v="4"/>
    <x v="4"/>
    <x v="0"/>
    <x v="1"/>
    <x v="2"/>
    <x v="1"/>
  </r>
  <r>
    <x v="621"/>
    <x v="86"/>
    <x v="387"/>
    <x v="8"/>
    <x v="0"/>
    <x v="2"/>
    <x v="13"/>
    <x v="0"/>
    <x v="2"/>
    <x v="2"/>
    <x v="2"/>
    <x v="0"/>
    <x v="0"/>
    <x v="0"/>
    <x v="4"/>
  </r>
  <r>
    <x v="622"/>
    <x v="86"/>
    <x v="12"/>
    <x v="1"/>
    <x v="0"/>
    <x v="0"/>
    <x v="14"/>
    <x v="3"/>
    <x v="2"/>
    <x v="14"/>
    <x v="25"/>
    <x v="0"/>
    <x v="0"/>
    <x v="4"/>
    <x v="3"/>
  </r>
  <r>
    <x v="623"/>
    <x v="86"/>
    <x v="83"/>
    <x v="1"/>
    <x v="0"/>
    <x v="0"/>
    <x v="6"/>
    <x v="0"/>
    <x v="2"/>
    <x v="6"/>
    <x v="6"/>
    <x v="0"/>
    <x v="0"/>
    <x v="2"/>
    <x v="0"/>
  </r>
  <r>
    <x v="624"/>
    <x v="86"/>
    <x v="184"/>
    <x v="1"/>
    <x v="0"/>
    <x v="0"/>
    <x v="9"/>
    <x v="3"/>
    <x v="2"/>
    <x v="7"/>
    <x v="9"/>
    <x v="0"/>
    <x v="0"/>
    <x v="0"/>
    <x v="0"/>
  </r>
  <r>
    <x v="625"/>
    <x v="86"/>
    <x v="91"/>
    <x v="3"/>
    <x v="0"/>
    <x v="0"/>
    <x v="1"/>
    <x v="1"/>
    <x v="2"/>
    <x v="1"/>
    <x v="8"/>
    <x v="0"/>
    <x v="0"/>
    <x v="0"/>
    <x v="1"/>
  </r>
  <r>
    <x v="626"/>
    <x v="86"/>
    <x v="93"/>
    <x v="2"/>
    <x v="0"/>
    <x v="0"/>
    <x v="5"/>
    <x v="1"/>
    <x v="2"/>
    <x v="5"/>
    <x v="5"/>
    <x v="0"/>
    <x v="0"/>
    <x v="1"/>
    <x v="1"/>
  </r>
  <r>
    <x v="627"/>
    <x v="87"/>
    <x v="388"/>
    <x v="11"/>
    <x v="1"/>
    <x v="0"/>
    <x v="6"/>
    <x v="0"/>
    <x v="1"/>
    <x v="6"/>
    <x v="25"/>
    <x v="1"/>
    <x v="0"/>
    <x v="2"/>
    <x v="0"/>
  </r>
  <r>
    <x v="628"/>
    <x v="87"/>
    <x v="373"/>
    <x v="5"/>
    <x v="1"/>
    <x v="0"/>
    <x v="4"/>
    <x v="1"/>
    <x v="2"/>
    <x v="4"/>
    <x v="15"/>
    <x v="0"/>
    <x v="0"/>
    <x v="2"/>
    <x v="3"/>
  </r>
  <r>
    <x v="629"/>
    <x v="87"/>
    <x v="258"/>
    <x v="1"/>
    <x v="1"/>
    <x v="1"/>
    <x v="7"/>
    <x v="2"/>
    <x v="2"/>
    <x v="7"/>
    <x v="9"/>
    <x v="0"/>
    <x v="0"/>
    <x v="0"/>
    <x v="1"/>
  </r>
  <r>
    <x v="630"/>
    <x v="87"/>
    <x v="389"/>
    <x v="3"/>
    <x v="1"/>
    <x v="0"/>
    <x v="1"/>
    <x v="1"/>
    <x v="0"/>
    <x v="1"/>
    <x v="16"/>
    <x v="0"/>
    <x v="0"/>
    <x v="0"/>
    <x v="0"/>
  </r>
  <r>
    <x v="631"/>
    <x v="87"/>
    <x v="295"/>
    <x v="2"/>
    <x v="1"/>
    <x v="0"/>
    <x v="9"/>
    <x v="3"/>
    <x v="2"/>
    <x v="7"/>
    <x v="9"/>
    <x v="0"/>
    <x v="0"/>
    <x v="0"/>
    <x v="1"/>
  </r>
  <r>
    <x v="632"/>
    <x v="88"/>
    <x v="329"/>
    <x v="7"/>
    <x v="2"/>
    <x v="0"/>
    <x v="10"/>
    <x v="4"/>
    <x v="0"/>
    <x v="10"/>
    <x v="32"/>
    <x v="0"/>
    <x v="0"/>
    <x v="2"/>
    <x v="1"/>
  </r>
  <r>
    <x v="633"/>
    <x v="88"/>
    <x v="390"/>
    <x v="11"/>
    <x v="2"/>
    <x v="1"/>
    <x v="9"/>
    <x v="3"/>
    <x v="2"/>
    <x v="7"/>
    <x v="9"/>
    <x v="0"/>
    <x v="0"/>
    <x v="0"/>
    <x v="3"/>
  </r>
  <r>
    <x v="634"/>
    <x v="88"/>
    <x v="269"/>
    <x v="8"/>
    <x v="2"/>
    <x v="1"/>
    <x v="2"/>
    <x v="2"/>
    <x v="2"/>
    <x v="2"/>
    <x v="2"/>
    <x v="0"/>
    <x v="0"/>
    <x v="0"/>
    <x v="0"/>
  </r>
  <r>
    <x v="635"/>
    <x v="89"/>
    <x v="391"/>
    <x v="7"/>
    <x v="3"/>
    <x v="0"/>
    <x v="14"/>
    <x v="3"/>
    <x v="1"/>
    <x v="14"/>
    <x v="67"/>
    <x v="0"/>
    <x v="0"/>
    <x v="3"/>
    <x v="2"/>
  </r>
  <r>
    <x v="636"/>
    <x v="89"/>
    <x v="392"/>
    <x v="0"/>
    <x v="3"/>
    <x v="2"/>
    <x v="0"/>
    <x v="0"/>
    <x v="2"/>
    <x v="0"/>
    <x v="31"/>
    <x v="0"/>
    <x v="2"/>
    <x v="1"/>
    <x v="3"/>
  </r>
  <r>
    <x v="637"/>
    <x v="89"/>
    <x v="393"/>
    <x v="11"/>
    <x v="3"/>
    <x v="0"/>
    <x v="10"/>
    <x v="4"/>
    <x v="2"/>
    <x v="10"/>
    <x v="13"/>
    <x v="0"/>
    <x v="0"/>
    <x v="3"/>
    <x v="1"/>
  </r>
  <r>
    <x v="638"/>
    <x v="89"/>
    <x v="54"/>
    <x v="1"/>
    <x v="3"/>
    <x v="0"/>
    <x v="6"/>
    <x v="0"/>
    <x v="2"/>
    <x v="6"/>
    <x v="6"/>
    <x v="0"/>
    <x v="0"/>
    <x v="0"/>
    <x v="0"/>
  </r>
  <r>
    <x v="639"/>
    <x v="89"/>
    <x v="364"/>
    <x v="1"/>
    <x v="3"/>
    <x v="2"/>
    <x v="0"/>
    <x v="0"/>
    <x v="1"/>
    <x v="0"/>
    <x v="2"/>
    <x v="0"/>
    <x v="0"/>
    <x v="1"/>
    <x v="0"/>
  </r>
  <r>
    <x v="640"/>
    <x v="89"/>
    <x v="15"/>
    <x v="2"/>
    <x v="3"/>
    <x v="0"/>
    <x v="4"/>
    <x v="1"/>
    <x v="0"/>
    <x v="4"/>
    <x v="35"/>
    <x v="0"/>
    <x v="0"/>
    <x v="0"/>
    <x v="0"/>
  </r>
  <r>
    <x v="641"/>
    <x v="89"/>
    <x v="116"/>
    <x v="2"/>
    <x v="3"/>
    <x v="0"/>
    <x v="2"/>
    <x v="2"/>
    <x v="0"/>
    <x v="2"/>
    <x v="10"/>
    <x v="0"/>
    <x v="0"/>
    <x v="1"/>
    <x v="0"/>
  </r>
  <r>
    <x v="642"/>
    <x v="90"/>
    <x v="394"/>
    <x v="8"/>
    <x v="4"/>
    <x v="2"/>
    <x v="0"/>
    <x v="0"/>
    <x v="2"/>
    <x v="0"/>
    <x v="7"/>
    <x v="0"/>
    <x v="0"/>
    <x v="0"/>
    <x v="2"/>
  </r>
  <r>
    <x v="643"/>
    <x v="90"/>
    <x v="175"/>
    <x v="5"/>
    <x v="4"/>
    <x v="2"/>
    <x v="0"/>
    <x v="0"/>
    <x v="2"/>
    <x v="0"/>
    <x v="7"/>
    <x v="0"/>
    <x v="0"/>
    <x v="0"/>
    <x v="4"/>
  </r>
  <r>
    <x v="644"/>
    <x v="90"/>
    <x v="50"/>
    <x v="5"/>
    <x v="4"/>
    <x v="1"/>
    <x v="7"/>
    <x v="2"/>
    <x v="0"/>
    <x v="7"/>
    <x v="12"/>
    <x v="0"/>
    <x v="0"/>
    <x v="0"/>
    <x v="0"/>
  </r>
  <r>
    <x v="645"/>
    <x v="90"/>
    <x v="395"/>
    <x v="1"/>
    <x v="4"/>
    <x v="2"/>
    <x v="11"/>
    <x v="1"/>
    <x v="2"/>
    <x v="11"/>
    <x v="24"/>
    <x v="0"/>
    <x v="0"/>
    <x v="2"/>
    <x v="0"/>
  </r>
  <r>
    <x v="646"/>
    <x v="90"/>
    <x v="235"/>
    <x v="1"/>
    <x v="4"/>
    <x v="0"/>
    <x v="13"/>
    <x v="0"/>
    <x v="2"/>
    <x v="2"/>
    <x v="2"/>
    <x v="1"/>
    <x v="0"/>
    <x v="0"/>
    <x v="0"/>
  </r>
  <r>
    <x v="647"/>
    <x v="90"/>
    <x v="6"/>
    <x v="1"/>
    <x v="4"/>
    <x v="0"/>
    <x v="10"/>
    <x v="4"/>
    <x v="2"/>
    <x v="10"/>
    <x v="13"/>
    <x v="0"/>
    <x v="0"/>
    <x v="1"/>
    <x v="3"/>
  </r>
  <r>
    <x v="648"/>
    <x v="90"/>
    <x v="228"/>
    <x v="3"/>
    <x v="4"/>
    <x v="0"/>
    <x v="7"/>
    <x v="2"/>
    <x v="1"/>
    <x v="7"/>
    <x v="8"/>
    <x v="1"/>
    <x v="0"/>
    <x v="1"/>
    <x v="0"/>
  </r>
  <r>
    <x v="649"/>
    <x v="90"/>
    <x v="85"/>
    <x v="3"/>
    <x v="4"/>
    <x v="2"/>
    <x v="1"/>
    <x v="1"/>
    <x v="2"/>
    <x v="1"/>
    <x v="8"/>
    <x v="1"/>
    <x v="0"/>
    <x v="0"/>
    <x v="1"/>
  </r>
  <r>
    <x v="650"/>
    <x v="90"/>
    <x v="4"/>
    <x v="2"/>
    <x v="4"/>
    <x v="1"/>
    <x v="6"/>
    <x v="0"/>
    <x v="1"/>
    <x v="6"/>
    <x v="25"/>
    <x v="0"/>
    <x v="0"/>
    <x v="0"/>
    <x v="0"/>
  </r>
  <r>
    <x v="651"/>
    <x v="90"/>
    <x v="327"/>
    <x v="2"/>
    <x v="4"/>
    <x v="1"/>
    <x v="9"/>
    <x v="3"/>
    <x v="2"/>
    <x v="7"/>
    <x v="9"/>
    <x v="0"/>
    <x v="0"/>
    <x v="0"/>
    <x v="0"/>
  </r>
  <r>
    <x v="652"/>
    <x v="90"/>
    <x v="396"/>
    <x v="4"/>
    <x v="4"/>
    <x v="0"/>
    <x v="0"/>
    <x v="0"/>
    <x v="2"/>
    <x v="0"/>
    <x v="7"/>
    <x v="0"/>
    <x v="0"/>
    <x v="0"/>
    <x v="4"/>
  </r>
  <r>
    <x v="653"/>
    <x v="91"/>
    <x v="397"/>
    <x v="7"/>
    <x v="5"/>
    <x v="0"/>
    <x v="14"/>
    <x v="3"/>
    <x v="2"/>
    <x v="14"/>
    <x v="25"/>
    <x v="0"/>
    <x v="0"/>
    <x v="0"/>
    <x v="0"/>
  </r>
  <r>
    <x v="654"/>
    <x v="91"/>
    <x v="398"/>
    <x v="7"/>
    <x v="5"/>
    <x v="0"/>
    <x v="6"/>
    <x v="0"/>
    <x v="2"/>
    <x v="6"/>
    <x v="6"/>
    <x v="1"/>
    <x v="0"/>
    <x v="2"/>
    <x v="3"/>
  </r>
  <r>
    <x v="655"/>
    <x v="91"/>
    <x v="399"/>
    <x v="8"/>
    <x v="5"/>
    <x v="0"/>
    <x v="11"/>
    <x v="1"/>
    <x v="2"/>
    <x v="11"/>
    <x v="24"/>
    <x v="1"/>
    <x v="0"/>
    <x v="0"/>
    <x v="4"/>
  </r>
  <r>
    <x v="656"/>
    <x v="91"/>
    <x v="379"/>
    <x v="5"/>
    <x v="5"/>
    <x v="2"/>
    <x v="2"/>
    <x v="2"/>
    <x v="2"/>
    <x v="2"/>
    <x v="30"/>
    <x v="0"/>
    <x v="1"/>
    <x v="0"/>
    <x v="2"/>
  </r>
  <r>
    <x v="657"/>
    <x v="91"/>
    <x v="348"/>
    <x v="5"/>
    <x v="5"/>
    <x v="0"/>
    <x v="6"/>
    <x v="0"/>
    <x v="2"/>
    <x v="6"/>
    <x v="6"/>
    <x v="0"/>
    <x v="0"/>
    <x v="3"/>
    <x v="3"/>
  </r>
  <r>
    <x v="658"/>
    <x v="91"/>
    <x v="122"/>
    <x v="1"/>
    <x v="5"/>
    <x v="1"/>
    <x v="6"/>
    <x v="0"/>
    <x v="0"/>
    <x v="6"/>
    <x v="57"/>
    <x v="0"/>
    <x v="2"/>
    <x v="3"/>
    <x v="0"/>
  </r>
  <r>
    <x v="659"/>
    <x v="91"/>
    <x v="281"/>
    <x v="1"/>
    <x v="5"/>
    <x v="0"/>
    <x v="7"/>
    <x v="2"/>
    <x v="2"/>
    <x v="7"/>
    <x v="9"/>
    <x v="0"/>
    <x v="0"/>
    <x v="2"/>
    <x v="3"/>
  </r>
  <r>
    <x v="660"/>
    <x v="91"/>
    <x v="90"/>
    <x v="3"/>
    <x v="5"/>
    <x v="0"/>
    <x v="10"/>
    <x v="4"/>
    <x v="0"/>
    <x v="10"/>
    <x v="32"/>
    <x v="1"/>
    <x v="0"/>
    <x v="0"/>
    <x v="2"/>
  </r>
  <r>
    <x v="661"/>
    <x v="91"/>
    <x v="52"/>
    <x v="3"/>
    <x v="5"/>
    <x v="0"/>
    <x v="6"/>
    <x v="0"/>
    <x v="2"/>
    <x v="6"/>
    <x v="6"/>
    <x v="0"/>
    <x v="0"/>
    <x v="0"/>
    <x v="4"/>
  </r>
  <r>
    <x v="662"/>
    <x v="91"/>
    <x v="95"/>
    <x v="3"/>
    <x v="5"/>
    <x v="2"/>
    <x v="13"/>
    <x v="0"/>
    <x v="2"/>
    <x v="2"/>
    <x v="2"/>
    <x v="0"/>
    <x v="0"/>
    <x v="2"/>
    <x v="1"/>
  </r>
  <r>
    <x v="663"/>
    <x v="91"/>
    <x v="334"/>
    <x v="2"/>
    <x v="5"/>
    <x v="0"/>
    <x v="10"/>
    <x v="4"/>
    <x v="2"/>
    <x v="10"/>
    <x v="13"/>
    <x v="1"/>
    <x v="0"/>
    <x v="0"/>
    <x v="0"/>
  </r>
  <r>
    <x v="664"/>
    <x v="91"/>
    <x v="96"/>
    <x v="2"/>
    <x v="5"/>
    <x v="0"/>
    <x v="11"/>
    <x v="1"/>
    <x v="2"/>
    <x v="11"/>
    <x v="24"/>
    <x v="0"/>
    <x v="0"/>
    <x v="2"/>
    <x v="2"/>
  </r>
  <r>
    <x v="665"/>
    <x v="91"/>
    <x v="62"/>
    <x v="2"/>
    <x v="5"/>
    <x v="1"/>
    <x v="10"/>
    <x v="4"/>
    <x v="2"/>
    <x v="10"/>
    <x v="13"/>
    <x v="1"/>
    <x v="0"/>
    <x v="0"/>
    <x v="0"/>
  </r>
  <r>
    <x v="666"/>
    <x v="92"/>
    <x v="400"/>
    <x v="7"/>
    <x v="6"/>
    <x v="0"/>
    <x v="3"/>
    <x v="3"/>
    <x v="2"/>
    <x v="3"/>
    <x v="48"/>
    <x v="1"/>
    <x v="3"/>
    <x v="0"/>
    <x v="4"/>
  </r>
  <r>
    <x v="667"/>
    <x v="93"/>
    <x v="67"/>
    <x v="3"/>
    <x v="4"/>
    <x v="0"/>
    <x v="7"/>
    <x v="2"/>
    <x v="2"/>
    <x v="7"/>
    <x v="9"/>
    <x v="1"/>
    <x v="0"/>
    <x v="2"/>
    <x v="1"/>
  </r>
  <r>
    <x v="668"/>
    <x v="92"/>
    <x v="50"/>
    <x v="5"/>
    <x v="6"/>
    <x v="2"/>
    <x v="7"/>
    <x v="2"/>
    <x v="2"/>
    <x v="7"/>
    <x v="9"/>
    <x v="0"/>
    <x v="0"/>
    <x v="0"/>
    <x v="4"/>
  </r>
  <r>
    <x v="669"/>
    <x v="92"/>
    <x v="185"/>
    <x v="1"/>
    <x v="6"/>
    <x v="2"/>
    <x v="3"/>
    <x v="3"/>
    <x v="0"/>
    <x v="3"/>
    <x v="68"/>
    <x v="0"/>
    <x v="3"/>
    <x v="0"/>
    <x v="2"/>
  </r>
  <r>
    <x v="670"/>
    <x v="94"/>
    <x v="401"/>
    <x v="7"/>
    <x v="0"/>
    <x v="0"/>
    <x v="8"/>
    <x v="2"/>
    <x v="0"/>
    <x v="8"/>
    <x v="21"/>
    <x v="0"/>
    <x v="0"/>
    <x v="1"/>
    <x v="0"/>
  </r>
  <r>
    <x v="671"/>
    <x v="94"/>
    <x v="402"/>
    <x v="0"/>
    <x v="0"/>
    <x v="0"/>
    <x v="8"/>
    <x v="2"/>
    <x v="2"/>
    <x v="8"/>
    <x v="10"/>
    <x v="0"/>
    <x v="0"/>
    <x v="0"/>
    <x v="0"/>
  </r>
  <r>
    <x v="672"/>
    <x v="94"/>
    <x v="403"/>
    <x v="11"/>
    <x v="0"/>
    <x v="2"/>
    <x v="0"/>
    <x v="0"/>
    <x v="0"/>
    <x v="0"/>
    <x v="0"/>
    <x v="0"/>
    <x v="0"/>
    <x v="2"/>
    <x v="0"/>
  </r>
  <r>
    <x v="673"/>
    <x v="94"/>
    <x v="404"/>
    <x v="2"/>
    <x v="0"/>
    <x v="0"/>
    <x v="6"/>
    <x v="0"/>
    <x v="0"/>
    <x v="13"/>
    <x v="69"/>
    <x v="0"/>
    <x v="2"/>
    <x v="2"/>
    <x v="2"/>
  </r>
  <r>
    <x v="674"/>
    <x v="95"/>
    <x v="405"/>
    <x v="10"/>
    <x v="1"/>
    <x v="0"/>
    <x v="0"/>
    <x v="0"/>
    <x v="2"/>
    <x v="0"/>
    <x v="7"/>
    <x v="1"/>
    <x v="0"/>
    <x v="1"/>
    <x v="1"/>
  </r>
  <r>
    <x v="675"/>
    <x v="95"/>
    <x v="330"/>
    <x v="7"/>
    <x v="1"/>
    <x v="0"/>
    <x v="1"/>
    <x v="1"/>
    <x v="0"/>
    <x v="1"/>
    <x v="16"/>
    <x v="0"/>
    <x v="0"/>
    <x v="0"/>
    <x v="0"/>
  </r>
  <r>
    <x v="676"/>
    <x v="95"/>
    <x v="80"/>
    <x v="8"/>
    <x v="1"/>
    <x v="0"/>
    <x v="7"/>
    <x v="2"/>
    <x v="2"/>
    <x v="7"/>
    <x v="9"/>
    <x v="1"/>
    <x v="0"/>
    <x v="2"/>
    <x v="0"/>
  </r>
  <r>
    <x v="677"/>
    <x v="95"/>
    <x v="383"/>
    <x v="8"/>
    <x v="1"/>
    <x v="0"/>
    <x v="14"/>
    <x v="3"/>
    <x v="2"/>
    <x v="14"/>
    <x v="58"/>
    <x v="0"/>
    <x v="1"/>
    <x v="4"/>
    <x v="3"/>
  </r>
  <r>
    <x v="678"/>
    <x v="95"/>
    <x v="345"/>
    <x v="5"/>
    <x v="1"/>
    <x v="0"/>
    <x v="7"/>
    <x v="2"/>
    <x v="2"/>
    <x v="7"/>
    <x v="9"/>
    <x v="0"/>
    <x v="0"/>
    <x v="3"/>
    <x v="2"/>
  </r>
  <r>
    <x v="679"/>
    <x v="95"/>
    <x v="13"/>
    <x v="1"/>
    <x v="1"/>
    <x v="0"/>
    <x v="6"/>
    <x v="0"/>
    <x v="2"/>
    <x v="6"/>
    <x v="6"/>
    <x v="0"/>
    <x v="0"/>
    <x v="2"/>
    <x v="3"/>
  </r>
  <r>
    <x v="680"/>
    <x v="95"/>
    <x v="277"/>
    <x v="3"/>
    <x v="1"/>
    <x v="0"/>
    <x v="3"/>
    <x v="3"/>
    <x v="2"/>
    <x v="3"/>
    <x v="3"/>
    <x v="0"/>
    <x v="0"/>
    <x v="0"/>
    <x v="2"/>
  </r>
  <r>
    <x v="681"/>
    <x v="96"/>
    <x v="147"/>
    <x v="10"/>
    <x v="2"/>
    <x v="2"/>
    <x v="7"/>
    <x v="2"/>
    <x v="2"/>
    <x v="7"/>
    <x v="9"/>
    <x v="1"/>
    <x v="0"/>
    <x v="2"/>
    <x v="0"/>
  </r>
  <r>
    <x v="682"/>
    <x v="96"/>
    <x v="115"/>
    <x v="3"/>
    <x v="2"/>
    <x v="0"/>
    <x v="6"/>
    <x v="0"/>
    <x v="2"/>
    <x v="6"/>
    <x v="6"/>
    <x v="1"/>
    <x v="0"/>
    <x v="3"/>
    <x v="2"/>
  </r>
  <r>
    <x v="683"/>
    <x v="96"/>
    <x v="406"/>
    <x v="2"/>
    <x v="2"/>
    <x v="0"/>
    <x v="11"/>
    <x v="1"/>
    <x v="2"/>
    <x v="11"/>
    <x v="45"/>
    <x v="0"/>
    <x v="1"/>
    <x v="0"/>
    <x v="3"/>
  </r>
  <r>
    <x v="684"/>
    <x v="97"/>
    <x v="407"/>
    <x v="10"/>
    <x v="3"/>
    <x v="0"/>
    <x v="1"/>
    <x v="1"/>
    <x v="0"/>
    <x v="1"/>
    <x v="16"/>
    <x v="0"/>
    <x v="0"/>
    <x v="2"/>
    <x v="1"/>
  </r>
  <r>
    <x v="685"/>
    <x v="97"/>
    <x v="26"/>
    <x v="5"/>
    <x v="3"/>
    <x v="0"/>
    <x v="0"/>
    <x v="0"/>
    <x v="0"/>
    <x v="0"/>
    <x v="0"/>
    <x v="1"/>
    <x v="0"/>
    <x v="0"/>
    <x v="1"/>
  </r>
  <r>
    <x v="686"/>
    <x v="97"/>
    <x v="408"/>
    <x v="5"/>
    <x v="3"/>
    <x v="0"/>
    <x v="7"/>
    <x v="2"/>
    <x v="2"/>
    <x v="7"/>
    <x v="9"/>
    <x v="0"/>
    <x v="0"/>
    <x v="0"/>
    <x v="3"/>
  </r>
  <r>
    <x v="687"/>
    <x v="97"/>
    <x v="237"/>
    <x v="1"/>
    <x v="3"/>
    <x v="0"/>
    <x v="7"/>
    <x v="2"/>
    <x v="2"/>
    <x v="7"/>
    <x v="9"/>
    <x v="0"/>
    <x v="0"/>
    <x v="0"/>
    <x v="0"/>
  </r>
  <r>
    <x v="688"/>
    <x v="97"/>
    <x v="70"/>
    <x v="1"/>
    <x v="3"/>
    <x v="2"/>
    <x v="9"/>
    <x v="3"/>
    <x v="2"/>
    <x v="7"/>
    <x v="9"/>
    <x v="1"/>
    <x v="0"/>
    <x v="0"/>
    <x v="2"/>
  </r>
  <r>
    <x v="689"/>
    <x v="97"/>
    <x v="238"/>
    <x v="3"/>
    <x v="3"/>
    <x v="0"/>
    <x v="8"/>
    <x v="2"/>
    <x v="0"/>
    <x v="8"/>
    <x v="21"/>
    <x v="1"/>
    <x v="0"/>
    <x v="3"/>
    <x v="2"/>
  </r>
  <r>
    <x v="690"/>
    <x v="93"/>
    <x v="409"/>
    <x v="10"/>
    <x v="4"/>
    <x v="0"/>
    <x v="6"/>
    <x v="0"/>
    <x v="2"/>
    <x v="6"/>
    <x v="6"/>
    <x v="0"/>
    <x v="0"/>
    <x v="0"/>
    <x v="2"/>
  </r>
  <r>
    <x v="691"/>
    <x v="93"/>
    <x v="280"/>
    <x v="7"/>
    <x v="4"/>
    <x v="1"/>
    <x v="3"/>
    <x v="3"/>
    <x v="0"/>
    <x v="3"/>
    <x v="14"/>
    <x v="0"/>
    <x v="0"/>
    <x v="3"/>
    <x v="2"/>
  </r>
  <r>
    <x v="692"/>
    <x v="93"/>
    <x v="410"/>
    <x v="0"/>
    <x v="4"/>
    <x v="0"/>
    <x v="8"/>
    <x v="2"/>
    <x v="2"/>
    <x v="8"/>
    <x v="10"/>
    <x v="0"/>
    <x v="0"/>
    <x v="0"/>
    <x v="2"/>
  </r>
  <r>
    <x v="693"/>
    <x v="93"/>
    <x v="336"/>
    <x v="12"/>
    <x v="4"/>
    <x v="0"/>
    <x v="3"/>
    <x v="3"/>
    <x v="2"/>
    <x v="3"/>
    <x v="3"/>
    <x v="0"/>
    <x v="0"/>
    <x v="0"/>
    <x v="0"/>
  </r>
  <r>
    <x v="694"/>
    <x v="93"/>
    <x v="411"/>
    <x v="5"/>
    <x v="4"/>
    <x v="0"/>
    <x v="13"/>
    <x v="0"/>
    <x v="2"/>
    <x v="2"/>
    <x v="2"/>
    <x v="0"/>
    <x v="0"/>
    <x v="2"/>
    <x v="2"/>
  </r>
  <r>
    <x v="695"/>
    <x v="92"/>
    <x v="412"/>
    <x v="0"/>
    <x v="6"/>
    <x v="2"/>
    <x v="2"/>
    <x v="2"/>
    <x v="2"/>
    <x v="2"/>
    <x v="57"/>
    <x v="0"/>
    <x v="2"/>
    <x v="0"/>
    <x v="1"/>
  </r>
  <r>
    <x v="696"/>
    <x v="93"/>
    <x v="241"/>
    <x v="3"/>
    <x v="4"/>
    <x v="1"/>
    <x v="2"/>
    <x v="2"/>
    <x v="1"/>
    <x v="2"/>
    <x v="54"/>
    <x v="0"/>
    <x v="1"/>
    <x v="0"/>
    <x v="1"/>
  </r>
  <r>
    <x v="697"/>
    <x v="93"/>
    <x v="277"/>
    <x v="3"/>
    <x v="4"/>
    <x v="0"/>
    <x v="7"/>
    <x v="2"/>
    <x v="2"/>
    <x v="7"/>
    <x v="3"/>
    <x v="0"/>
    <x v="2"/>
    <x v="0"/>
    <x v="0"/>
  </r>
  <r>
    <x v="698"/>
    <x v="93"/>
    <x v="213"/>
    <x v="2"/>
    <x v="4"/>
    <x v="0"/>
    <x v="12"/>
    <x v="4"/>
    <x v="0"/>
    <x v="8"/>
    <x v="70"/>
    <x v="0"/>
    <x v="1"/>
    <x v="3"/>
    <x v="2"/>
  </r>
  <r>
    <x v="699"/>
    <x v="93"/>
    <x v="62"/>
    <x v="2"/>
    <x v="4"/>
    <x v="1"/>
    <x v="9"/>
    <x v="3"/>
    <x v="0"/>
    <x v="7"/>
    <x v="12"/>
    <x v="0"/>
    <x v="0"/>
    <x v="0"/>
    <x v="4"/>
  </r>
  <r>
    <x v="700"/>
    <x v="98"/>
    <x v="413"/>
    <x v="7"/>
    <x v="5"/>
    <x v="2"/>
    <x v="2"/>
    <x v="2"/>
    <x v="2"/>
    <x v="2"/>
    <x v="2"/>
    <x v="0"/>
    <x v="0"/>
    <x v="0"/>
    <x v="4"/>
  </r>
  <r>
    <x v="701"/>
    <x v="98"/>
    <x v="414"/>
    <x v="0"/>
    <x v="5"/>
    <x v="0"/>
    <x v="1"/>
    <x v="1"/>
    <x v="2"/>
    <x v="1"/>
    <x v="67"/>
    <x v="1"/>
    <x v="1"/>
    <x v="2"/>
    <x v="3"/>
  </r>
  <r>
    <x v="702"/>
    <x v="99"/>
    <x v="415"/>
    <x v="12"/>
    <x v="1"/>
    <x v="0"/>
    <x v="7"/>
    <x v="2"/>
    <x v="2"/>
    <x v="7"/>
    <x v="9"/>
    <x v="0"/>
    <x v="0"/>
    <x v="0"/>
    <x v="2"/>
  </r>
  <r>
    <x v="703"/>
    <x v="98"/>
    <x v="416"/>
    <x v="12"/>
    <x v="5"/>
    <x v="2"/>
    <x v="1"/>
    <x v="1"/>
    <x v="2"/>
    <x v="1"/>
    <x v="8"/>
    <x v="0"/>
    <x v="0"/>
    <x v="0"/>
    <x v="0"/>
  </r>
  <r>
    <x v="704"/>
    <x v="98"/>
    <x v="203"/>
    <x v="5"/>
    <x v="5"/>
    <x v="0"/>
    <x v="5"/>
    <x v="1"/>
    <x v="0"/>
    <x v="5"/>
    <x v="17"/>
    <x v="0"/>
    <x v="0"/>
    <x v="0"/>
    <x v="1"/>
  </r>
  <r>
    <x v="705"/>
    <x v="98"/>
    <x v="363"/>
    <x v="5"/>
    <x v="5"/>
    <x v="1"/>
    <x v="5"/>
    <x v="1"/>
    <x v="2"/>
    <x v="5"/>
    <x v="5"/>
    <x v="1"/>
    <x v="0"/>
    <x v="0"/>
    <x v="4"/>
  </r>
  <r>
    <x v="706"/>
    <x v="98"/>
    <x v="54"/>
    <x v="1"/>
    <x v="5"/>
    <x v="0"/>
    <x v="8"/>
    <x v="2"/>
    <x v="0"/>
    <x v="8"/>
    <x v="21"/>
    <x v="0"/>
    <x v="0"/>
    <x v="2"/>
    <x v="2"/>
  </r>
  <r>
    <x v="707"/>
    <x v="98"/>
    <x v="19"/>
    <x v="1"/>
    <x v="5"/>
    <x v="0"/>
    <x v="7"/>
    <x v="2"/>
    <x v="2"/>
    <x v="7"/>
    <x v="25"/>
    <x v="1"/>
    <x v="1"/>
    <x v="0"/>
    <x v="3"/>
  </r>
  <r>
    <x v="708"/>
    <x v="98"/>
    <x v="95"/>
    <x v="3"/>
    <x v="5"/>
    <x v="1"/>
    <x v="11"/>
    <x v="1"/>
    <x v="0"/>
    <x v="11"/>
    <x v="39"/>
    <x v="1"/>
    <x v="0"/>
    <x v="1"/>
    <x v="3"/>
  </r>
  <r>
    <x v="709"/>
    <x v="98"/>
    <x v="417"/>
    <x v="3"/>
    <x v="5"/>
    <x v="0"/>
    <x v="7"/>
    <x v="2"/>
    <x v="2"/>
    <x v="7"/>
    <x v="9"/>
    <x v="0"/>
    <x v="0"/>
    <x v="0"/>
    <x v="0"/>
  </r>
  <r>
    <x v="710"/>
    <x v="98"/>
    <x v="131"/>
    <x v="2"/>
    <x v="5"/>
    <x v="1"/>
    <x v="10"/>
    <x v="4"/>
    <x v="2"/>
    <x v="10"/>
    <x v="13"/>
    <x v="1"/>
    <x v="0"/>
    <x v="0"/>
    <x v="3"/>
  </r>
  <r>
    <x v="711"/>
    <x v="4"/>
    <x v="257"/>
    <x v="0"/>
    <x v="4"/>
    <x v="0"/>
    <x v="8"/>
    <x v="2"/>
    <x v="2"/>
    <x v="8"/>
    <x v="10"/>
    <x v="0"/>
    <x v="0"/>
    <x v="0"/>
    <x v="4"/>
  </r>
  <r>
    <x v="712"/>
    <x v="100"/>
    <x v="418"/>
    <x v="11"/>
    <x v="6"/>
    <x v="2"/>
    <x v="0"/>
    <x v="0"/>
    <x v="2"/>
    <x v="0"/>
    <x v="7"/>
    <x v="1"/>
    <x v="0"/>
    <x v="2"/>
    <x v="0"/>
  </r>
  <r>
    <x v="713"/>
    <x v="100"/>
    <x v="311"/>
    <x v="11"/>
    <x v="6"/>
    <x v="0"/>
    <x v="7"/>
    <x v="2"/>
    <x v="2"/>
    <x v="7"/>
    <x v="9"/>
    <x v="0"/>
    <x v="0"/>
    <x v="2"/>
    <x v="3"/>
  </r>
  <r>
    <x v="714"/>
    <x v="100"/>
    <x v="224"/>
    <x v="8"/>
    <x v="6"/>
    <x v="0"/>
    <x v="7"/>
    <x v="2"/>
    <x v="0"/>
    <x v="7"/>
    <x v="12"/>
    <x v="0"/>
    <x v="0"/>
    <x v="0"/>
    <x v="1"/>
  </r>
  <r>
    <x v="715"/>
    <x v="100"/>
    <x v="12"/>
    <x v="1"/>
    <x v="6"/>
    <x v="0"/>
    <x v="5"/>
    <x v="1"/>
    <x v="0"/>
    <x v="5"/>
    <x v="17"/>
    <x v="0"/>
    <x v="0"/>
    <x v="2"/>
    <x v="4"/>
  </r>
  <r>
    <x v="716"/>
    <x v="4"/>
    <x v="113"/>
    <x v="1"/>
    <x v="4"/>
    <x v="1"/>
    <x v="2"/>
    <x v="2"/>
    <x v="0"/>
    <x v="2"/>
    <x v="10"/>
    <x v="0"/>
    <x v="0"/>
    <x v="2"/>
    <x v="1"/>
  </r>
  <r>
    <x v="717"/>
    <x v="100"/>
    <x v="178"/>
    <x v="1"/>
    <x v="6"/>
    <x v="2"/>
    <x v="4"/>
    <x v="1"/>
    <x v="2"/>
    <x v="4"/>
    <x v="4"/>
    <x v="0"/>
    <x v="1"/>
    <x v="0"/>
    <x v="1"/>
  </r>
  <r>
    <x v="718"/>
    <x v="100"/>
    <x v="178"/>
    <x v="1"/>
    <x v="6"/>
    <x v="2"/>
    <x v="11"/>
    <x v="1"/>
    <x v="1"/>
    <x v="11"/>
    <x v="19"/>
    <x v="0"/>
    <x v="0"/>
    <x v="0"/>
    <x v="3"/>
  </r>
  <r>
    <x v="719"/>
    <x v="4"/>
    <x v="114"/>
    <x v="1"/>
    <x v="4"/>
    <x v="1"/>
    <x v="7"/>
    <x v="2"/>
    <x v="2"/>
    <x v="7"/>
    <x v="9"/>
    <x v="0"/>
    <x v="0"/>
    <x v="0"/>
    <x v="3"/>
  </r>
  <r>
    <x v="720"/>
    <x v="100"/>
    <x v="8"/>
    <x v="1"/>
    <x v="6"/>
    <x v="1"/>
    <x v="14"/>
    <x v="3"/>
    <x v="2"/>
    <x v="14"/>
    <x v="25"/>
    <x v="0"/>
    <x v="0"/>
    <x v="0"/>
    <x v="1"/>
  </r>
  <r>
    <x v="721"/>
    <x v="100"/>
    <x v="19"/>
    <x v="1"/>
    <x v="6"/>
    <x v="2"/>
    <x v="2"/>
    <x v="2"/>
    <x v="2"/>
    <x v="2"/>
    <x v="2"/>
    <x v="0"/>
    <x v="0"/>
    <x v="2"/>
    <x v="0"/>
  </r>
  <r>
    <x v="722"/>
    <x v="100"/>
    <x v="419"/>
    <x v="1"/>
    <x v="6"/>
    <x v="2"/>
    <x v="0"/>
    <x v="0"/>
    <x v="2"/>
    <x v="0"/>
    <x v="7"/>
    <x v="1"/>
    <x v="0"/>
    <x v="0"/>
    <x v="3"/>
  </r>
  <r>
    <x v="723"/>
    <x v="100"/>
    <x v="55"/>
    <x v="3"/>
    <x v="6"/>
    <x v="1"/>
    <x v="4"/>
    <x v="1"/>
    <x v="2"/>
    <x v="4"/>
    <x v="15"/>
    <x v="0"/>
    <x v="0"/>
    <x v="0"/>
    <x v="3"/>
  </r>
  <r>
    <x v="724"/>
    <x v="100"/>
    <x v="420"/>
    <x v="3"/>
    <x v="6"/>
    <x v="1"/>
    <x v="2"/>
    <x v="2"/>
    <x v="2"/>
    <x v="2"/>
    <x v="2"/>
    <x v="0"/>
    <x v="0"/>
    <x v="0"/>
    <x v="3"/>
  </r>
  <r>
    <x v="725"/>
    <x v="100"/>
    <x v="177"/>
    <x v="3"/>
    <x v="6"/>
    <x v="1"/>
    <x v="0"/>
    <x v="0"/>
    <x v="0"/>
    <x v="0"/>
    <x v="0"/>
    <x v="0"/>
    <x v="0"/>
    <x v="2"/>
    <x v="4"/>
  </r>
  <r>
    <x v="726"/>
    <x v="100"/>
    <x v="267"/>
    <x v="3"/>
    <x v="6"/>
    <x v="0"/>
    <x v="3"/>
    <x v="3"/>
    <x v="2"/>
    <x v="3"/>
    <x v="3"/>
    <x v="0"/>
    <x v="0"/>
    <x v="0"/>
    <x v="4"/>
  </r>
  <r>
    <x v="727"/>
    <x v="100"/>
    <x v="238"/>
    <x v="3"/>
    <x v="6"/>
    <x v="2"/>
    <x v="4"/>
    <x v="1"/>
    <x v="2"/>
    <x v="4"/>
    <x v="15"/>
    <x v="1"/>
    <x v="0"/>
    <x v="2"/>
    <x v="4"/>
  </r>
  <r>
    <x v="728"/>
    <x v="100"/>
    <x v="278"/>
    <x v="3"/>
    <x v="6"/>
    <x v="0"/>
    <x v="11"/>
    <x v="1"/>
    <x v="0"/>
    <x v="11"/>
    <x v="39"/>
    <x v="0"/>
    <x v="0"/>
    <x v="0"/>
    <x v="3"/>
  </r>
  <r>
    <x v="729"/>
    <x v="100"/>
    <x v="211"/>
    <x v="2"/>
    <x v="6"/>
    <x v="2"/>
    <x v="8"/>
    <x v="2"/>
    <x v="2"/>
    <x v="8"/>
    <x v="10"/>
    <x v="0"/>
    <x v="0"/>
    <x v="0"/>
    <x v="0"/>
  </r>
  <r>
    <x v="730"/>
    <x v="38"/>
    <x v="273"/>
    <x v="6"/>
    <x v="0"/>
    <x v="2"/>
    <x v="6"/>
    <x v="0"/>
    <x v="0"/>
    <x v="6"/>
    <x v="2"/>
    <x v="0"/>
    <x v="0"/>
    <x v="0"/>
    <x v="2"/>
  </r>
  <r>
    <x v="731"/>
    <x v="38"/>
    <x v="421"/>
    <x v="8"/>
    <x v="0"/>
    <x v="0"/>
    <x v="6"/>
    <x v="0"/>
    <x v="0"/>
    <x v="6"/>
    <x v="2"/>
    <x v="0"/>
    <x v="0"/>
    <x v="3"/>
    <x v="1"/>
  </r>
  <r>
    <x v="732"/>
    <x v="38"/>
    <x v="422"/>
    <x v="5"/>
    <x v="0"/>
    <x v="1"/>
    <x v="13"/>
    <x v="0"/>
    <x v="2"/>
    <x v="2"/>
    <x v="2"/>
    <x v="0"/>
    <x v="0"/>
    <x v="1"/>
    <x v="4"/>
  </r>
  <r>
    <x v="733"/>
    <x v="35"/>
    <x v="423"/>
    <x v="5"/>
    <x v="4"/>
    <x v="0"/>
    <x v="6"/>
    <x v="0"/>
    <x v="2"/>
    <x v="6"/>
    <x v="6"/>
    <x v="0"/>
    <x v="0"/>
    <x v="0"/>
    <x v="2"/>
  </r>
  <r>
    <x v="734"/>
    <x v="38"/>
    <x v="424"/>
    <x v="1"/>
    <x v="0"/>
    <x v="0"/>
    <x v="11"/>
    <x v="1"/>
    <x v="2"/>
    <x v="11"/>
    <x v="24"/>
    <x v="0"/>
    <x v="0"/>
    <x v="3"/>
    <x v="3"/>
  </r>
  <r>
    <x v="735"/>
    <x v="38"/>
    <x v="159"/>
    <x v="3"/>
    <x v="0"/>
    <x v="0"/>
    <x v="8"/>
    <x v="2"/>
    <x v="2"/>
    <x v="8"/>
    <x v="10"/>
    <x v="0"/>
    <x v="0"/>
    <x v="3"/>
    <x v="3"/>
  </r>
  <r>
    <x v="736"/>
    <x v="35"/>
    <x v="228"/>
    <x v="3"/>
    <x v="4"/>
    <x v="1"/>
    <x v="8"/>
    <x v="2"/>
    <x v="2"/>
    <x v="8"/>
    <x v="10"/>
    <x v="1"/>
    <x v="0"/>
    <x v="0"/>
    <x v="0"/>
  </r>
  <r>
    <x v="737"/>
    <x v="101"/>
    <x v="246"/>
    <x v="0"/>
    <x v="1"/>
    <x v="2"/>
    <x v="2"/>
    <x v="2"/>
    <x v="2"/>
    <x v="2"/>
    <x v="2"/>
    <x v="0"/>
    <x v="0"/>
    <x v="3"/>
    <x v="3"/>
  </r>
  <r>
    <x v="738"/>
    <x v="101"/>
    <x v="244"/>
    <x v="12"/>
    <x v="1"/>
    <x v="0"/>
    <x v="7"/>
    <x v="2"/>
    <x v="1"/>
    <x v="7"/>
    <x v="8"/>
    <x v="1"/>
    <x v="0"/>
    <x v="0"/>
    <x v="1"/>
  </r>
  <r>
    <x v="739"/>
    <x v="102"/>
    <x v="425"/>
    <x v="7"/>
    <x v="2"/>
    <x v="1"/>
    <x v="4"/>
    <x v="1"/>
    <x v="2"/>
    <x v="4"/>
    <x v="15"/>
    <x v="0"/>
    <x v="0"/>
    <x v="0"/>
    <x v="2"/>
  </r>
  <r>
    <x v="740"/>
    <x v="102"/>
    <x v="426"/>
    <x v="12"/>
    <x v="2"/>
    <x v="1"/>
    <x v="6"/>
    <x v="0"/>
    <x v="2"/>
    <x v="6"/>
    <x v="6"/>
    <x v="0"/>
    <x v="0"/>
    <x v="0"/>
    <x v="2"/>
  </r>
  <r>
    <x v="741"/>
    <x v="102"/>
    <x v="384"/>
    <x v="5"/>
    <x v="2"/>
    <x v="0"/>
    <x v="6"/>
    <x v="0"/>
    <x v="2"/>
    <x v="6"/>
    <x v="6"/>
    <x v="0"/>
    <x v="0"/>
    <x v="2"/>
    <x v="4"/>
  </r>
  <r>
    <x v="742"/>
    <x v="102"/>
    <x v="373"/>
    <x v="5"/>
    <x v="2"/>
    <x v="0"/>
    <x v="7"/>
    <x v="2"/>
    <x v="2"/>
    <x v="7"/>
    <x v="9"/>
    <x v="1"/>
    <x v="0"/>
    <x v="0"/>
    <x v="3"/>
  </r>
  <r>
    <x v="743"/>
    <x v="102"/>
    <x v="323"/>
    <x v="5"/>
    <x v="2"/>
    <x v="1"/>
    <x v="7"/>
    <x v="2"/>
    <x v="0"/>
    <x v="7"/>
    <x v="12"/>
    <x v="0"/>
    <x v="0"/>
    <x v="1"/>
    <x v="2"/>
  </r>
  <r>
    <x v="744"/>
    <x v="102"/>
    <x v="253"/>
    <x v="1"/>
    <x v="2"/>
    <x v="0"/>
    <x v="7"/>
    <x v="2"/>
    <x v="2"/>
    <x v="7"/>
    <x v="9"/>
    <x v="1"/>
    <x v="0"/>
    <x v="2"/>
    <x v="3"/>
  </r>
  <r>
    <x v="745"/>
    <x v="103"/>
    <x v="355"/>
    <x v="0"/>
    <x v="3"/>
    <x v="1"/>
    <x v="6"/>
    <x v="0"/>
    <x v="2"/>
    <x v="6"/>
    <x v="6"/>
    <x v="0"/>
    <x v="0"/>
    <x v="0"/>
    <x v="3"/>
  </r>
  <r>
    <x v="746"/>
    <x v="103"/>
    <x v="427"/>
    <x v="5"/>
    <x v="3"/>
    <x v="1"/>
    <x v="2"/>
    <x v="2"/>
    <x v="2"/>
    <x v="2"/>
    <x v="2"/>
    <x v="0"/>
    <x v="0"/>
    <x v="0"/>
    <x v="4"/>
  </r>
  <r>
    <x v="747"/>
    <x v="103"/>
    <x v="395"/>
    <x v="1"/>
    <x v="3"/>
    <x v="1"/>
    <x v="3"/>
    <x v="3"/>
    <x v="0"/>
    <x v="3"/>
    <x v="14"/>
    <x v="1"/>
    <x v="0"/>
    <x v="0"/>
    <x v="1"/>
  </r>
  <r>
    <x v="748"/>
    <x v="103"/>
    <x v="7"/>
    <x v="1"/>
    <x v="3"/>
    <x v="0"/>
    <x v="12"/>
    <x v="4"/>
    <x v="2"/>
    <x v="8"/>
    <x v="10"/>
    <x v="0"/>
    <x v="0"/>
    <x v="0"/>
    <x v="0"/>
  </r>
  <r>
    <x v="749"/>
    <x v="103"/>
    <x v="70"/>
    <x v="1"/>
    <x v="3"/>
    <x v="0"/>
    <x v="13"/>
    <x v="0"/>
    <x v="2"/>
    <x v="2"/>
    <x v="2"/>
    <x v="0"/>
    <x v="0"/>
    <x v="0"/>
    <x v="3"/>
  </r>
  <r>
    <x v="750"/>
    <x v="103"/>
    <x v="428"/>
    <x v="1"/>
    <x v="3"/>
    <x v="1"/>
    <x v="2"/>
    <x v="2"/>
    <x v="0"/>
    <x v="2"/>
    <x v="10"/>
    <x v="0"/>
    <x v="0"/>
    <x v="0"/>
    <x v="0"/>
  </r>
  <r>
    <x v="751"/>
    <x v="103"/>
    <x v="429"/>
    <x v="3"/>
    <x v="3"/>
    <x v="0"/>
    <x v="13"/>
    <x v="0"/>
    <x v="2"/>
    <x v="2"/>
    <x v="2"/>
    <x v="0"/>
    <x v="0"/>
    <x v="0"/>
    <x v="3"/>
  </r>
  <r>
    <x v="752"/>
    <x v="103"/>
    <x v="389"/>
    <x v="3"/>
    <x v="3"/>
    <x v="0"/>
    <x v="3"/>
    <x v="3"/>
    <x v="2"/>
    <x v="3"/>
    <x v="23"/>
    <x v="0"/>
    <x v="1"/>
    <x v="1"/>
    <x v="0"/>
  </r>
  <r>
    <x v="753"/>
    <x v="103"/>
    <x v="46"/>
    <x v="3"/>
    <x v="3"/>
    <x v="0"/>
    <x v="6"/>
    <x v="0"/>
    <x v="0"/>
    <x v="6"/>
    <x v="2"/>
    <x v="1"/>
    <x v="0"/>
    <x v="0"/>
    <x v="4"/>
  </r>
  <r>
    <x v="754"/>
    <x v="103"/>
    <x v="238"/>
    <x v="3"/>
    <x v="3"/>
    <x v="1"/>
    <x v="5"/>
    <x v="1"/>
    <x v="3"/>
    <x v="5"/>
    <x v="65"/>
    <x v="0"/>
    <x v="1"/>
    <x v="0"/>
    <x v="1"/>
  </r>
  <r>
    <x v="755"/>
    <x v="103"/>
    <x v="32"/>
    <x v="2"/>
    <x v="3"/>
    <x v="1"/>
    <x v="5"/>
    <x v="1"/>
    <x v="2"/>
    <x v="5"/>
    <x v="5"/>
    <x v="0"/>
    <x v="0"/>
    <x v="0"/>
    <x v="0"/>
  </r>
  <r>
    <x v="756"/>
    <x v="103"/>
    <x v="58"/>
    <x v="2"/>
    <x v="3"/>
    <x v="1"/>
    <x v="1"/>
    <x v="1"/>
    <x v="2"/>
    <x v="1"/>
    <x v="8"/>
    <x v="0"/>
    <x v="0"/>
    <x v="0"/>
    <x v="0"/>
  </r>
  <r>
    <x v="757"/>
    <x v="104"/>
    <x v="392"/>
    <x v="0"/>
    <x v="4"/>
    <x v="2"/>
    <x v="9"/>
    <x v="3"/>
    <x v="2"/>
    <x v="7"/>
    <x v="9"/>
    <x v="1"/>
    <x v="0"/>
    <x v="0"/>
    <x v="4"/>
  </r>
  <r>
    <x v="758"/>
    <x v="104"/>
    <x v="259"/>
    <x v="1"/>
    <x v="4"/>
    <x v="1"/>
    <x v="9"/>
    <x v="3"/>
    <x v="0"/>
    <x v="7"/>
    <x v="12"/>
    <x v="0"/>
    <x v="0"/>
    <x v="0"/>
    <x v="2"/>
  </r>
  <r>
    <x v="759"/>
    <x v="105"/>
    <x v="389"/>
    <x v="3"/>
    <x v="0"/>
    <x v="0"/>
    <x v="0"/>
    <x v="0"/>
    <x v="2"/>
    <x v="0"/>
    <x v="7"/>
    <x v="0"/>
    <x v="0"/>
    <x v="0"/>
    <x v="0"/>
  </r>
  <r>
    <x v="760"/>
    <x v="105"/>
    <x v="430"/>
    <x v="3"/>
    <x v="0"/>
    <x v="2"/>
    <x v="11"/>
    <x v="1"/>
    <x v="2"/>
    <x v="11"/>
    <x v="24"/>
    <x v="1"/>
    <x v="0"/>
    <x v="2"/>
    <x v="1"/>
  </r>
  <r>
    <x v="761"/>
    <x v="104"/>
    <x v="169"/>
    <x v="3"/>
    <x v="4"/>
    <x v="0"/>
    <x v="2"/>
    <x v="2"/>
    <x v="2"/>
    <x v="2"/>
    <x v="2"/>
    <x v="0"/>
    <x v="0"/>
    <x v="0"/>
    <x v="0"/>
  </r>
  <r>
    <x v="762"/>
    <x v="105"/>
    <x v="404"/>
    <x v="2"/>
    <x v="0"/>
    <x v="1"/>
    <x v="10"/>
    <x v="4"/>
    <x v="2"/>
    <x v="10"/>
    <x v="13"/>
    <x v="0"/>
    <x v="0"/>
    <x v="0"/>
    <x v="1"/>
  </r>
  <r>
    <x v="763"/>
    <x v="104"/>
    <x v="431"/>
    <x v="4"/>
    <x v="4"/>
    <x v="1"/>
    <x v="13"/>
    <x v="0"/>
    <x v="2"/>
    <x v="2"/>
    <x v="2"/>
    <x v="0"/>
    <x v="0"/>
    <x v="0"/>
    <x v="3"/>
  </r>
  <r>
    <x v="764"/>
    <x v="106"/>
    <x v="432"/>
    <x v="10"/>
    <x v="5"/>
    <x v="0"/>
    <x v="11"/>
    <x v="1"/>
    <x v="1"/>
    <x v="11"/>
    <x v="19"/>
    <x v="0"/>
    <x v="0"/>
    <x v="0"/>
    <x v="4"/>
  </r>
  <r>
    <x v="765"/>
    <x v="106"/>
    <x v="146"/>
    <x v="10"/>
    <x v="5"/>
    <x v="2"/>
    <x v="6"/>
    <x v="0"/>
    <x v="2"/>
    <x v="6"/>
    <x v="6"/>
    <x v="0"/>
    <x v="0"/>
    <x v="0"/>
    <x v="0"/>
  </r>
  <r>
    <x v="766"/>
    <x v="106"/>
    <x v="433"/>
    <x v="6"/>
    <x v="5"/>
    <x v="2"/>
    <x v="9"/>
    <x v="3"/>
    <x v="2"/>
    <x v="7"/>
    <x v="25"/>
    <x v="0"/>
    <x v="1"/>
    <x v="3"/>
    <x v="0"/>
  </r>
  <r>
    <x v="767"/>
    <x v="106"/>
    <x v="434"/>
    <x v="8"/>
    <x v="5"/>
    <x v="1"/>
    <x v="6"/>
    <x v="0"/>
    <x v="0"/>
    <x v="6"/>
    <x v="2"/>
    <x v="1"/>
    <x v="0"/>
    <x v="3"/>
    <x v="4"/>
  </r>
  <r>
    <x v="768"/>
    <x v="106"/>
    <x v="195"/>
    <x v="5"/>
    <x v="5"/>
    <x v="1"/>
    <x v="8"/>
    <x v="2"/>
    <x v="2"/>
    <x v="8"/>
    <x v="10"/>
    <x v="0"/>
    <x v="0"/>
    <x v="0"/>
    <x v="0"/>
  </r>
  <r>
    <x v="769"/>
    <x v="107"/>
    <x v="82"/>
    <x v="1"/>
    <x v="3"/>
    <x v="2"/>
    <x v="2"/>
    <x v="2"/>
    <x v="2"/>
    <x v="2"/>
    <x v="2"/>
    <x v="0"/>
    <x v="0"/>
    <x v="0"/>
    <x v="4"/>
  </r>
  <r>
    <x v="770"/>
    <x v="106"/>
    <x v="266"/>
    <x v="1"/>
    <x v="5"/>
    <x v="0"/>
    <x v="0"/>
    <x v="0"/>
    <x v="2"/>
    <x v="0"/>
    <x v="7"/>
    <x v="0"/>
    <x v="0"/>
    <x v="0"/>
    <x v="1"/>
  </r>
  <r>
    <x v="771"/>
    <x v="106"/>
    <x v="435"/>
    <x v="1"/>
    <x v="5"/>
    <x v="1"/>
    <x v="9"/>
    <x v="3"/>
    <x v="2"/>
    <x v="7"/>
    <x v="9"/>
    <x v="1"/>
    <x v="0"/>
    <x v="2"/>
    <x v="4"/>
  </r>
  <r>
    <x v="772"/>
    <x v="106"/>
    <x v="228"/>
    <x v="3"/>
    <x v="5"/>
    <x v="2"/>
    <x v="1"/>
    <x v="1"/>
    <x v="2"/>
    <x v="1"/>
    <x v="8"/>
    <x v="0"/>
    <x v="0"/>
    <x v="0"/>
    <x v="3"/>
  </r>
  <r>
    <x v="773"/>
    <x v="107"/>
    <x v="84"/>
    <x v="3"/>
    <x v="3"/>
    <x v="0"/>
    <x v="7"/>
    <x v="2"/>
    <x v="2"/>
    <x v="7"/>
    <x v="9"/>
    <x v="0"/>
    <x v="0"/>
    <x v="2"/>
    <x v="3"/>
  </r>
  <r>
    <x v="774"/>
    <x v="106"/>
    <x v="436"/>
    <x v="2"/>
    <x v="5"/>
    <x v="0"/>
    <x v="3"/>
    <x v="3"/>
    <x v="1"/>
    <x v="3"/>
    <x v="21"/>
    <x v="0"/>
    <x v="0"/>
    <x v="3"/>
    <x v="3"/>
  </r>
  <r>
    <x v="775"/>
    <x v="106"/>
    <x v="437"/>
    <x v="4"/>
    <x v="5"/>
    <x v="1"/>
    <x v="2"/>
    <x v="2"/>
    <x v="2"/>
    <x v="2"/>
    <x v="2"/>
    <x v="0"/>
    <x v="0"/>
    <x v="0"/>
    <x v="4"/>
  </r>
  <r>
    <x v="776"/>
    <x v="108"/>
    <x v="438"/>
    <x v="10"/>
    <x v="6"/>
    <x v="0"/>
    <x v="3"/>
    <x v="3"/>
    <x v="2"/>
    <x v="3"/>
    <x v="3"/>
    <x v="0"/>
    <x v="0"/>
    <x v="0"/>
    <x v="3"/>
  </r>
  <r>
    <x v="777"/>
    <x v="108"/>
    <x v="261"/>
    <x v="0"/>
    <x v="6"/>
    <x v="1"/>
    <x v="6"/>
    <x v="0"/>
    <x v="2"/>
    <x v="6"/>
    <x v="6"/>
    <x v="1"/>
    <x v="0"/>
    <x v="3"/>
    <x v="1"/>
  </r>
  <r>
    <x v="778"/>
    <x v="108"/>
    <x v="221"/>
    <x v="0"/>
    <x v="6"/>
    <x v="0"/>
    <x v="2"/>
    <x v="2"/>
    <x v="1"/>
    <x v="2"/>
    <x v="40"/>
    <x v="0"/>
    <x v="0"/>
    <x v="0"/>
    <x v="3"/>
  </r>
  <r>
    <x v="779"/>
    <x v="108"/>
    <x v="379"/>
    <x v="5"/>
    <x v="6"/>
    <x v="0"/>
    <x v="3"/>
    <x v="3"/>
    <x v="2"/>
    <x v="3"/>
    <x v="3"/>
    <x v="0"/>
    <x v="0"/>
    <x v="2"/>
    <x v="1"/>
  </r>
  <r>
    <x v="780"/>
    <x v="108"/>
    <x v="167"/>
    <x v="5"/>
    <x v="6"/>
    <x v="0"/>
    <x v="12"/>
    <x v="4"/>
    <x v="2"/>
    <x v="8"/>
    <x v="10"/>
    <x v="0"/>
    <x v="0"/>
    <x v="2"/>
    <x v="2"/>
  </r>
  <r>
    <x v="781"/>
    <x v="108"/>
    <x v="120"/>
    <x v="5"/>
    <x v="6"/>
    <x v="0"/>
    <x v="3"/>
    <x v="3"/>
    <x v="2"/>
    <x v="3"/>
    <x v="3"/>
    <x v="1"/>
    <x v="0"/>
    <x v="0"/>
    <x v="0"/>
  </r>
  <r>
    <x v="782"/>
    <x v="108"/>
    <x v="3"/>
    <x v="1"/>
    <x v="6"/>
    <x v="1"/>
    <x v="6"/>
    <x v="0"/>
    <x v="2"/>
    <x v="6"/>
    <x v="6"/>
    <x v="0"/>
    <x v="0"/>
    <x v="0"/>
    <x v="2"/>
  </r>
  <r>
    <x v="783"/>
    <x v="108"/>
    <x v="186"/>
    <x v="3"/>
    <x v="6"/>
    <x v="0"/>
    <x v="7"/>
    <x v="2"/>
    <x v="2"/>
    <x v="7"/>
    <x v="9"/>
    <x v="0"/>
    <x v="0"/>
    <x v="0"/>
    <x v="2"/>
  </r>
  <r>
    <x v="784"/>
    <x v="108"/>
    <x v="277"/>
    <x v="3"/>
    <x v="6"/>
    <x v="1"/>
    <x v="6"/>
    <x v="0"/>
    <x v="0"/>
    <x v="6"/>
    <x v="2"/>
    <x v="1"/>
    <x v="0"/>
    <x v="2"/>
    <x v="0"/>
  </r>
  <r>
    <x v="785"/>
    <x v="108"/>
    <x v="333"/>
    <x v="3"/>
    <x v="6"/>
    <x v="0"/>
    <x v="7"/>
    <x v="2"/>
    <x v="2"/>
    <x v="7"/>
    <x v="9"/>
    <x v="0"/>
    <x v="0"/>
    <x v="2"/>
    <x v="4"/>
  </r>
  <r>
    <x v="786"/>
    <x v="108"/>
    <x v="333"/>
    <x v="3"/>
    <x v="6"/>
    <x v="2"/>
    <x v="8"/>
    <x v="2"/>
    <x v="2"/>
    <x v="8"/>
    <x v="10"/>
    <x v="0"/>
    <x v="0"/>
    <x v="2"/>
    <x v="1"/>
  </r>
  <r>
    <x v="787"/>
    <x v="108"/>
    <x v="301"/>
    <x v="3"/>
    <x v="6"/>
    <x v="0"/>
    <x v="6"/>
    <x v="0"/>
    <x v="2"/>
    <x v="6"/>
    <x v="6"/>
    <x v="0"/>
    <x v="0"/>
    <x v="2"/>
    <x v="1"/>
  </r>
  <r>
    <x v="788"/>
    <x v="108"/>
    <x v="439"/>
    <x v="3"/>
    <x v="6"/>
    <x v="0"/>
    <x v="3"/>
    <x v="3"/>
    <x v="0"/>
    <x v="3"/>
    <x v="14"/>
    <x v="0"/>
    <x v="0"/>
    <x v="1"/>
    <x v="2"/>
  </r>
  <r>
    <x v="789"/>
    <x v="108"/>
    <x v="440"/>
    <x v="2"/>
    <x v="6"/>
    <x v="0"/>
    <x v="10"/>
    <x v="4"/>
    <x v="2"/>
    <x v="10"/>
    <x v="13"/>
    <x v="1"/>
    <x v="0"/>
    <x v="2"/>
    <x v="2"/>
  </r>
  <r>
    <x v="790"/>
    <x v="108"/>
    <x v="436"/>
    <x v="2"/>
    <x v="6"/>
    <x v="1"/>
    <x v="2"/>
    <x v="2"/>
    <x v="2"/>
    <x v="2"/>
    <x v="2"/>
    <x v="1"/>
    <x v="0"/>
    <x v="0"/>
    <x v="1"/>
  </r>
  <r>
    <x v="791"/>
    <x v="109"/>
    <x v="393"/>
    <x v="11"/>
    <x v="0"/>
    <x v="0"/>
    <x v="6"/>
    <x v="0"/>
    <x v="2"/>
    <x v="6"/>
    <x v="6"/>
    <x v="0"/>
    <x v="0"/>
    <x v="0"/>
    <x v="3"/>
  </r>
  <r>
    <x v="792"/>
    <x v="109"/>
    <x v="441"/>
    <x v="5"/>
    <x v="0"/>
    <x v="0"/>
    <x v="10"/>
    <x v="4"/>
    <x v="2"/>
    <x v="10"/>
    <x v="13"/>
    <x v="1"/>
    <x v="0"/>
    <x v="0"/>
    <x v="2"/>
  </r>
  <r>
    <x v="793"/>
    <x v="109"/>
    <x v="177"/>
    <x v="3"/>
    <x v="0"/>
    <x v="0"/>
    <x v="11"/>
    <x v="1"/>
    <x v="2"/>
    <x v="11"/>
    <x v="24"/>
    <x v="1"/>
    <x v="0"/>
    <x v="1"/>
    <x v="2"/>
  </r>
  <r>
    <x v="794"/>
    <x v="109"/>
    <x v="20"/>
    <x v="2"/>
    <x v="0"/>
    <x v="1"/>
    <x v="0"/>
    <x v="0"/>
    <x v="2"/>
    <x v="0"/>
    <x v="7"/>
    <x v="1"/>
    <x v="0"/>
    <x v="0"/>
    <x v="3"/>
  </r>
  <r>
    <x v="795"/>
    <x v="109"/>
    <x v="442"/>
    <x v="4"/>
    <x v="0"/>
    <x v="1"/>
    <x v="7"/>
    <x v="2"/>
    <x v="2"/>
    <x v="7"/>
    <x v="9"/>
    <x v="0"/>
    <x v="0"/>
    <x v="0"/>
    <x v="2"/>
  </r>
  <r>
    <x v="796"/>
    <x v="110"/>
    <x v="443"/>
    <x v="9"/>
    <x v="4"/>
    <x v="0"/>
    <x v="8"/>
    <x v="2"/>
    <x v="2"/>
    <x v="8"/>
    <x v="10"/>
    <x v="0"/>
    <x v="0"/>
    <x v="0"/>
    <x v="2"/>
  </r>
  <r>
    <x v="797"/>
    <x v="111"/>
    <x v="411"/>
    <x v="5"/>
    <x v="1"/>
    <x v="1"/>
    <x v="3"/>
    <x v="3"/>
    <x v="2"/>
    <x v="3"/>
    <x v="3"/>
    <x v="0"/>
    <x v="0"/>
    <x v="0"/>
    <x v="1"/>
  </r>
  <r>
    <x v="798"/>
    <x v="111"/>
    <x v="345"/>
    <x v="5"/>
    <x v="1"/>
    <x v="2"/>
    <x v="0"/>
    <x v="0"/>
    <x v="2"/>
    <x v="0"/>
    <x v="7"/>
    <x v="0"/>
    <x v="0"/>
    <x v="0"/>
    <x v="0"/>
  </r>
  <r>
    <x v="799"/>
    <x v="111"/>
    <x v="177"/>
    <x v="3"/>
    <x v="1"/>
    <x v="1"/>
    <x v="8"/>
    <x v="2"/>
    <x v="0"/>
    <x v="8"/>
    <x v="21"/>
    <x v="1"/>
    <x v="0"/>
    <x v="1"/>
    <x v="4"/>
  </r>
  <r>
    <x v="800"/>
    <x v="111"/>
    <x v="444"/>
    <x v="2"/>
    <x v="1"/>
    <x v="1"/>
    <x v="2"/>
    <x v="2"/>
    <x v="1"/>
    <x v="2"/>
    <x v="40"/>
    <x v="0"/>
    <x v="0"/>
    <x v="0"/>
    <x v="1"/>
  </r>
  <r>
    <x v="801"/>
    <x v="112"/>
    <x v="445"/>
    <x v="10"/>
    <x v="2"/>
    <x v="0"/>
    <x v="0"/>
    <x v="0"/>
    <x v="2"/>
    <x v="0"/>
    <x v="38"/>
    <x v="1"/>
    <x v="1"/>
    <x v="0"/>
    <x v="4"/>
  </r>
  <r>
    <x v="802"/>
    <x v="112"/>
    <x v="446"/>
    <x v="8"/>
    <x v="2"/>
    <x v="0"/>
    <x v="8"/>
    <x v="2"/>
    <x v="2"/>
    <x v="8"/>
    <x v="43"/>
    <x v="0"/>
    <x v="3"/>
    <x v="0"/>
    <x v="4"/>
  </r>
  <r>
    <x v="803"/>
    <x v="112"/>
    <x v="114"/>
    <x v="1"/>
    <x v="2"/>
    <x v="0"/>
    <x v="13"/>
    <x v="0"/>
    <x v="2"/>
    <x v="2"/>
    <x v="2"/>
    <x v="0"/>
    <x v="0"/>
    <x v="0"/>
    <x v="3"/>
  </r>
  <r>
    <x v="804"/>
    <x v="112"/>
    <x v="95"/>
    <x v="3"/>
    <x v="2"/>
    <x v="0"/>
    <x v="7"/>
    <x v="2"/>
    <x v="2"/>
    <x v="7"/>
    <x v="9"/>
    <x v="0"/>
    <x v="0"/>
    <x v="0"/>
    <x v="0"/>
  </r>
  <r>
    <x v="805"/>
    <x v="112"/>
    <x v="447"/>
    <x v="4"/>
    <x v="2"/>
    <x v="0"/>
    <x v="7"/>
    <x v="2"/>
    <x v="2"/>
    <x v="7"/>
    <x v="3"/>
    <x v="0"/>
    <x v="2"/>
    <x v="0"/>
    <x v="0"/>
  </r>
  <r>
    <x v="806"/>
    <x v="113"/>
    <x v="448"/>
    <x v="9"/>
    <x v="3"/>
    <x v="0"/>
    <x v="8"/>
    <x v="2"/>
    <x v="2"/>
    <x v="8"/>
    <x v="10"/>
    <x v="1"/>
    <x v="0"/>
    <x v="0"/>
    <x v="4"/>
  </r>
  <r>
    <x v="807"/>
    <x v="113"/>
    <x v="449"/>
    <x v="7"/>
    <x v="3"/>
    <x v="0"/>
    <x v="7"/>
    <x v="2"/>
    <x v="0"/>
    <x v="7"/>
    <x v="12"/>
    <x v="0"/>
    <x v="0"/>
    <x v="0"/>
    <x v="4"/>
  </r>
  <r>
    <x v="808"/>
    <x v="113"/>
    <x v="450"/>
    <x v="7"/>
    <x v="3"/>
    <x v="2"/>
    <x v="10"/>
    <x v="4"/>
    <x v="2"/>
    <x v="10"/>
    <x v="13"/>
    <x v="0"/>
    <x v="0"/>
    <x v="0"/>
    <x v="2"/>
  </r>
  <r>
    <x v="809"/>
    <x v="113"/>
    <x v="451"/>
    <x v="6"/>
    <x v="3"/>
    <x v="1"/>
    <x v="12"/>
    <x v="4"/>
    <x v="2"/>
    <x v="8"/>
    <x v="36"/>
    <x v="0"/>
    <x v="1"/>
    <x v="2"/>
    <x v="2"/>
  </r>
  <r>
    <x v="810"/>
    <x v="113"/>
    <x v="452"/>
    <x v="8"/>
    <x v="3"/>
    <x v="0"/>
    <x v="8"/>
    <x v="2"/>
    <x v="0"/>
    <x v="8"/>
    <x v="21"/>
    <x v="1"/>
    <x v="0"/>
    <x v="2"/>
    <x v="0"/>
  </r>
  <r>
    <x v="811"/>
    <x v="113"/>
    <x v="226"/>
    <x v="5"/>
    <x v="3"/>
    <x v="2"/>
    <x v="4"/>
    <x v="1"/>
    <x v="0"/>
    <x v="4"/>
    <x v="61"/>
    <x v="1"/>
    <x v="3"/>
    <x v="2"/>
    <x v="4"/>
  </r>
  <r>
    <x v="812"/>
    <x v="113"/>
    <x v="341"/>
    <x v="5"/>
    <x v="3"/>
    <x v="0"/>
    <x v="0"/>
    <x v="0"/>
    <x v="1"/>
    <x v="0"/>
    <x v="2"/>
    <x v="0"/>
    <x v="0"/>
    <x v="0"/>
    <x v="3"/>
  </r>
  <r>
    <x v="813"/>
    <x v="113"/>
    <x v="196"/>
    <x v="1"/>
    <x v="3"/>
    <x v="0"/>
    <x v="2"/>
    <x v="2"/>
    <x v="2"/>
    <x v="2"/>
    <x v="2"/>
    <x v="0"/>
    <x v="0"/>
    <x v="3"/>
    <x v="1"/>
  </r>
  <r>
    <x v="814"/>
    <x v="113"/>
    <x v="453"/>
    <x v="4"/>
    <x v="3"/>
    <x v="1"/>
    <x v="5"/>
    <x v="1"/>
    <x v="1"/>
    <x v="5"/>
    <x v="28"/>
    <x v="0"/>
    <x v="0"/>
    <x v="0"/>
    <x v="0"/>
  </r>
  <r>
    <x v="815"/>
    <x v="114"/>
    <x v="113"/>
    <x v="1"/>
    <x v="4"/>
    <x v="2"/>
    <x v="1"/>
    <x v="1"/>
    <x v="2"/>
    <x v="1"/>
    <x v="8"/>
    <x v="1"/>
    <x v="0"/>
    <x v="0"/>
    <x v="4"/>
  </r>
  <r>
    <x v="816"/>
    <x v="114"/>
    <x v="169"/>
    <x v="3"/>
    <x v="4"/>
    <x v="2"/>
    <x v="2"/>
    <x v="2"/>
    <x v="2"/>
    <x v="2"/>
    <x v="2"/>
    <x v="1"/>
    <x v="0"/>
    <x v="0"/>
    <x v="0"/>
  </r>
  <r>
    <x v="817"/>
    <x v="114"/>
    <x v="454"/>
    <x v="2"/>
    <x v="4"/>
    <x v="1"/>
    <x v="0"/>
    <x v="0"/>
    <x v="2"/>
    <x v="0"/>
    <x v="7"/>
    <x v="0"/>
    <x v="0"/>
    <x v="2"/>
    <x v="2"/>
  </r>
  <r>
    <x v="818"/>
    <x v="115"/>
    <x v="455"/>
    <x v="0"/>
    <x v="5"/>
    <x v="0"/>
    <x v="10"/>
    <x v="4"/>
    <x v="2"/>
    <x v="10"/>
    <x v="13"/>
    <x v="0"/>
    <x v="0"/>
    <x v="1"/>
    <x v="0"/>
  </r>
  <r>
    <x v="819"/>
    <x v="115"/>
    <x v="37"/>
    <x v="0"/>
    <x v="5"/>
    <x v="0"/>
    <x v="6"/>
    <x v="0"/>
    <x v="2"/>
    <x v="6"/>
    <x v="6"/>
    <x v="0"/>
    <x v="0"/>
    <x v="0"/>
    <x v="4"/>
  </r>
  <r>
    <x v="820"/>
    <x v="115"/>
    <x v="456"/>
    <x v="0"/>
    <x v="5"/>
    <x v="2"/>
    <x v="4"/>
    <x v="1"/>
    <x v="0"/>
    <x v="4"/>
    <x v="35"/>
    <x v="1"/>
    <x v="0"/>
    <x v="0"/>
    <x v="2"/>
  </r>
  <r>
    <x v="821"/>
    <x v="115"/>
    <x v="139"/>
    <x v="8"/>
    <x v="5"/>
    <x v="2"/>
    <x v="7"/>
    <x v="2"/>
    <x v="2"/>
    <x v="7"/>
    <x v="9"/>
    <x v="1"/>
    <x v="0"/>
    <x v="0"/>
    <x v="4"/>
  </r>
  <r>
    <x v="822"/>
    <x v="115"/>
    <x v="379"/>
    <x v="5"/>
    <x v="5"/>
    <x v="2"/>
    <x v="4"/>
    <x v="1"/>
    <x v="2"/>
    <x v="4"/>
    <x v="15"/>
    <x v="0"/>
    <x v="0"/>
    <x v="0"/>
    <x v="4"/>
  </r>
  <r>
    <x v="823"/>
    <x v="115"/>
    <x v="441"/>
    <x v="5"/>
    <x v="5"/>
    <x v="0"/>
    <x v="12"/>
    <x v="4"/>
    <x v="0"/>
    <x v="8"/>
    <x v="21"/>
    <x v="1"/>
    <x v="0"/>
    <x v="0"/>
    <x v="3"/>
  </r>
  <r>
    <x v="824"/>
    <x v="115"/>
    <x v="235"/>
    <x v="1"/>
    <x v="5"/>
    <x v="0"/>
    <x v="6"/>
    <x v="0"/>
    <x v="2"/>
    <x v="6"/>
    <x v="6"/>
    <x v="0"/>
    <x v="0"/>
    <x v="0"/>
    <x v="0"/>
  </r>
  <r>
    <x v="825"/>
    <x v="115"/>
    <x v="184"/>
    <x v="1"/>
    <x v="5"/>
    <x v="0"/>
    <x v="7"/>
    <x v="2"/>
    <x v="2"/>
    <x v="7"/>
    <x v="9"/>
    <x v="0"/>
    <x v="0"/>
    <x v="0"/>
    <x v="2"/>
  </r>
  <r>
    <x v="826"/>
    <x v="115"/>
    <x v="99"/>
    <x v="1"/>
    <x v="5"/>
    <x v="0"/>
    <x v="5"/>
    <x v="1"/>
    <x v="2"/>
    <x v="5"/>
    <x v="71"/>
    <x v="1"/>
    <x v="1"/>
    <x v="0"/>
    <x v="2"/>
  </r>
  <r>
    <x v="827"/>
    <x v="115"/>
    <x v="457"/>
    <x v="3"/>
    <x v="5"/>
    <x v="1"/>
    <x v="8"/>
    <x v="2"/>
    <x v="2"/>
    <x v="8"/>
    <x v="10"/>
    <x v="1"/>
    <x v="0"/>
    <x v="2"/>
    <x v="0"/>
  </r>
  <r>
    <x v="828"/>
    <x v="115"/>
    <x v="115"/>
    <x v="3"/>
    <x v="5"/>
    <x v="1"/>
    <x v="8"/>
    <x v="2"/>
    <x v="2"/>
    <x v="8"/>
    <x v="10"/>
    <x v="0"/>
    <x v="0"/>
    <x v="0"/>
    <x v="4"/>
  </r>
  <r>
    <x v="829"/>
    <x v="115"/>
    <x v="71"/>
    <x v="3"/>
    <x v="5"/>
    <x v="1"/>
    <x v="6"/>
    <x v="0"/>
    <x v="2"/>
    <x v="6"/>
    <x v="6"/>
    <x v="0"/>
    <x v="0"/>
    <x v="2"/>
    <x v="2"/>
  </r>
  <r>
    <x v="830"/>
    <x v="115"/>
    <x v="47"/>
    <x v="3"/>
    <x v="5"/>
    <x v="0"/>
    <x v="1"/>
    <x v="1"/>
    <x v="2"/>
    <x v="1"/>
    <x v="8"/>
    <x v="1"/>
    <x v="0"/>
    <x v="2"/>
    <x v="3"/>
  </r>
  <r>
    <x v="831"/>
    <x v="115"/>
    <x v="301"/>
    <x v="3"/>
    <x v="5"/>
    <x v="0"/>
    <x v="1"/>
    <x v="1"/>
    <x v="0"/>
    <x v="1"/>
    <x v="16"/>
    <x v="0"/>
    <x v="0"/>
    <x v="0"/>
    <x v="4"/>
  </r>
  <r>
    <x v="832"/>
    <x v="115"/>
    <x v="164"/>
    <x v="2"/>
    <x v="5"/>
    <x v="0"/>
    <x v="11"/>
    <x v="1"/>
    <x v="2"/>
    <x v="11"/>
    <x v="24"/>
    <x v="0"/>
    <x v="0"/>
    <x v="2"/>
    <x v="0"/>
  </r>
  <r>
    <x v="833"/>
    <x v="115"/>
    <x v="76"/>
    <x v="4"/>
    <x v="5"/>
    <x v="1"/>
    <x v="9"/>
    <x v="3"/>
    <x v="2"/>
    <x v="7"/>
    <x v="9"/>
    <x v="1"/>
    <x v="0"/>
    <x v="2"/>
    <x v="3"/>
  </r>
  <r>
    <x v="834"/>
    <x v="116"/>
    <x v="345"/>
    <x v="5"/>
    <x v="6"/>
    <x v="1"/>
    <x v="4"/>
    <x v="1"/>
    <x v="0"/>
    <x v="4"/>
    <x v="35"/>
    <x v="0"/>
    <x v="0"/>
    <x v="0"/>
    <x v="0"/>
  </r>
  <r>
    <x v="835"/>
    <x v="116"/>
    <x v="112"/>
    <x v="1"/>
    <x v="6"/>
    <x v="1"/>
    <x v="8"/>
    <x v="2"/>
    <x v="2"/>
    <x v="8"/>
    <x v="10"/>
    <x v="0"/>
    <x v="0"/>
    <x v="3"/>
    <x v="1"/>
  </r>
  <r>
    <x v="836"/>
    <x v="116"/>
    <x v="168"/>
    <x v="3"/>
    <x v="6"/>
    <x v="0"/>
    <x v="6"/>
    <x v="0"/>
    <x v="2"/>
    <x v="6"/>
    <x v="72"/>
    <x v="0"/>
    <x v="2"/>
    <x v="2"/>
    <x v="0"/>
  </r>
  <r>
    <x v="837"/>
    <x v="116"/>
    <x v="241"/>
    <x v="3"/>
    <x v="6"/>
    <x v="0"/>
    <x v="11"/>
    <x v="1"/>
    <x v="2"/>
    <x v="11"/>
    <x v="24"/>
    <x v="1"/>
    <x v="0"/>
    <x v="0"/>
    <x v="4"/>
  </r>
  <r>
    <x v="838"/>
    <x v="116"/>
    <x v="436"/>
    <x v="2"/>
    <x v="6"/>
    <x v="1"/>
    <x v="1"/>
    <x v="1"/>
    <x v="2"/>
    <x v="1"/>
    <x v="8"/>
    <x v="1"/>
    <x v="0"/>
    <x v="0"/>
    <x v="2"/>
  </r>
  <r>
    <x v="839"/>
    <x v="116"/>
    <x v="33"/>
    <x v="2"/>
    <x v="6"/>
    <x v="1"/>
    <x v="12"/>
    <x v="4"/>
    <x v="0"/>
    <x v="8"/>
    <x v="70"/>
    <x v="0"/>
    <x v="1"/>
    <x v="0"/>
    <x v="2"/>
  </r>
  <r>
    <x v="840"/>
    <x v="117"/>
    <x v="458"/>
    <x v="10"/>
    <x v="0"/>
    <x v="0"/>
    <x v="9"/>
    <x v="3"/>
    <x v="2"/>
    <x v="7"/>
    <x v="9"/>
    <x v="0"/>
    <x v="0"/>
    <x v="0"/>
    <x v="0"/>
  </r>
  <r>
    <x v="841"/>
    <x v="117"/>
    <x v="275"/>
    <x v="1"/>
    <x v="0"/>
    <x v="0"/>
    <x v="6"/>
    <x v="0"/>
    <x v="2"/>
    <x v="6"/>
    <x v="6"/>
    <x v="0"/>
    <x v="0"/>
    <x v="3"/>
    <x v="0"/>
  </r>
  <r>
    <x v="842"/>
    <x v="117"/>
    <x v="459"/>
    <x v="2"/>
    <x v="0"/>
    <x v="0"/>
    <x v="6"/>
    <x v="0"/>
    <x v="0"/>
    <x v="6"/>
    <x v="2"/>
    <x v="0"/>
    <x v="0"/>
    <x v="0"/>
    <x v="1"/>
  </r>
  <r>
    <x v="843"/>
    <x v="117"/>
    <x v="460"/>
    <x v="4"/>
    <x v="0"/>
    <x v="1"/>
    <x v="8"/>
    <x v="2"/>
    <x v="2"/>
    <x v="8"/>
    <x v="10"/>
    <x v="0"/>
    <x v="0"/>
    <x v="0"/>
    <x v="4"/>
  </r>
  <r>
    <x v="844"/>
    <x v="118"/>
    <x v="397"/>
    <x v="7"/>
    <x v="1"/>
    <x v="0"/>
    <x v="0"/>
    <x v="0"/>
    <x v="2"/>
    <x v="0"/>
    <x v="7"/>
    <x v="0"/>
    <x v="0"/>
    <x v="0"/>
    <x v="3"/>
  </r>
  <r>
    <x v="845"/>
    <x v="118"/>
    <x v="461"/>
    <x v="7"/>
    <x v="1"/>
    <x v="2"/>
    <x v="0"/>
    <x v="0"/>
    <x v="0"/>
    <x v="0"/>
    <x v="0"/>
    <x v="0"/>
    <x v="0"/>
    <x v="0"/>
    <x v="3"/>
  </r>
  <r>
    <x v="846"/>
    <x v="118"/>
    <x v="462"/>
    <x v="0"/>
    <x v="1"/>
    <x v="1"/>
    <x v="3"/>
    <x v="3"/>
    <x v="0"/>
    <x v="3"/>
    <x v="14"/>
    <x v="1"/>
    <x v="0"/>
    <x v="0"/>
    <x v="2"/>
  </r>
  <r>
    <x v="847"/>
    <x v="118"/>
    <x v="463"/>
    <x v="6"/>
    <x v="1"/>
    <x v="0"/>
    <x v="0"/>
    <x v="0"/>
    <x v="2"/>
    <x v="0"/>
    <x v="7"/>
    <x v="0"/>
    <x v="0"/>
    <x v="0"/>
    <x v="3"/>
  </r>
  <r>
    <x v="848"/>
    <x v="118"/>
    <x v="293"/>
    <x v="5"/>
    <x v="1"/>
    <x v="0"/>
    <x v="6"/>
    <x v="0"/>
    <x v="2"/>
    <x v="6"/>
    <x v="6"/>
    <x v="0"/>
    <x v="0"/>
    <x v="2"/>
    <x v="2"/>
  </r>
  <r>
    <x v="849"/>
    <x v="118"/>
    <x v="296"/>
    <x v="2"/>
    <x v="1"/>
    <x v="2"/>
    <x v="3"/>
    <x v="3"/>
    <x v="2"/>
    <x v="3"/>
    <x v="3"/>
    <x v="0"/>
    <x v="0"/>
    <x v="2"/>
    <x v="4"/>
  </r>
  <r>
    <x v="850"/>
    <x v="119"/>
    <x v="464"/>
    <x v="8"/>
    <x v="2"/>
    <x v="0"/>
    <x v="4"/>
    <x v="1"/>
    <x v="2"/>
    <x v="4"/>
    <x v="4"/>
    <x v="0"/>
    <x v="1"/>
    <x v="0"/>
    <x v="3"/>
  </r>
  <r>
    <x v="851"/>
    <x v="119"/>
    <x v="323"/>
    <x v="5"/>
    <x v="2"/>
    <x v="0"/>
    <x v="8"/>
    <x v="2"/>
    <x v="2"/>
    <x v="8"/>
    <x v="10"/>
    <x v="0"/>
    <x v="0"/>
    <x v="1"/>
    <x v="2"/>
  </r>
  <r>
    <x v="852"/>
    <x v="119"/>
    <x v="325"/>
    <x v="1"/>
    <x v="2"/>
    <x v="1"/>
    <x v="4"/>
    <x v="1"/>
    <x v="2"/>
    <x v="4"/>
    <x v="29"/>
    <x v="0"/>
    <x v="2"/>
    <x v="0"/>
    <x v="2"/>
  </r>
  <r>
    <x v="853"/>
    <x v="119"/>
    <x v="31"/>
    <x v="3"/>
    <x v="2"/>
    <x v="0"/>
    <x v="6"/>
    <x v="0"/>
    <x v="0"/>
    <x v="6"/>
    <x v="2"/>
    <x v="1"/>
    <x v="0"/>
    <x v="0"/>
    <x v="3"/>
  </r>
  <r>
    <x v="854"/>
    <x v="119"/>
    <x v="14"/>
    <x v="2"/>
    <x v="2"/>
    <x v="1"/>
    <x v="6"/>
    <x v="0"/>
    <x v="2"/>
    <x v="6"/>
    <x v="6"/>
    <x v="0"/>
    <x v="0"/>
    <x v="0"/>
    <x v="1"/>
  </r>
  <r>
    <x v="855"/>
    <x v="120"/>
    <x v="376"/>
    <x v="10"/>
    <x v="3"/>
    <x v="0"/>
    <x v="0"/>
    <x v="0"/>
    <x v="0"/>
    <x v="0"/>
    <x v="0"/>
    <x v="0"/>
    <x v="0"/>
    <x v="0"/>
    <x v="4"/>
  </r>
  <r>
    <x v="856"/>
    <x v="120"/>
    <x v="450"/>
    <x v="7"/>
    <x v="3"/>
    <x v="0"/>
    <x v="11"/>
    <x v="1"/>
    <x v="2"/>
    <x v="11"/>
    <x v="24"/>
    <x v="1"/>
    <x v="0"/>
    <x v="0"/>
    <x v="3"/>
  </r>
  <r>
    <x v="857"/>
    <x v="120"/>
    <x v="465"/>
    <x v="11"/>
    <x v="3"/>
    <x v="2"/>
    <x v="1"/>
    <x v="1"/>
    <x v="2"/>
    <x v="1"/>
    <x v="8"/>
    <x v="0"/>
    <x v="0"/>
    <x v="0"/>
    <x v="3"/>
  </r>
  <r>
    <x v="858"/>
    <x v="120"/>
    <x v="122"/>
    <x v="1"/>
    <x v="3"/>
    <x v="0"/>
    <x v="7"/>
    <x v="2"/>
    <x v="2"/>
    <x v="7"/>
    <x v="9"/>
    <x v="0"/>
    <x v="0"/>
    <x v="0"/>
    <x v="0"/>
  </r>
  <r>
    <x v="859"/>
    <x v="120"/>
    <x v="7"/>
    <x v="1"/>
    <x v="3"/>
    <x v="0"/>
    <x v="11"/>
    <x v="1"/>
    <x v="1"/>
    <x v="11"/>
    <x v="73"/>
    <x v="0"/>
    <x v="2"/>
    <x v="1"/>
    <x v="4"/>
  </r>
  <r>
    <x v="860"/>
    <x v="120"/>
    <x v="130"/>
    <x v="1"/>
    <x v="3"/>
    <x v="2"/>
    <x v="7"/>
    <x v="2"/>
    <x v="2"/>
    <x v="7"/>
    <x v="9"/>
    <x v="0"/>
    <x v="0"/>
    <x v="0"/>
    <x v="1"/>
  </r>
  <r>
    <x v="861"/>
    <x v="120"/>
    <x v="389"/>
    <x v="3"/>
    <x v="3"/>
    <x v="1"/>
    <x v="11"/>
    <x v="1"/>
    <x v="2"/>
    <x v="11"/>
    <x v="24"/>
    <x v="1"/>
    <x v="0"/>
    <x v="0"/>
    <x v="2"/>
  </r>
  <r>
    <x v="862"/>
    <x v="120"/>
    <x v="67"/>
    <x v="3"/>
    <x v="3"/>
    <x v="0"/>
    <x v="4"/>
    <x v="1"/>
    <x v="2"/>
    <x v="4"/>
    <x v="15"/>
    <x v="1"/>
    <x v="0"/>
    <x v="2"/>
    <x v="1"/>
  </r>
  <r>
    <x v="863"/>
    <x v="120"/>
    <x v="71"/>
    <x v="3"/>
    <x v="3"/>
    <x v="0"/>
    <x v="4"/>
    <x v="1"/>
    <x v="2"/>
    <x v="4"/>
    <x v="52"/>
    <x v="0"/>
    <x v="3"/>
    <x v="0"/>
    <x v="2"/>
  </r>
  <r>
    <x v="864"/>
    <x v="120"/>
    <x v="177"/>
    <x v="3"/>
    <x v="3"/>
    <x v="0"/>
    <x v="11"/>
    <x v="1"/>
    <x v="2"/>
    <x v="11"/>
    <x v="24"/>
    <x v="1"/>
    <x v="0"/>
    <x v="3"/>
    <x v="1"/>
  </r>
  <r>
    <x v="865"/>
    <x v="120"/>
    <x v="466"/>
    <x v="3"/>
    <x v="3"/>
    <x v="0"/>
    <x v="7"/>
    <x v="2"/>
    <x v="0"/>
    <x v="7"/>
    <x v="12"/>
    <x v="0"/>
    <x v="0"/>
    <x v="0"/>
    <x v="2"/>
  </r>
  <r>
    <x v="866"/>
    <x v="120"/>
    <x v="327"/>
    <x v="2"/>
    <x v="3"/>
    <x v="0"/>
    <x v="4"/>
    <x v="1"/>
    <x v="2"/>
    <x v="4"/>
    <x v="4"/>
    <x v="0"/>
    <x v="1"/>
    <x v="1"/>
    <x v="2"/>
  </r>
  <r>
    <x v="867"/>
    <x v="121"/>
    <x v="397"/>
    <x v="7"/>
    <x v="4"/>
    <x v="0"/>
    <x v="5"/>
    <x v="1"/>
    <x v="1"/>
    <x v="5"/>
    <x v="28"/>
    <x v="1"/>
    <x v="0"/>
    <x v="0"/>
    <x v="4"/>
  </r>
  <r>
    <x v="868"/>
    <x v="121"/>
    <x v="456"/>
    <x v="0"/>
    <x v="4"/>
    <x v="0"/>
    <x v="11"/>
    <x v="1"/>
    <x v="2"/>
    <x v="11"/>
    <x v="24"/>
    <x v="0"/>
    <x v="0"/>
    <x v="0"/>
    <x v="1"/>
  </r>
  <r>
    <x v="869"/>
    <x v="121"/>
    <x v="118"/>
    <x v="0"/>
    <x v="4"/>
    <x v="0"/>
    <x v="1"/>
    <x v="1"/>
    <x v="2"/>
    <x v="1"/>
    <x v="8"/>
    <x v="1"/>
    <x v="0"/>
    <x v="0"/>
    <x v="4"/>
  </r>
  <r>
    <x v="870"/>
    <x v="121"/>
    <x v="233"/>
    <x v="5"/>
    <x v="4"/>
    <x v="1"/>
    <x v="8"/>
    <x v="2"/>
    <x v="2"/>
    <x v="8"/>
    <x v="10"/>
    <x v="1"/>
    <x v="0"/>
    <x v="0"/>
    <x v="2"/>
  </r>
  <r>
    <x v="871"/>
    <x v="121"/>
    <x v="95"/>
    <x v="3"/>
    <x v="4"/>
    <x v="0"/>
    <x v="12"/>
    <x v="4"/>
    <x v="2"/>
    <x v="8"/>
    <x v="43"/>
    <x v="1"/>
    <x v="3"/>
    <x v="2"/>
    <x v="2"/>
  </r>
  <r>
    <x v="872"/>
    <x v="121"/>
    <x v="420"/>
    <x v="3"/>
    <x v="4"/>
    <x v="0"/>
    <x v="1"/>
    <x v="1"/>
    <x v="0"/>
    <x v="1"/>
    <x v="16"/>
    <x v="0"/>
    <x v="0"/>
    <x v="0"/>
    <x v="2"/>
  </r>
  <r>
    <x v="873"/>
    <x v="121"/>
    <x v="302"/>
    <x v="4"/>
    <x v="4"/>
    <x v="2"/>
    <x v="10"/>
    <x v="4"/>
    <x v="2"/>
    <x v="10"/>
    <x v="13"/>
    <x v="0"/>
    <x v="0"/>
    <x v="2"/>
    <x v="1"/>
  </r>
  <r>
    <x v="874"/>
    <x v="122"/>
    <x v="316"/>
    <x v="7"/>
    <x v="5"/>
    <x v="2"/>
    <x v="8"/>
    <x v="2"/>
    <x v="2"/>
    <x v="8"/>
    <x v="10"/>
    <x v="0"/>
    <x v="0"/>
    <x v="1"/>
    <x v="3"/>
  </r>
  <r>
    <x v="875"/>
    <x v="122"/>
    <x v="243"/>
    <x v="12"/>
    <x v="5"/>
    <x v="0"/>
    <x v="10"/>
    <x v="4"/>
    <x v="2"/>
    <x v="10"/>
    <x v="13"/>
    <x v="0"/>
    <x v="0"/>
    <x v="0"/>
    <x v="2"/>
  </r>
  <r>
    <x v="876"/>
    <x v="122"/>
    <x v="157"/>
    <x v="1"/>
    <x v="5"/>
    <x v="1"/>
    <x v="7"/>
    <x v="2"/>
    <x v="2"/>
    <x v="7"/>
    <x v="25"/>
    <x v="0"/>
    <x v="1"/>
    <x v="0"/>
    <x v="0"/>
  </r>
  <r>
    <x v="877"/>
    <x v="122"/>
    <x v="364"/>
    <x v="1"/>
    <x v="5"/>
    <x v="2"/>
    <x v="11"/>
    <x v="1"/>
    <x v="2"/>
    <x v="11"/>
    <x v="24"/>
    <x v="0"/>
    <x v="0"/>
    <x v="2"/>
    <x v="4"/>
  </r>
  <r>
    <x v="878"/>
    <x v="122"/>
    <x v="90"/>
    <x v="3"/>
    <x v="5"/>
    <x v="2"/>
    <x v="6"/>
    <x v="0"/>
    <x v="2"/>
    <x v="6"/>
    <x v="6"/>
    <x v="0"/>
    <x v="0"/>
    <x v="2"/>
    <x v="1"/>
  </r>
  <r>
    <x v="879"/>
    <x v="122"/>
    <x v="100"/>
    <x v="3"/>
    <x v="5"/>
    <x v="0"/>
    <x v="4"/>
    <x v="1"/>
    <x v="2"/>
    <x v="4"/>
    <x v="4"/>
    <x v="0"/>
    <x v="1"/>
    <x v="0"/>
    <x v="2"/>
  </r>
  <r>
    <x v="880"/>
    <x v="122"/>
    <x v="326"/>
    <x v="3"/>
    <x v="5"/>
    <x v="0"/>
    <x v="9"/>
    <x v="3"/>
    <x v="0"/>
    <x v="7"/>
    <x v="12"/>
    <x v="0"/>
    <x v="0"/>
    <x v="0"/>
    <x v="4"/>
  </r>
  <r>
    <x v="881"/>
    <x v="122"/>
    <x v="436"/>
    <x v="2"/>
    <x v="5"/>
    <x v="0"/>
    <x v="8"/>
    <x v="2"/>
    <x v="0"/>
    <x v="8"/>
    <x v="21"/>
    <x v="0"/>
    <x v="0"/>
    <x v="1"/>
    <x v="0"/>
  </r>
  <r>
    <x v="882"/>
    <x v="123"/>
    <x v="158"/>
    <x v="1"/>
    <x v="6"/>
    <x v="0"/>
    <x v="5"/>
    <x v="1"/>
    <x v="2"/>
    <x v="5"/>
    <x v="5"/>
    <x v="0"/>
    <x v="0"/>
    <x v="2"/>
    <x v="4"/>
  </r>
  <r>
    <x v="883"/>
    <x v="123"/>
    <x v="281"/>
    <x v="1"/>
    <x v="6"/>
    <x v="0"/>
    <x v="6"/>
    <x v="0"/>
    <x v="2"/>
    <x v="6"/>
    <x v="6"/>
    <x v="1"/>
    <x v="0"/>
    <x v="0"/>
    <x v="2"/>
  </r>
  <r>
    <x v="884"/>
    <x v="123"/>
    <x v="259"/>
    <x v="1"/>
    <x v="6"/>
    <x v="0"/>
    <x v="6"/>
    <x v="0"/>
    <x v="2"/>
    <x v="6"/>
    <x v="72"/>
    <x v="1"/>
    <x v="2"/>
    <x v="0"/>
    <x v="1"/>
  </r>
  <r>
    <x v="885"/>
    <x v="123"/>
    <x v="435"/>
    <x v="1"/>
    <x v="6"/>
    <x v="2"/>
    <x v="11"/>
    <x v="1"/>
    <x v="0"/>
    <x v="11"/>
    <x v="39"/>
    <x v="0"/>
    <x v="0"/>
    <x v="0"/>
    <x v="2"/>
  </r>
  <r>
    <x v="886"/>
    <x v="123"/>
    <x v="45"/>
    <x v="3"/>
    <x v="6"/>
    <x v="1"/>
    <x v="7"/>
    <x v="2"/>
    <x v="0"/>
    <x v="7"/>
    <x v="12"/>
    <x v="0"/>
    <x v="0"/>
    <x v="0"/>
    <x v="1"/>
  </r>
  <r>
    <x v="887"/>
    <x v="123"/>
    <x v="95"/>
    <x v="3"/>
    <x v="6"/>
    <x v="1"/>
    <x v="8"/>
    <x v="2"/>
    <x v="0"/>
    <x v="8"/>
    <x v="21"/>
    <x v="1"/>
    <x v="0"/>
    <x v="0"/>
    <x v="2"/>
  </r>
  <r>
    <x v="888"/>
    <x v="123"/>
    <x v="454"/>
    <x v="2"/>
    <x v="6"/>
    <x v="0"/>
    <x v="4"/>
    <x v="1"/>
    <x v="0"/>
    <x v="4"/>
    <x v="35"/>
    <x v="0"/>
    <x v="0"/>
    <x v="0"/>
    <x v="3"/>
  </r>
  <r>
    <x v="889"/>
    <x v="124"/>
    <x v="467"/>
    <x v="9"/>
    <x v="0"/>
    <x v="2"/>
    <x v="6"/>
    <x v="0"/>
    <x v="2"/>
    <x v="6"/>
    <x v="56"/>
    <x v="0"/>
    <x v="1"/>
    <x v="2"/>
    <x v="3"/>
  </r>
  <r>
    <x v="890"/>
    <x v="124"/>
    <x v="468"/>
    <x v="11"/>
    <x v="0"/>
    <x v="1"/>
    <x v="3"/>
    <x v="3"/>
    <x v="2"/>
    <x v="3"/>
    <x v="3"/>
    <x v="0"/>
    <x v="0"/>
    <x v="2"/>
    <x v="2"/>
  </r>
  <r>
    <x v="891"/>
    <x v="124"/>
    <x v="51"/>
    <x v="5"/>
    <x v="0"/>
    <x v="2"/>
    <x v="3"/>
    <x v="3"/>
    <x v="2"/>
    <x v="3"/>
    <x v="3"/>
    <x v="0"/>
    <x v="0"/>
    <x v="0"/>
    <x v="1"/>
  </r>
  <r>
    <x v="892"/>
    <x v="124"/>
    <x v="430"/>
    <x v="3"/>
    <x v="0"/>
    <x v="2"/>
    <x v="3"/>
    <x v="3"/>
    <x v="2"/>
    <x v="3"/>
    <x v="3"/>
    <x v="0"/>
    <x v="0"/>
    <x v="2"/>
    <x v="1"/>
  </r>
  <r>
    <x v="893"/>
    <x v="124"/>
    <x v="380"/>
    <x v="2"/>
    <x v="0"/>
    <x v="1"/>
    <x v="7"/>
    <x v="2"/>
    <x v="2"/>
    <x v="7"/>
    <x v="9"/>
    <x v="0"/>
    <x v="0"/>
    <x v="1"/>
    <x v="2"/>
  </r>
  <r>
    <x v="894"/>
    <x v="124"/>
    <x v="116"/>
    <x v="2"/>
    <x v="0"/>
    <x v="0"/>
    <x v="1"/>
    <x v="1"/>
    <x v="1"/>
    <x v="1"/>
    <x v="1"/>
    <x v="0"/>
    <x v="0"/>
    <x v="3"/>
    <x v="4"/>
  </r>
  <r>
    <x v="895"/>
    <x v="124"/>
    <x v="199"/>
    <x v="4"/>
    <x v="0"/>
    <x v="1"/>
    <x v="8"/>
    <x v="2"/>
    <x v="2"/>
    <x v="8"/>
    <x v="10"/>
    <x v="0"/>
    <x v="0"/>
    <x v="3"/>
    <x v="4"/>
  </r>
  <r>
    <x v="896"/>
    <x v="125"/>
    <x v="393"/>
    <x v="11"/>
    <x v="1"/>
    <x v="1"/>
    <x v="1"/>
    <x v="1"/>
    <x v="2"/>
    <x v="1"/>
    <x v="8"/>
    <x v="1"/>
    <x v="0"/>
    <x v="2"/>
    <x v="3"/>
  </r>
  <r>
    <x v="897"/>
    <x v="125"/>
    <x v="312"/>
    <x v="5"/>
    <x v="1"/>
    <x v="1"/>
    <x v="13"/>
    <x v="0"/>
    <x v="2"/>
    <x v="2"/>
    <x v="2"/>
    <x v="0"/>
    <x v="0"/>
    <x v="1"/>
    <x v="4"/>
  </r>
  <r>
    <x v="898"/>
    <x v="125"/>
    <x v="228"/>
    <x v="3"/>
    <x v="1"/>
    <x v="0"/>
    <x v="6"/>
    <x v="0"/>
    <x v="1"/>
    <x v="6"/>
    <x v="25"/>
    <x v="0"/>
    <x v="0"/>
    <x v="3"/>
    <x v="4"/>
  </r>
  <r>
    <x v="899"/>
    <x v="125"/>
    <x v="84"/>
    <x v="3"/>
    <x v="1"/>
    <x v="0"/>
    <x v="6"/>
    <x v="0"/>
    <x v="2"/>
    <x v="13"/>
    <x v="26"/>
    <x v="1"/>
    <x v="2"/>
    <x v="2"/>
    <x v="3"/>
  </r>
  <r>
    <x v="900"/>
    <x v="125"/>
    <x v="47"/>
    <x v="3"/>
    <x v="1"/>
    <x v="1"/>
    <x v="0"/>
    <x v="0"/>
    <x v="2"/>
    <x v="0"/>
    <x v="7"/>
    <x v="0"/>
    <x v="0"/>
    <x v="2"/>
    <x v="3"/>
  </r>
  <r>
    <x v="901"/>
    <x v="125"/>
    <x v="72"/>
    <x v="3"/>
    <x v="1"/>
    <x v="1"/>
    <x v="6"/>
    <x v="0"/>
    <x v="2"/>
    <x v="6"/>
    <x v="6"/>
    <x v="1"/>
    <x v="0"/>
    <x v="0"/>
    <x v="1"/>
  </r>
  <r>
    <x v="902"/>
    <x v="125"/>
    <x v="440"/>
    <x v="2"/>
    <x v="1"/>
    <x v="1"/>
    <x v="6"/>
    <x v="0"/>
    <x v="2"/>
    <x v="6"/>
    <x v="6"/>
    <x v="0"/>
    <x v="0"/>
    <x v="0"/>
    <x v="1"/>
  </r>
  <r>
    <x v="903"/>
    <x v="125"/>
    <x v="288"/>
    <x v="2"/>
    <x v="1"/>
    <x v="1"/>
    <x v="0"/>
    <x v="0"/>
    <x v="2"/>
    <x v="0"/>
    <x v="7"/>
    <x v="1"/>
    <x v="0"/>
    <x v="3"/>
    <x v="4"/>
  </r>
  <r>
    <x v="904"/>
    <x v="126"/>
    <x v="469"/>
    <x v="0"/>
    <x v="2"/>
    <x v="0"/>
    <x v="0"/>
    <x v="0"/>
    <x v="2"/>
    <x v="0"/>
    <x v="31"/>
    <x v="1"/>
    <x v="2"/>
    <x v="0"/>
    <x v="3"/>
  </r>
  <r>
    <x v="905"/>
    <x v="126"/>
    <x v="38"/>
    <x v="0"/>
    <x v="2"/>
    <x v="1"/>
    <x v="0"/>
    <x v="0"/>
    <x v="0"/>
    <x v="0"/>
    <x v="0"/>
    <x v="0"/>
    <x v="0"/>
    <x v="3"/>
    <x v="2"/>
  </r>
  <r>
    <x v="906"/>
    <x v="126"/>
    <x v="470"/>
    <x v="11"/>
    <x v="2"/>
    <x v="0"/>
    <x v="1"/>
    <x v="1"/>
    <x v="2"/>
    <x v="1"/>
    <x v="8"/>
    <x v="0"/>
    <x v="0"/>
    <x v="1"/>
    <x v="4"/>
  </r>
  <r>
    <x v="907"/>
    <x v="126"/>
    <x v="363"/>
    <x v="5"/>
    <x v="2"/>
    <x v="0"/>
    <x v="6"/>
    <x v="0"/>
    <x v="2"/>
    <x v="6"/>
    <x v="6"/>
    <x v="0"/>
    <x v="0"/>
    <x v="0"/>
    <x v="4"/>
  </r>
  <r>
    <x v="908"/>
    <x v="126"/>
    <x v="471"/>
    <x v="5"/>
    <x v="2"/>
    <x v="0"/>
    <x v="7"/>
    <x v="2"/>
    <x v="0"/>
    <x v="7"/>
    <x v="12"/>
    <x v="1"/>
    <x v="0"/>
    <x v="2"/>
    <x v="1"/>
  </r>
  <r>
    <x v="909"/>
    <x v="126"/>
    <x v="12"/>
    <x v="1"/>
    <x v="2"/>
    <x v="2"/>
    <x v="1"/>
    <x v="1"/>
    <x v="0"/>
    <x v="1"/>
    <x v="16"/>
    <x v="0"/>
    <x v="0"/>
    <x v="0"/>
    <x v="0"/>
  </r>
  <r>
    <x v="910"/>
    <x v="127"/>
    <x v="472"/>
    <x v="10"/>
    <x v="3"/>
    <x v="2"/>
    <x v="2"/>
    <x v="2"/>
    <x v="2"/>
    <x v="2"/>
    <x v="2"/>
    <x v="0"/>
    <x v="0"/>
    <x v="2"/>
    <x v="4"/>
  </r>
  <r>
    <x v="911"/>
    <x v="127"/>
    <x v="400"/>
    <x v="7"/>
    <x v="3"/>
    <x v="0"/>
    <x v="8"/>
    <x v="2"/>
    <x v="1"/>
    <x v="8"/>
    <x v="5"/>
    <x v="0"/>
    <x v="0"/>
    <x v="0"/>
    <x v="4"/>
  </r>
  <r>
    <x v="912"/>
    <x v="127"/>
    <x v="128"/>
    <x v="7"/>
    <x v="3"/>
    <x v="0"/>
    <x v="3"/>
    <x v="3"/>
    <x v="2"/>
    <x v="3"/>
    <x v="3"/>
    <x v="0"/>
    <x v="0"/>
    <x v="0"/>
    <x v="3"/>
  </r>
  <r>
    <x v="913"/>
    <x v="127"/>
    <x v="201"/>
    <x v="6"/>
    <x v="3"/>
    <x v="1"/>
    <x v="1"/>
    <x v="1"/>
    <x v="2"/>
    <x v="1"/>
    <x v="8"/>
    <x v="1"/>
    <x v="0"/>
    <x v="0"/>
    <x v="1"/>
  </r>
  <r>
    <x v="914"/>
    <x v="127"/>
    <x v="227"/>
    <x v="5"/>
    <x v="3"/>
    <x v="0"/>
    <x v="7"/>
    <x v="2"/>
    <x v="0"/>
    <x v="7"/>
    <x v="12"/>
    <x v="1"/>
    <x v="0"/>
    <x v="0"/>
    <x v="3"/>
  </r>
  <r>
    <x v="915"/>
    <x v="127"/>
    <x v="90"/>
    <x v="3"/>
    <x v="3"/>
    <x v="1"/>
    <x v="0"/>
    <x v="0"/>
    <x v="0"/>
    <x v="0"/>
    <x v="53"/>
    <x v="0"/>
    <x v="1"/>
    <x v="0"/>
    <x v="0"/>
  </r>
  <r>
    <x v="916"/>
    <x v="127"/>
    <x v="396"/>
    <x v="4"/>
    <x v="3"/>
    <x v="1"/>
    <x v="0"/>
    <x v="0"/>
    <x v="2"/>
    <x v="0"/>
    <x v="7"/>
    <x v="1"/>
    <x v="0"/>
    <x v="2"/>
    <x v="0"/>
  </r>
  <r>
    <x v="917"/>
    <x v="128"/>
    <x v="200"/>
    <x v="10"/>
    <x v="4"/>
    <x v="2"/>
    <x v="8"/>
    <x v="2"/>
    <x v="2"/>
    <x v="8"/>
    <x v="10"/>
    <x v="1"/>
    <x v="0"/>
    <x v="3"/>
    <x v="3"/>
  </r>
  <r>
    <x v="918"/>
    <x v="128"/>
    <x v="473"/>
    <x v="0"/>
    <x v="4"/>
    <x v="0"/>
    <x v="9"/>
    <x v="3"/>
    <x v="2"/>
    <x v="7"/>
    <x v="9"/>
    <x v="0"/>
    <x v="0"/>
    <x v="2"/>
    <x v="1"/>
  </r>
  <r>
    <x v="919"/>
    <x v="128"/>
    <x v="474"/>
    <x v="8"/>
    <x v="4"/>
    <x v="0"/>
    <x v="13"/>
    <x v="0"/>
    <x v="2"/>
    <x v="2"/>
    <x v="2"/>
    <x v="1"/>
    <x v="0"/>
    <x v="1"/>
    <x v="1"/>
  </r>
  <r>
    <x v="920"/>
    <x v="128"/>
    <x v="40"/>
    <x v="5"/>
    <x v="4"/>
    <x v="0"/>
    <x v="5"/>
    <x v="1"/>
    <x v="2"/>
    <x v="5"/>
    <x v="5"/>
    <x v="0"/>
    <x v="0"/>
    <x v="0"/>
    <x v="2"/>
  </r>
  <r>
    <x v="921"/>
    <x v="128"/>
    <x v="475"/>
    <x v="5"/>
    <x v="4"/>
    <x v="2"/>
    <x v="0"/>
    <x v="0"/>
    <x v="2"/>
    <x v="0"/>
    <x v="7"/>
    <x v="1"/>
    <x v="0"/>
    <x v="0"/>
    <x v="1"/>
  </r>
  <r>
    <x v="922"/>
    <x v="128"/>
    <x v="66"/>
    <x v="1"/>
    <x v="4"/>
    <x v="0"/>
    <x v="0"/>
    <x v="0"/>
    <x v="0"/>
    <x v="0"/>
    <x v="0"/>
    <x v="0"/>
    <x v="0"/>
    <x v="0"/>
    <x v="0"/>
  </r>
  <r>
    <x v="923"/>
    <x v="128"/>
    <x v="248"/>
    <x v="3"/>
    <x v="4"/>
    <x v="1"/>
    <x v="0"/>
    <x v="0"/>
    <x v="2"/>
    <x v="0"/>
    <x v="7"/>
    <x v="0"/>
    <x v="0"/>
    <x v="0"/>
    <x v="4"/>
  </r>
  <r>
    <x v="924"/>
    <x v="128"/>
    <x v="239"/>
    <x v="3"/>
    <x v="4"/>
    <x v="0"/>
    <x v="8"/>
    <x v="2"/>
    <x v="0"/>
    <x v="8"/>
    <x v="21"/>
    <x v="1"/>
    <x v="0"/>
    <x v="0"/>
    <x v="1"/>
  </r>
  <r>
    <x v="925"/>
    <x v="128"/>
    <x v="476"/>
    <x v="2"/>
    <x v="4"/>
    <x v="1"/>
    <x v="1"/>
    <x v="1"/>
    <x v="0"/>
    <x v="1"/>
    <x v="16"/>
    <x v="1"/>
    <x v="0"/>
    <x v="3"/>
    <x v="0"/>
  </r>
  <r>
    <x v="926"/>
    <x v="128"/>
    <x v="477"/>
    <x v="4"/>
    <x v="4"/>
    <x v="0"/>
    <x v="14"/>
    <x v="3"/>
    <x v="2"/>
    <x v="14"/>
    <x v="25"/>
    <x v="0"/>
    <x v="0"/>
    <x v="0"/>
    <x v="2"/>
  </r>
  <r>
    <x v="927"/>
    <x v="129"/>
    <x v="478"/>
    <x v="12"/>
    <x v="5"/>
    <x v="0"/>
    <x v="0"/>
    <x v="0"/>
    <x v="0"/>
    <x v="0"/>
    <x v="0"/>
    <x v="0"/>
    <x v="0"/>
    <x v="0"/>
    <x v="0"/>
  </r>
  <r>
    <x v="928"/>
    <x v="129"/>
    <x v="479"/>
    <x v="11"/>
    <x v="5"/>
    <x v="0"/>
    <x v="7"/>
    <x v="2"/>
    <x v="2"/>
    <x v="7"/>
    <x v="9"/>
    <x v="0"/>
    <x v="0"/>
    <x v="0"/>
    <x v="4"/>
  </r>
  <r>
    <x v="929"/>
    <x v="129"/>
    <x v="384"/>
    <x v="5"/>
    <x v="5"/>
    <x v="2"/>
    <x v="6"/>
    <x v="0"/>
    <x v="2"/>
    <x v="6"/>
    <x v="6"/>
    <x v="0"/>
    <x v="0"/>
    <x v="0"/>
    <x v="4"/>
  </r>
  <r>
    <x v="930"/>
    <x v="129"/>
    <x v="13"/>
    <x v="1"/>
    <x v="5"/>
    <x v="0"/>
    <x v="4"/>
    <x v="1"/>
    <x v="0"/>
    <x v="4"/>
    <x v="35"/>
    <x v="0"/>
    <x v="0"/>
    <x v="0"/>
    <x v="3"/>
  </r>
  <r>
    <x v="931"/>
    <x v="129"/>
    <x v="281"/>
    <x v="1"/>
    <x v="5"/>
    <x v="1"/>
    <x v="0"/>
    <x v="0"/>
    <x v="2"/>
    <x v="0"/>
    <x v="7"/>
    <x v="0"/>
    <x v="0"/>
    <x v="0"/>
    <x v="2"/>
  </r>
  <r>
    <x v="932"/>
    <x v="129"/>
    <x v="326"/>
    <x v="3"/>
    <x v="5"/>
    <x v="0"/>
    <x v="6"/>
    <x v="0"/>
    <x v="2"/>
    <x v="6"/>
    <x v="6"/>
    <x v="0"/>
    <x v="0"/>
    <x v="0"/>
    <x v="4"/>
  </r>
  <r>
    <x v="933"/>
    <x v="129"/>
    <x v="480"/>
    <x v="2"/>
    <x v="5"/>
    <x v="2"/>
    <x v="7"/>
    <x v="2"/>
    <x v="2"/>
    <x v="14"/>
    <x v="58"/>
    <x v="0"/>
    <x v="1"/>
    <x v="0"/>
    <x v="0"/>
  </r>
  <r>
    <x v="934"/>
    <x v="129"/>
    <x v="92"/>
    <x v="2"/>
    <x v="5"/>
    <x v="1"/>
    <x v="6"/>
    <x v="0"/>
    <x v="2"/>
    <x v="6"/>
    <x v="6"/>
    <x v="1"/>
    <x v="0"/>
    <x v="3"/>
    <x v="1"/>
  </r>
  <r>
    <x v="935"/>
    <x v="129"/>
    <x v="431"/>
    <x v="4"/>
    <x v="5"/>
    <x v="1"/>
    <x v="4"/>
    <x v="1"/>
    <x v="0"/>
    <x v="4"/>
    <x v="35"/>
    <x v="0"/>
    <x v="0"/>
    <x v="0"/>
    <x v="2"/>
  </r>
  <r>
    <x v="936"/>
    <x v="129"/>
    <x v="460"/>
    <x v="4"/>
    <x v="5"/>
    <x v="2"/>
    <x v="7"/>
    <x v="2"/>
    <x v="2"/>
    <x v="7"/>
    <x v="9"/>
    <x v="0"/>
    <x v="0"/>
    <x v="1"/>
    <x v="1"/>
  </r>
  <r>
    <x v="937"/>
    <x v="130"/>
    <x v="211"/>
    <x v="2"/>
    <x v="4"/>
    <x v="1"/>
    <x v="4"/>
    <x v="1"/>
    <x v="2"/>
    <x v="4"/>
    <x v="15"/>
    <x v="0"/>
    <x v="0"/>
    <x v="0"/>
    <x v="1"/>
  </r>
  <r>
    <x v="938"/>
    <x v="131"/>
    <x v="341"/>
    <x v="5"/>
    <x v="6"/>
    <x v="0"/>
    <x v="2"/>
    <x v="2"/>
    <x v="2"/>
    <x v="2"/>
    <x v="2"/>
    <x v="1"/>
    <x v="0"/>
    <x v="0"/>
    <x v="1"/>
  </r>
  <r>
    <x v="939"/>
    <x v="131"/>
    <x v="1"/>
    <x v="1"/>
    <x v="6"/>
    <x v="2"/>
    <x v="6"/>
    <x v="0"/>
    <x v="2"/>
    <x v="6"/>
    <x v="6"/>
    <x v="1"/>
    <x v="0"/>
    <x v="0"/>
    <x v="1"/>
  </r>
  <r>
    <x v="940"/>
    <x v="131"/>
    <x v="8"/>
    <x v="1"/>
    <x v="6"/>
    <x v="1"/>
    <x v="7"/>
    <x v="2"/>
    <x v="2"/>
    <x v="7"/>
    <x v="9"/>
    <x v="0"/>
    <x v="0"/>
    <x v="2"/>
    <x v="3"/>
  </r>
  <r>
    <x v="941"/>
    <x v="131"/>
    <x v="61"/>
    <x v="1"/>
    <x v="6"/>
    <x v="0"/>
    <x v="0"/>
    <x v="0"/>
    <x v="2"/>
    <x v="0"/>
    <x v="7"/>
    <x v="1"/>
    <x v="0"/>
    <x v="0"/>
    <x v="2"/>
  </r>
  <r>
    <x v="942"/>
    <x v="131"/>
    <x v="466"/>
    <x v="3"/>
    <x v="6"/>
    <x v="1"/>
    <x v="5"/>
    <x v="1"/>
    <x v="1"/>
    <x v="5"/>
    <x v="74"/>
    <x v="0"/>
    <x v="1"/>
    <x v="2"/>
    <x v="1"/>
  </r>
  <r>
    <x v="943"/>
    <x v="131"/>
    <x v="92"/>
    <x v="2"/>
    <x v="6"/>
    <x v="0"/>
    <x v="10"/>
    <x v="4"/>
    <x v="2"/>
    <x v="10"/>
    <x v="13"/>
    <x v="0"/>
    <x v="0"/>
    <x v="0"/>
    <x v="3"/>
  </r>
  <r>
    <x v="944"/>
    <x v="132"/>
    <x v="317"/>
    <x v="12"/>
    <x v="0"/>
    <x v="0"/>
    <x v="11"/>
    <x v="1"/>
    <x v="2"/>
    <x v="11"/>
    <x v="24"/>
    <x v="1"/>
    <x v="0"/>
    <x v="1"/>
    <x v="1"/>
  </r>
  <r>
    <x v="945"/>
    <x v="132"/>
    <x v="481"/>
    <x v="12"/>
    <x v="0"/>
    <x v="0"/>
    <x v="5"/>
    <x v="1"/>
    <x v="0"/>
    <x v="5"/>
    <x v="17"/>
    <x v="1"/>
    <x v="0"/>
    <x v="2"/>
    <x v="0"/>
  </r>
  <r>
    <x v="946"/>
    <x v="132"/>
    <x v="26"/>
    <x v="5"/>
    <x v="0"/>
    <x v="2"/>
    <x v="2"/>
    <x v="2"/>
    <x v="2"/>
    <x v="2"/>
    <x v="2"/>
    <x v="0"/>
    <x v="0"/>
    <x v="2"/>
    <x v="0"/>
  </r>
  <r>
    <x v="947"/>
    <x v="132"/>
    <x v="67"/>
    <x v="3"/>
    <x v="0"/>
    <x v="1"/>
    <x v="11"/>
    <x v="1"/>
    <x v="2"/>
    <x v="11"/>
    <x v="75"/>
    <x v="0"/>
    <x v="2"/>
    <x v="3"/>
    <x v="1"/>
  </r>
  <r>
    <x v="948"/>
    <x v="132"/>
    <x v="288"/>
    <x v="2"/>
    <x v="0"/>
    <x v="1"/>
    <x v="7"/>
    <x v="2"/>
    <x v="2"/>
    <x v="7"/>
    <x v="9"/>
    <x v="0"/>
    <x v="0"/>
    <x v="0"/>
    <x v="0"/>
  </r>
  <r>
    <x v="949"/>
    <x v="133"/>
    <x v="379"/>
    <x v="5"/>
    <x v="1"/>
    <x v="0"/>
    <x v="7"/>
    <x v="2"/>
    <x v="2"/>
    <x v="7"/>
    <x v="9"/>
    <x v="0"/>
    <x v="0"/>
    <x v="0"/>
    <x v="4"/>
  </r>
  <r>
    <x v="950"/>
    <x v="133"/>
    <x v="482"/>
    <x v="1"/>
    <x v="1"/>
    <x v="1"/>
    <x v="7"/>
    <x v="2"/>
    <x v="2"/>
    <x v="7"/>
    <x v="9"/>
    <x v="1"/>
    <x v="0"/>
    <x v="2"/>
    <x v="2"/>
  </r>
  <r>
    <x v="951"/>
    <x v="6"/>
    <x v="77"/>
    <x v="7"/>
    <x v="2"/>
    <x v="2"/>
    <x v="9"/>
    <x v="3"/>
    <x v="2"/>
    <x v="7"/>
    <x v="9"/>
    <x v="1"/>
    <x v="0"/>
    <x v="0"/>
    <x v="1"/>
  </r>
  <r>
    <x v="952"/>
    <x v="6"/>
    <x v="378"/>
    <x v="0"/>
    <x v="2"/>
    <x v="0"/>
    <x v="13"/>
    <x v="0"/>
    <x v="2"/>
    <x v="2"/>
    <x v="57"/>
    <x v="0"/>
    <x v="2"/>
    <x v="0"/>
    <x v="2"/>
  </r>
  <r>
    <x v="953"/>
    <x v="6"/>
    <x v="483"/>
    <x v="6"/>
    <x v="2"/>
    <x v="0"/>
    <x v="9"/>
    <x v="3"/>
    <x v="2"/>
    <x v="7"/>
    <x v="9"/>
    <x v="0"/>
    <x v="0"/>
    <x v="2"/>
    <x v="4"/>
  </r>
  <r>
    <x v="954"/>
    <x v="6"/>
    <x v="282"/>
    <x v="1"/>
    <x v="2"/>
    <x v="2"/>
    <x v="10"/>
    <x v="4"/>
    <x v="2"/>
    <x v="10"/>
    <x v="13"/>
    <x v="0"/>
    <x v="0"/>
    <x v="0"/>
    <x v="0"/>
  </r>
  <r>
    <x v="955"/>
    <x v="6"/>
    <x v="3"/>
    <x v="1"/>
    <x v="2"/>
    <x v="2"/>
    <x v="3"/>
    <x v="3"/>
    <x v="2"/>
    <x v="3"/>
    <x v="3"/>
    <x v="0"/>
    <x v="0"/>
    <x v="1"/>
    <x v="3"/>
  </r>
  <r>
    <x v="956"/>
    <x v="6"/>
    <x v="417"/>
    <x v="3"/>
    <x v="2"/>
    <x v="1"/>
    <x v="5"/>
    <x v="1"/>
    <x v="2"/>
    <x v="5"/>
    <x v="5"/>
    <x v="0"/>
    <x v="0"/>
    <x v="0"/>
    <x v="1"/>
  </r>
  <r>
    <x v="957"/>
    <x v="6"/>
    <x v="48"/>
    <x v="2"/>
    <x v="2"/>
    <x v="1"/>
    <x v="9"/>
    <x v="3"/>
    <x v="2"/>
    <x v="7"/>
    <x v="9"/>
    <x v="0"/>
    <x v="0"/>
    <x v="0"/>
    <x v="3"/>
  </r>
  <r>
    <x v="958"/>
    <x v="6"/>
    <x v="444"/>
    <x v="2"/>
    <x v="2"/>
    <x v="1"/>
    <x v="2"/>
    <x v="2"/>
    <x v="2"/>
    <x v="2"/>
    <x v="30"/>
    <x v="0"/>
    <x v="1"/>
    <x v="1"/>
    <x v="0"/>
  </r>
  <r>
    <x v="959"/>
    <x v="6"/>
    <x v="187"/>
    <x v="2"/>
    <x v="2"/>
    <x v="0"/>
    <x v="6"/>
    <x v="0"/>
    <x v="2"/>
    <x v="6"/>
    <x v="56"/>
    <x v="1"/>
    <x v="1"/>
    <x v="0"/>
    <x v="4"/>
  </r>
  <r>
    <x v="960"/>
    <x v="134"/>
    <x v="484"/>
    <x v="11"/>
    <x v="3"/>
    <x v="0"/>
    <x v="8"/>
    <x v="2"/>
    <x v="2"/>
    <x v="8"/>
    <x v="10"/>
    <x v="1"/>
    <x v="0"/>
    <x v="1"/>
    <x v="3"/>
  </r>
  <r>
    <x v="961"/>
    <x v="134"/>
    <x v="485"/>
    <x v="6"/>
    <x v="3"/>
    <x v="0"/>
    <x v="7"/>
    <x v="2"/>
    <x v="2"/>
    <x v="7"/>
    <x v="9"/>
    <x v="1"/>
    <x v="0"/>
    <x v="0"/>
    <x v="0"/>
  </r>
  <r>
    <x v="962"/>
    <x v="134"/>
    <x v="106"/>
    <x v="8"/>
    <x v="3"/>
    <x v="0"/>
    <x v="7"/>
    <x v="2"/>
    <x v="2"/>
    <x v="7"/>
    <x v="9"/>
    <x v="1"/>
    <x v="0"/>
    <x v="0"/>
    <x v="1"/>
  </r>
  <r>
    <x v="963"/>
    <x v="134"/>
    <x v="208"/>
    <x v="5"/>
    <x v="3"/>
    <x v="0"/>
    <x v="7"/>
    <x v="2"/>
    <x v="2"/>
    <x v="7"/>
    <x v="25"/>
    <x v="0"/>
    <x v="1"/>
    <x v="3"/>
    <x v="3"/>
  </r>
  <r>
    <x v="964"/>
    <x v="134"/>
    <x v="281"/>
    <x v="1"/>
    <x v="3"/>
    <x v="2"/>
    <x v="6"/>
    <x v="0"/>
    <x v="1"/>
    <x v="6"/>
    <x v="25"/>
    <x v="1"/>
    <x v="0"/>
    <x v="0"/>
    <x v="2"/>
  </r>
  <r>
    <x v="965"/>
    <x v="134"/>
    <x v="259"/>
    <x v="1"/>
    <x v="3"/>
    <x v="0"/>
    <x v="0"/>
    <x v="0"/>
    <x v="0"/>
    <x v="0"/>
    <x v="0"/>
    <x v="0"/>
    <x v="0"/>
    <x v="2"/>
    <x v="0"/>
  </r>
  <r>
    <x v="966"/>
    <x v="134"/>
    <x v="20"/>
    <x v="2"/>
    <x v="3"/>
    <x v="0"/>
    <x v="2"/>
    <x v="2"/>
    <x v="0"/>
    <x v="2"/>
    <x v="10"/>
    <x v="1"/>
    <x v="0"/>
    <x v="2"/>
    <x v="0"/>
  </r>
  <r>
    <x v="967"/>
    <x v="134"/>
    <x v="431"/>
    <x v="4"/>
    <x v="3"/>
    <x v="1"/>
    <x v="11"/>
    <x v="1"/>
    <x v="2"/>
    <x v="11"/>
    <x v="24"/>
    <x v="0"/>
    <x v="0"/>
    <x v="0"/>
    <x v="0"/>
  </r>
  <r>
    <x v="968"/>
    <x v="134"/>
    <x v="152"/>
    <x v="4"/>
    <x v="3"/>
    <x v="1"/>
    <x v="2"/>
    <x v="2"/>
    <x v="0"/>
    <x v="2"/>
    <x v="10"/>
    <x v="0"/>
    <x v="0"/>
    <x v="3"/>
    <x v="0"/>
  </r>
  <r>
    <x v="969"/>
    <x v="130"/>
    <x v="145"/>
    <x v="10"/>
    <x v="4"/>
    <x v="0"/>
    <x v="6"/>
    <x v="0"/>
    <x v="2"/>
    <x v="6"/>
    <x v="6"/>
    <x v="1"/>
    <x v="0"/>
    <x v="0"/>
    <x v="0"/>
  </r>
  <r>
    <x v="970"/>
    <x v="130"/>
    <x v="64"/>
    <x v="7"/>
    <x v="4"/>
    <x v="0"/>
    <x v="3"/>
    <x v="3"/>
    <x v="2"/>
    <x v="3"/>
    <x v="3"/>
    <x v="1"/>
    <x v="0"/>
    <x v="1"/>
    <x v="2"/>
  </r>
  <r>
    <x v="971"/>
    <x v="130"/>
    <x v="22"/>
    <x v="6"/>
    <x v="4"/>
    <x v="0"/>
    <x v="5"/>
    <x v="1"/>
    <x v="2"/>
    <x v="5"/>
    <x v="5"/>
    <x v="1"/>
    <x v="0"/>
    <x v="2"/>
    <x v="4"/>
  </r>
  <r>
    <x v="972"/>
    <x v="70"/>
    <x v="259"/>
    <x v="1"/>
    <x v="1"/>
    <x v="1"/>
    <x v="1"/>
    <x v="1"/>
    <x v="2"/>
    <x v="1"/>
    <x v="8"/>
    <x v="0"/>
    <x v="0"/>
    <x v="0"/>
    <x v="4"/>
  </r>
  <r>
    <x v="973"/>
    <x v="130"/>
    <x v="242"/>
    <x v="1"/>
    <x v="4"/>
    <x v="0"/>
    <x v="2"/>
    <x v="2"/>
    <x v="2"/>
    <x v="2"/>
    <x v="2"/>
    <x v="1"/>
    <x v="0"/>
    <x v="0"/>
    <x v="3"/>
  </r>
  <r>
    <x v="974"/>
    <x v="130"/>
    <x v="123"/>
    <x v="3"/>
    <x v="4"/>
    <x v="2"/>
    <x v="8"/>
    <x v="2"/>
    <x v="1"/>
    <x v="8"/>
    <x v="18"/>
    <x v="0"/>
    <x v="3"/>
    <x v="0"/>
    <x v="1"/>
  </r>
  <r>
    <x v="975"/>
    <x v="131"/>
    <x v="363"/>
    <x v="5"/>
    <x v="6"/>
    <x v="0"/>
    <x v="0"/>
    <x v="0"/>
    <x v="2"/>
    <x v="0"/>
    <x v="7"/>
    <x v="1"/>
    <x v="0"/>
    <x v="0"/>
    <x v="0"/>
  </r>
  <r>
    <x v="976"/>
    <x v="130"/>
    <x v="486"/>
    <x v="4"/>
    <x v="4"/>
    <x v="1"/>
    <x v="6"/>
    <x v="0"/>
    <x v="2"/>
    <x v="6"/>
    <x v="6"/>
    <x v="0"/>
    <x v="0"/>
    <x v="0"/>
    <x v="1"/>
  </r>
  <r>
    <x v="977"/>
    <x v="135"/>
    <x v="487"/>
    <x v="0"/>
    <x v="5"/>
    <x v="0"/>
    <x v="0"/>
    <x v="0"/>
    <x v="0"/>
    <x v="0"/>
    <x v="0"/>
    <x v="1"/>
    <x v="0"/>
    <x v="2"/>
    <x v="1"/>
  </r>
  <r>
    <x v="978"/>
    <x v="135"/>
    <x v="488"/>
    <x v="11"/>
    <x v="5"/>
    <x v="0"/>
    <x v="4"/>
    <x v="1"/>
    <x v="2"/>
    <x v="4"/>
    <x v="15"/>
    <x v="0"/>
    <x v="0"/>
    <x v="0"/>
    <x v="4"/>
  </r>
  <r>
    <x v="979"/>
    <x v="135"/>
    <x v="419"/>
    <x v="1"/>
    <x v="5"/>
    <x v="0"/>
    <x v="9"/>
    <x v="3"/>
    <x v="2"/>
    <x v="7"/>
    <x v="9"/>
    <x v="1"/>
    <x v="0"/>
    <x v="3"/>
    <x v="1"/>
  </r>
  <r>
    <x v="980"/>
    <x v="135"/>
    <x v="241"/>
    <x v="3"/>
    <x v="5"/>
    <x v="2"/>
    <x v="8"/>
    <x v="2"/>
    <x v="2"/>
    <x v="8"/>
    <x v="37"/>
    <x v="0"/>
    <x v="2"/>
    <x v="0"/>
    <x v="1"/>
  </r>
  <r>
    <x v="981"/>
    <x v="135"/>
    <x v="417"/>
    <x v="3"/>
    <x v="5"/>
    <x v="0"/>
    <x v="6"/>
    <x v="0"/>
    <x v="2"/>
    <x v="6"/>
    <x v="6"/>
    <x v="1"/>
    <x v="0"/>
    <x v="0"/>
    <x v="4"/>
  </r>
  <r>
    <x v="982"/>
    <x v="135"/>
    <x v="33"/>
    <x v="2"/>
    <x v="5"/>
    <x v="1"/>
    <x v="3"/>
    <x v="3"/>
    <x v="0"/>
    <x v="3"/>
    <x v="14"/>
    <x v="0"/>
    <x v="0"/>
    <x v="3"/>
    <x v="0"/>
  </r>
  <r>
    <x v="983"/>
    <x v="135"/>
    <x v="101"/>
    <x v="2"/>
    <x v="5"/>
    <x v="0"/>
    <x v="9"/>
    <x v="3"/>
    <x v="1"/>
    <x v="7"/>
    <x v="8"/>
    <x v="1"/>
    <x v="0"/>
    <x v="0"/>
    <x v="2"/>
  </r>
  <r>
    <x v="984"/>
    <x v="136"/>
    <x v="489"/>
    <x v="0"/>
    <x v="6"/>
    <x v="1"/>
    <x v="7"/>
    <x v="2"/>
    <x v="2"/>
    <x v="7"/>
    <x v="9"/>
    <x v="0"/>
    <x v="0"/>
    <x v="2"/>
    <x v="4"/>
  </r>
  <r>
    <x v="985"/>
    <x v="136"/>
    <x v="462"/>
    <x v="0"/>
    <x v="6"/>
    <x v="0"/>
    <x v="0"/>
    <x v="0"/>
    <x v="2"/>
    <x v="0"/>
    <x v="7"/>
    <x v="0"/>
    <x v="0"/>
    <x v="0"/>
    <x v="1"/>
  </r>
  <r>
    <x v="986"/>
    <x v="136"/>
    <x v="490"/>
    <x v="6"/>
    <x v="6"/>
    <x v="1"/>
    <x v="2"/>
    <x v="2"/>
    <x v="1"/>
    <x v="2"/>
    <x v="40"/>
    <x v="1"/>
    <x v="0"/>
    <x v="0"/>
    <x v="1"/>
  </r>
  <r>
    <x v="987"/>
    <x v="136"/>
    <x v="140"/>
    <x v="5"/>
    <x v="6"/>
    <x v="0"/>
    <x v="8"/>
    <x v="2"/>
    <x v="2"/>
    <x v="8"/>
    <x v="36"/>
    <x v="0"/>
    <x v="1"/>
    <x v="2"/>
    <x v="0"/>
  </r>
  <r>
    <x v="988"/>
    <x v="136"/>
    <x v="345"/>
    <x v="5"/>
    <x v="6"/>
    <x v="0"/>
    <x v="9"/>
    <x v="3"/>
    <x v="2"/>
    <x v="7"/>
    <x v="9"/>
    <x v="0"/>
    <x v="0"/>
    <x v="0"/>
    <x v="1"/>
  </r>
  <r>
    <x v="989"/>
    <x v="136"/>
    <x v="1"/>
    <x v="1"/>
    <x v="6"/>
    <x v="1"/>
    <x v="6"/>
    <x v="0"/>
    <x v="2"/>
    <x v="6"/>
    <x v="6"/>
    <x v="0"/>
    <x v="0"/>
    <x v="2"/>
    <x v="4"/>
  </r>
  <r>
    <x v="990"/>
    <x v="136"/>
    <x v="9"/>
    <x v="3"/>
    <x v="6"/>
    <x v="2"/>
    <x v="8"/>
    <x v="2"/>
    <x v="2"/>
    <x v="8"/>
    <x v="10"/>
    <x v="0"/>
    <x v="0"/>
    <x v="1"/>
    <x v="4"/>
  </r>
  <r>
    <x v="991"/>
    <x v="136"/>
    <x v="420"/>
    <x v="3"/>
    <x v="6"/>
    <x v="0"/>
    <x v="0"/>
    <x v="0"/>
    <x v="2"/>
    <x v="0"/>
    <x v="38"/>
    <x v="1"/>
    <x v="1"/>
    <x v="2"/>
    <x v="3"/>
  </r>
  <r>
    <x v="992"/>
    <x v="136"/>
    <x v="85"/>
    <x v="3"/>
    <x v="6"/>
    <x v="1"/>
    <x v="4"/>
    <x v="1"/>
    <x v="0"/>
    <x v="4"/>
    <x v="35"/>
    <x v="0"/>
    <x v="0"/>
    <x v="0"/>
    <x v="1"/>
  </r>
  <r>
    <x v="993"/>
    <x v="136"/>
    <x v="297"/>
    <x v="2"/>
    <x v="6"/>
    <x v="2"/>
    <x v="1"/>
    <x v="1"/>
    <x v="0"/>
    <x v="1"/>
    <x v="16"/>
    <x v="1"/>
    <x v="0"/>
    <x v="0"/>
    <x v="4"/>
  </r>
  <r>
    <x v="994"/>
    <x v="136"/>
    <x v="270"/>
    <x v="4"/>
    <x v="6"/>
    <x v="1"/>
    <x v="3"/>
    <x v="3"/>
    <x v="2"/>
    <x v="3"/>
    <x v="3"/>
    <x v="1"/>
    <x v="0"/>
    <x v="0"/>
    <x v="0"/>
  </r>
  <r>
    <x v="995"/>
    <x v="137"/>
    <x v="254"/>
    <x v="7"/>
    <x v="1"/>
    <x v="0"/>
    <x v="2"/>
    <x v="2"/>
    <x v="0"/>
    <x v="2"/>
    <x v="36"/>
    <x v="0"/>
    <x v="1"/>
    <x v="2"/>
    <x v="3"/>
  </r>
  <r>
    <x v="996"/>
    <x v="138"/>
    <x v="491"/>
    <x v="8"/>
    <x v="0"/>
    <x v="1"/>
    <x v="10"/>
    <x v="4"/>
    <x v="2"/>
    <x v="10"/>
    <x v="13"/>
    <x v="1"/>
    <x v="0"/>
    <x v="0"/>
    <x v="1"/>
  </r>
  <r>
    <x v="997"/>
    <x v="138"/>
    <x v="60"/>
    <x v="1"/>
    <x v="0"/>
    <x v="2"/>
    <x v="8"/>
    <x v="2"/>
    <x v="2"/>
    <x v="8"/>
    <x v="10"/>
    <x v="0"/>
    <x v="0"/>
    <x v="0"/>
    <x v="2"/>
  </r>
  <r>
    <x v="998"/>
    <x v="138"/>
    <x v="430"/>
    <x v="3"/>
    <x v="0"/>
    <x v="1"/>
    <x v="4"/>
    <x v="1"/>
    <x v="2"/>
    <x v="4"/>
    <x v="15"/>
    <x v="1"/>
    <x v="0"/>
    <x v="0"/>
    <x v="1"/>
  </r>
  <r>
    <x v="999"/>
    <x v="138"/>
    <x v="72"/>
    <x v="3"/>
    <x v="0"/>
    <x v="0"/>
    <x v="0"/>
    <x v="0"/>
    <x v="0"/>
    <x v="0"/>
    <x v="0"/>
    <x v="0"/>
    <x v="0"/>
    <x v="0"/>
    <x v="2"/>
  </r>
  <r>
    <x v="1000"/>
    <x v="138"/>
    <x v="492"/>
    <x v="2"/>
    <x v="0"/>
    <x v="0"/>
    <x v="11"/>
    <x v="1"/>
    <x v="1"/>
    <x v="11"/>
    <x v="19"/>
    <x v="0"/>
    <x v="0"/>
    <x v="2"/>
    <x v="4"/>
  </r>
  <r>
    <x v="1001"/>
    <x v="139"/>
    <x v="215"/>
    <x v="9"/>
    <x v="1"/>
    <x v="0"/>
    <x v="12"/>
    <x v="4"/>
    <x v="2"/>
    <x v="8"/>
    <x v="10"/>
    <x v="0"/>
    <x v="0"/>
    <x v="1"/>
    <x v="1"/>
  </r>
  <r>
    <x v="1002"/>
    <x v="139"/>
    <x v="493"/>
    <x v="6"/>
    <x v="1"/>
    <x v="2"/>
    <x v="6"/>
    <x v="0"/>
    <x v="0"/>
    <x v="6"/>
    <x v="2"/>
    <x v="1"/>
    <x v="0"/>
    <x v="0"/>
    <x v="3"/>
  </r>
  <r>
    <x v="1003"/>
    <x v="139"/>
    <x v="80"/>
    <x v="8"/>
    <x v="1"/>
    <x v="2"/>
    <x v="7"/>
    <x v="2"/>
    <x v="2"/>
    <x v="7"/>
    <x v="9"/>
    <x v="1"/>
    <x v="0"/>
    <x v="0"/>
    <x v="0"/>
  </r>
  <r>
    <x v="1004"/>
    <x v="140"/>
    <x v="196"/>
    <x v="1"/>
    <x v="4"/>
    <x v="0"/>
    <x v="13"/>
    <x v="0"/>
    <x v="2"/>
    <x v="2"/>
    <x v="2"/>
    <x v="1"/>
    <x v="0"/>
    <x v="0"/>
    <x v="3"/>
  </r>
  <r>
    <x v="1005"/>
    <x v="139"/>
    <x v="8"/>
    <x v="1"/>
    <x v="1"/>
    <x v="1"/>
    <x v="6"/>
    <x v="0"/>
    <x v="2"/>
    <x v="6"/>
    <x v="6"/>
    <x v="1"/>
    <x v="0"/>
    <x v="2"/>
    <x v="2"/>
  </r>
  <r>
    <x v="1006"/>
    <x v="139"/>
    <x v="185"/>
    <x v="1"/>
    <x v="1"/>
    <x v="0"/>
    <x v="1"/>
    <x v="1"/>
    <x v="2"/>
    <x v="1"/>
    <x v="8"/>
    <x v="1"/>
    <x v="0"/>
    <x v="0"/>
    <x v="4"/>
  </r>
  <r>
    <x v="1007"/>
    <x v="139"/>
    <x v="14"/>
    <x v="2"/>
    <x v="1"/>
    <x v="1"/>
    <x v="8"/>
    <x v="2"/>
    <x v="2"/>
    <x v="8"/>
    <x v="36"/>
    <x v="0"/>
    <x v="1"/>
    <x v="1"/>
    <x v="4"/>
  </r>
  <r>
    <x v="1008"/>
    <x v="140"/>
    <x v="437"/>
    <x v="4"/>
    <x v="4"/>
    <x v="0"/>
    <x v="8"/>
    <x v="2"/>
    <x v="2"/>
    <x v="8"/>
    <x v="10"/>
    <x v="0"/>
    <x v="0"/>
    <x v="2"/>
    <x v="0"/>
  </r>
  <r>
    <x v="1009"/>
    <x v="141"/>
    <x v="128"/>
    <x v="7"/>
    <x v="2"/>
    <x v="2"/>
    <x v="0"/>
    <x v="0"/>
    <x v="2"/>
    <x v="0"/>
    <x v="7"/>
    <x v="0"/>
    <x v="0"/>
    <x v="2"/>
    <x v="2"/>
  </r>
  <r>
    <x v="1010"/>
    <x v="141"/>
    <x v="494"/>
    <x v="6"/>
    <x v="2"/>
    <x v="2"/>
    <x v="7"/>
    <x v="2"/>
    <x v="2"/>
    <x v="7"/>
    <x v="3"/>
    <x v="0"/>
    <x v="2"/>
    <x v="0"/>
    <x v="1"/>
  </r>
  <r>
    <x v="1011"/>
    <x v="141"/>
    <x v="485"/>
    <x v="6"/>
    <x v="2"/>
    <x v="0"/>
    <x v="1"/>
    <x v="1"/>
    <x v="2"/>
    <x v="1"/>
    <x v="76"/>
    <x v="1"/>
    <x v="3"/>
    <x v="0"/>
    <x v="1"/>
  </r>
  <r>
    <x v="1012"/>
    <x v="141"/>
    <x v="441"/>
    <x v="5"/>
    <x v="2"/>
    <x v="2"/>
    <x v="6"/>
    <x v="0"/>
    <x v="0"/>
    <x v="6"/>
    <x v="2"/>
    <x v="1"/>
    <x v="0"/>
    <x v="0"/>
    <x v="0"/>
  </r>
  <r>
    <x v="1013"/>
    <x v="141"/>
    <x v="158"/>
    <x v="1"/>
    <x v="2"/>
    <x v="1"/>
    <x v="11"/>
    <x v="1"/>
    <x v="2"/>
    <x v="11"/>
    <x v="45"/>
    <x v="0"/>
    <x v="1"/>
    <x v="0"/>
    <x v="1"/>
  </r>
  <r>
    <x v="1014"/>
    <x v="141"/>
    <x v="113"/>
    <x v="1"/>
    <x v="2"/>
    <x v="2"/>
    <x v="5"/>
    <x v="1"/>
    <x v="1"/>
    <x v="5"/>
    <x v="28"/>
    <x v="1"/>
    <x v="0"/>
    <x v="2"/>
    <x v="3"/>
  </r>
  <r>
    <x v="1015"/>
    <x v="141"/>
    <x v="237"/>
    <x v="1"/>
    <x v="2"/>
    <x v="0"/>
    <x v="3"/>
    <x v="3"/>
    <x v="2"/>
    <x v="3"/>
    <x v="3"/>
    <x v="0"/>
    <x v="0"/>
    <x v="0"/>
    <x v="0"/>
  </r>
  <r>
    <x v="1016"/>
    <x v="141"/>
    <x v="197"/>
    <x v="2"/>
    <x v="2"/>
    <x v="2"/>
    <x v="0"/>
    <x v="0"/>
    <x v="2"/>
    <x v="0"/>
    <x v="7"/>
    <x v="1"/>
    <x v="0"/>
    <x v="0"/>
    <x v="0"/>
  </r>
  <r>
    <x v="1017"/>
    <x v="142"/>
    <x v="218"/>
    <x v="7"/>
    <x v="3"/>
    <x v="2"/>
    <x v="5"/>
    <x v="1"/>
    <x v="2"/>
    <x v="5"/>
    <x v="5"/>
    <x v="1"/>
    <x v="0"/>
    <x v="0"/>
    <x v="4"/>
  </r>
  <r>
    <x v="1018"/>
    <x v="142"/>
    <x v="255"/>
    <x v="7"/>
    <x v="3"/>
    <x v="1"/>
    <x v="1"/>
    <x v="1"/>
    <x v="2"/>
    <x v="1"/>
    <x v="8"/>
    <x v="1"/>
    <x v="0"/>
    <x v="3"/>
    <x v="4"/>
  </r>
  <r>
    <x v="1019"/>
    <x v="142"/>
    <x v="41"/>
    <x v="3"/>
    <x v="3"/>
    <x v="1"/>
    <x v="10"/>
    <x v="4"/>
    <x v="2"/>
    <x v="10"/>
    <x v="13"/>
    <x v="1"/>
    <x v="0"/>
    <x v="2"/>
    <x v="3"/>
  </r>
  <r>
    <x v="1020"/>
    <x v="142"/>
    <x v="295"/>
    <x v="2"/>
    <x v="3"/>
    <x v="1"/>
    <x v="7"/>
    <x v="2"/>
    <x v="0"/>
    <x v="7"/>
    <x v="12"/>
    <x v="1"/>
    <x v="0"/>
    <x v="1"/>
    <x v="1"/>
  </r>
  <r>
    <x v="1021"/>
    <x v="143"/>
    <x v="86"/>
    <x v="2"/>
    <x v="2"/>
    <x v="0"/>
    <x v="14"/>
    <x v="3"/>
    <x v="2"/>
    <x v="14"/>
    <x v="25"/>
    <x v="0"/>
    <x v="0"/>
    <x v="0"/>
    <x v="2"/>
  </r>
  <r>
    <x v="1022"/>
    <x v="142"/>
    <x v="495"/>
    <x v="4"/>
    <x v="3"/>
    <x v="0"/>
    <x v="0"/>
    <x v="0"/>
    <x v="2"/>
    <x v="0"/>
    <x v="7"/>
    <x v="0"/>
    <x v="0"/>
    <x v="2"/>
    <x v="1"/>
  </r>
  <r>
    <x v="1023"/>
    <x v="144"/>
    <x v="496"/>
    <x v="12"/>
    <x v="4"/>
    <x v="0"/>
    <x v="7"/>
    <x v="2"/>
    <x v="2"/>
    <x v="7"/>
    <x v="9"/>
    <x v="1"/>
    <x v="0"/>
    <x v="2"/>
    <x v="1"/>
  </r>
  <r>
    <x v="1024"/>
    <x v="144"/>
    <x v="497"/>
    <x v="6"/>
    <x v="4"/>
    <x v="0"/>
    <x v="0"/>
    <x v="0"/>
    <x v="2"/>
    <x v="0"/>
    <x v="7"/>
    <x v="0"/>
    <x v="0"/>
    <x v="0"/>
    <x v="0"/>
  </r>
  <r>
    <x v="1025"/>
    <x v="144"/>
    <x v="344"/>
    <x v="8"/>
    <x v="4"/>
    <x v="2"/>
    <x v="1"/>
    <x v="1"/>
    <x v="2"/>
    <x v="1"/>
    <x v="67"/>
    <x v="0"/>
    <x v="1"/>
    <x v="0"/>
    <x v="2"/>
  </r>
  <r>
    <x v="1026"/>
    <x v="144"/>
    <x v="434"/>
    <x v="8"/>
    <x v="4"/>
    <x v="2"/>
    <x v="6"/>
    <x v="0"/>
    <x v="2"/>
    <x v="6"/>
    <x v="60"/>
    <x v="0"/>
    <x v="3"/>
    <x v="3"/>
    <x v="0"/>
  </r>
  <r>
    <x v="1027"/>
    <x v="145"/>
    <x v="26"/>
    <x v="5"/>
    <x v="5"/>
    <x v="1"/>
    <x v="9"/>
    <x v="3"/>
    <x v="0"/>
    <x v="7"/>
    <x v="12"/>
    <x v="1"/>
    <x v="0"/>
    <x v="2"/>
    <x v="4"/>
  </r>
  <r>
    <x v="1028"/>
    <x v="144"/>
    <x v="175"/>
    <x v="5"/>
    <x v="4"/>
    <x v="1"/>
    <x v="9"/>
    <x v="3"/>
    <x v="1"/>
    <x v="7"/>
    <x v="67"/>
    <x v="1"/>
    <x v="1"/>
    <x v="0"/>
    <x v="3"/>
  </r>
  <r>
    <x v="1029"/>
    <x v="144"/>
    <x v="157"/>
    <x v="1"/>
    <x v="4"/>
    <x v="2"/>
    <x v="7"/>
    <x v="2"/>
    <x v="2"/>
    <x v="7"/>
    <x v="9"/>
    <x v="0"/>
    <x v="0"/>
    <x v="1"/>
    <x v="1"/>
  </r>
  <r>
    <x v="1030"/>
    <x v="144"/>
    <x v="122"/>
    <x v="1"/>
    <x v="4"/>
    <x v="1"/>
    <x v="7"/>
    <x v="2"/>
    <x v="1"/>
    <x v="7"/>
    <x v="8"/>
    <x v="0"/>
    <x v="0"/>
    <x v="0"/>
    <x v="3"/>
  </r>
  <r>
    <x v="1031"/>
    <x v="144"/>
    <x v="9"/>
    <x v="3"/>
    <x v="4"/>
    <x v="2"/>
    <x v="7"/>
    <x v="2"/>
    <x v="2"/>
    <x v="7"/>
    <x v="9"/>
    <x v="0"/>
    <x v="0"/>
    <x v="0"/>
    <x v="2"/>
  </r>
  <r>
    <x v="1032"/>
    <x v="144"/>
    <x v="466"/>
    <x v="3"/>
    <x v="4"/>
    <x v="1"/>
    <x v="6"/>
    <x v="0"/>
    <x v="1"/>
    <x v="6"/>
    <x v="25"/>
    <x v="1"/>
    <x v="0"/>
    <x v="0"/>
    <x v="2"/>
  </r>
  <r>
    <x v="1033"/>
    <x v="144"/>
    <x v="162"/>
    <x v="3"/>
    <x v="4"/>
    <x v="0"/>
    <x v="5"/>
    <x v="1"/>
    <x v="2"/>
    <x v="5"/>
    <x v="5"/>
    <x v="1"/>
    <x v="0"/>
    <x v="1"/>
    <x v="4"/>
  </r>
  <r>
    <x v="1034"/>
    <x v="144"/>
    <x v="131"/>
    <x v="2"/>
    <x v="4"/>
    <x v="0"/>
    <x v="11"/>
    <x v="1"/>
    <x v="2"/>
    <x v="11"/>
    <x v="24"/>
    <x v="0"/>
    <x v="0"/>
    <x v="0"/>
    <x v="2"/>
  </r>
  <r>
    <x v="1035"/>
    <x v="146"/>
    <x v="181"/>
    <x v="7"/>
    <x v="0"/>
    <x v="0"/>
    <x v="6"/>
    <x v="0"/>
    <x v="2"/>
    <x v="6"/>
    <x v="6"/>
    <x v="0"/>
    <x v="0"/>
    <x v="0"/>
    <x v="0"/>
  </r>
  <r>
    <x v="1036"/>
    <x v="147"/>
    <x v="498"/>
    <x v="0"/>
    <x v="5"/>
    <x v="0"/>
    <x v="8"/>
    <x v="2"/>
    <x v="2"/>
    <x v="8"/>
    <x v="10"/>
    <x v="1"/>
    <x v="0"/>
    <x v="0"/>
    <x v="2"/>
  </r>
  <r>
    <x v="1037"/>
    <x v="147"/>
    <x v="499"/>
    <x v="12"/>
    <x v="5"/>
    <x v="2"/>
    <x v="4"/>
    <x v="1"/>
    <x v="0"/>
    <x v="4"/>
    <x v="35"/>
    <x v="1"/>
    <x v="0"/>
    <x v="1"/>
    <x v="2"/>
  </r>
  <r>
    <x v="1038"/>
    <x v="147"/>
    <x v="484"/>
    <x v="11"/>
    <x v="5"/>
    <x v="0"/>
    <x v="4"/>
    <x v="1"/>
    <x v="2"/>
    <x v="4"/>
    <x v="15"/>
    <x v="0"/>
    <x v="0"/>
    <x v="0"/>
    <x v="4"/>
  </r>
  <r>
    <x v="1039"/>
    <x v="147"/>
    <x v="500"/>
    <x v="6"/>
    <x v="5"/>
    <x v="0"/>
    <x v="0"/>
    <x v="0"/>
    <x v="2"/>
    <x v="0"/>
    <x v="7"/>
    <x v="0"/>
    <x v="0"/>
    <x v="0"/>
    <x v="4"/>
  </r>
  <r>
    <x v="1040"/>
    <x v="147"/>
    <x v="501"/>
    <x v="6"/>
    <x v="5"/>
    <x v="0"/>
    <x v="0"/>
    <x v="0"/>
    <x v="2"/>
    <x v="0"/>
    <x v="7"/>
    <x v="0"/>
    <x v="0"/>
    <x v="0"/>
    <x v="2"/>
  </r>
  <r>
    <x v="1041"/>
    <x v="147"/>
    <x v="27"/>
    <x v="5"/>
    <x v="5"/>
    <x v="2"/>
    <x v="6"/>
    <x v="0"/>
    <x v="2"/>
    <x v="6"/>
    <x v="6"/>
    <x v="0"/>
    <x v="0"/>
    <x v="0"/>
    <x v="1"/>
  </r>
  <r>
    <x v="1042"/>
    <x v="147"/>
    <x v="358"/>
    <x v="1"/>
    <x v="5"/>
    <x v="1"/>
    <x v="6"/>
    <x v="0"/>
    <x v="0"/>
    <x v="6"/>
    <x v="2"/>
    <x v="1"/>
    <x v="0"/>
    <x v="2"/>
    <x v="3"/>
  </r>
  <r>
    <x v="1043"/>
    <x v="147"/>
    <x v="55"/>
    <x v="3"/>
    <x v="5"/>
    <x v="2"/>
    <x v="4"/>
    <x v="1"/>
    <x v="1"/>
    <x v="4"/>
    <x v="77"/>
    <x v="1"/>
    <x v="1"/>
    <x v="1"/>
    <x v="4"/>
  </r>
  <r>
    <x v="1044"/>
    <x v="147"/>
    <x v="420"/>
    <x v="3"/>
    <x v="5"/>
    <x v="0"/>
    <x v="5"/>
    <x v="1"/>
    <x v="2"/>
    <x v="5"/>
    <x v="5"/>
    <x v="0"/>
    <x v="0"/>
    <x v="0"/>
    <x v="4"/>
  </r>
  <r>
    <x v="1045"/>
    <x v="147"/>
    <x v="466"/>
    <x v="3"/>
    <x v="5"/>
    <x v="1"/>
    <x v="8"/>
    <x v="2"/>
    <x v="0"/>
    <x v="8"/>
    <x v="21"/>
    <x v="1"/>
    <x v="0"/>
    <x v="0"/>
    <x v="4"/>
  </r>
  <r>
    <x v="1046"/>
    <x v="147"/>
    <x v="125"/>
    <x v="2"/>
    <x v="5"/>
    <x v="1"/>
    <x v="10"/>
    <x v="4"/>
    <x v="0"/>
    <x v="10"/>
    <x v="42"/>
    <x v="0"/>
    <x v="1"/>
    <x v="0"/>
    <x v="4"/>
  </r>
  <r>
    <x v="1047"/>
    <x v="147"/>
    <x v="359"/>
    <x v="2"/>
    <x v="5"/>
    <x v="0"/>
    <x v="5"/>
    <x v="1"/>
    <x v="0"/>
    <x v="5"/>
    <x v="51"/>
    <x v="0"/>
    <x v="2"/>
    <x v="1"/>
    <x v="1"/>
  </r>
  <r>
    <x v="1048"/>
    <x v="148"/>
    <x v="502"/>
    <x v="7"/>
    <x v="6"/>
    <x v="2"/>
    <x v="5"/>
    <x v="1"/>
    <x v="0"/>
    <x v="5"/>
    <x v="17"/>
    <x v="0"/>
    <x v="0"/>
    <x v="0"/>
    <x v="2"/>
  </r>
  <r>
    <x v="1049"/>
    <x v="148"/>
    <x v="473"/>
    <x v="0"/>
    <x v="6"/>
    <x v="0"/>
    <x v="1"/>
    <x v="1"/>
    <x v="2"/>
    <x v="1"/>
    <x v="8"/>
    <x v="0"/>
    <x v="0"/>
    <x v="0"/>
    <x v="4"/>
  </r>
  <r>
    <x v="1050"/>
    <x v="148"/>
    <x v="262"/>
    <x v="0"/>
    <x v="6"/>
    <x v="0"/>
    <x v="2"/>
    <x v="2"/>
    <x v="2"/>
    <x v="2"/>
    <x v="30"/>
    <x v="0"/>
    <x v="1"/>
    <x v="2"/>
    <x v="4"/>
  </r>
  <r>
    <x v="1051"/>
    <x v="148"/>
    <x v="106"/>
    <x v="8"/>
    <x v="6"/>
    <x v="2"/>
    <x v="8"/>
    <x v="2"/>
    <x v="2"/>
    <x v="8"/>
    <x v="10"/>
    <x v="0"/>
    <x v="0"/>
    <x v="0"/>
    <x v="0"/>
  </r>
  <r>
    <x v="1052"/>
    <x v="148"/>
    <x v="175"/>
    <x v="5"/>
    <x v="6"/>
    <x v="0"/>
    <x v="8"/>
    <x v="2"/>
    <x v="2"/>
    <x v="8"/>
    <x v="10"/>
    <x v="1"/>
    <x v="0"/>
    <x v="2"/>
    <x v="1"/>
  </r>
  <r>
    <x v="1053"/>
    <x v="148"/>
    <x v="66"/>
    <x v="1"/>
    <x v="6"/>
    <x v="0"/>
    <x v="14"/>
    <x v="3"/>
    <x v="0"/>
    <x v="14"/>
    <x v="40"/>
    <x v="1"/>
    <x v="0"/>
    <x v="0"/>
    <x v="1"/>
  </r>
  <r>
    <x v="1054"/>
    <x v="148"/>
    <x v="419"/>
    <x v="1"/>
    <x v="6"/>
    <x v="0"/>
    <x v="6"/>
    <x v="0"/>
    <x v="2"/>
    <x v="6"/>
    <x v="6"/>
    <x v="0"/>
    <x v="0"/>
    <x v="0"/>
    <x v="0"/>
  </r>
  <r>
    <x v="1055"/>
    <x v="148"/>
    <x v="296"/>
    <x v="2"/>
    <x v="6"/>
    <x v="1"/>
    <x v="11"/>
    <x v="1"/>
    <x v="0"/>
    <x v="11"/>
    <x v="78"/>
    <x v="0"/>
    <x v="2"/>
    <x v="0"/>
    <x v="4"/>
  </r>
  <r>
    <x v="1056"/>
    <x v="148"/>
    <x v="480"/>
    <x v="2"/>
    <x v="6"/>
    <x v="0"/>
    <x v="7"/>
    <x v="2"/>
    <x v="2"/>
    <x v="7"/>
    <x v="9"/>
    <x v="1"/>
    <x v="0"/>
    <x v="2"/>
    <x v="2"/>
  </r>
  <r>
    <x v="1057"/>
    <x v="148"/>
    <x v="124"/>
    <x v="2"/>
    <x v="6"/>
    <x v="0"/>
    <x v="7"/>
    <x v="2"/>
    <x v="2"/>
    <x v="7"/>
    <x v="9"/>
    <x v="1"/>
    <x v="0"/>
    <x v="0"/>
    <x v="4"/>
  </r>
  <r>
    <x v="1058"/>
    <x v="148"/>
    <x v="369"/>
    <x v="2"/>
    <x v="6"/>
    <x v="1"/>
    <x v="2"/>
    <x v="2"/>
    <x v="2"/>
    <x v="2"/>
    <x v="57"/>
    <x v="0"/>
    <x v="2"/>
    <x v="0"/>
    <x v="1"/>
  </r>
  <r>
    <x v="1059"/>
    <x v="149"/>
    <x v="503"/>
    <x v="9"/>
    <x v="0"/>
    <x v="0"/>
    <x v="1"/>
    <x v="1"/>
    <x v="2"/>
    <x v="1"/>
    <x v="8"/>
    <x v="1"/>
    <x v="0"/>
    <x v="0"/>
    <x v="4"/>
  </r>
  <r>
    <x v="1060"/>
    <x v="149"/>
    <x v="504"/>
    <x v="0"/>
    <x v="0"/>
    <x v="0"/>
    <x v="11"/>
    <x v="1"/>
    <x v="0"/>
    <x v="11"/>
    <x v="39"/>
    <x v="0"/>
    <x v="0"/>
    <x v="2"/>
    <x v="4"/>
  </r>
  <r>
    <x v="1061"/>
    <x v="149"/>
    <x v="7"/>
    <x v="1"/>
    <x v="0"/>
    <x v="0"/>
    <x v="2"/>
    <x v="2"/>
    <x v="1"/>
    <x v="2"/>
    <x v="40"/>
    <x v="1"/>
    <x v="0"/>
    <x v="2"/>
    <x v="0"/>
  </r>
  <r>
    <x v="1062"/>
    <x v="149"/>
    <x v="184"/>
    <x v="1"/>
    <x v="0"/>
    <x v="0"/>
    <x v="11"/>
    <x v="1"/>
    <x v="2"/>
    <x v="11"/>
    <x v="24"/>
    <x v="1"/>
    <x v="0"/>
    <x v="0"/>
    <x v="0"/>
  </r>
  <r>
    <x v="1063"/>
    <x v="149"/>
    <x v="242"/>
    <x v="1"/>
    <x v="0"/>
    <x v="0"/>
    <x v="11"/>
    <x v="1"/>
    <x v="0"/>
    <x v="11"/>
    <x v="39"/>
    <x v="0"/>
    <x v="0"/>
    <x v="0"/>
    <x v="3"/>
  </r>
  <r>
    <x v="1064"/>
    <x v="149"/>
    <x v="107"/>
    <x v="3"/>
    <x v="0"/>
    <x v="1"/>
    <x v="5"/>
    <x v="1"/>
    <x v="2"/>
    <x v="5"/>
    <x v="5"/>
    <x v="1"/>
    <x v="0"/>
    <x v="2"/>
    <x v="2"/>
  </r>
  <r>
    <x v="1065"/>
    <x v="149"/>
    <x v="186"/>
    <x v="3"/>
    <x v="0"/>
    <x v="2"/>
    <x v="8"/>
    <x v="2"/>
    <x v="2"/>
    <x v="8"/>
    <x v="43"/>
    <x v="1"/>
    <x v="3"/>
    <x v="0"/>
    <x v="2"/>
  </r>
  <r>
    <x v="1066"/>
    <x v="149"/>
    <x v="125"/>
    <x v="2"/>
    <x v="0"/>
    <x v="0"/>
    <x v="6"/>
    <x v="0"/>
    <x v="2"/>
    <x v="6"/>
    <x v="6"/>
    <x v="1"/>
    <x v="0"/>
    <x v="0"/>
    <x v="1"/>
  </r>
  <r>
    <x v="1067"/>
    <x v="149"/>
    <x v="359"/>
    <x v="2"/>
    <x v="0"/>
    <x v="0"/>
    <x v="4"/>
    <x v="1"/>
    <x v="0"/>
    <x v="4"/>
    <x v="61"/>
    <x v="1"/>
    <x v="3"/>
    <x v="0"/>
    <x v="0"/>
  </r>
  <r>
    <x v="1068"/>
    <x v="150"/>
    <x v="300"/>
    <x v="5"/>
    <x v="1"/>
    <x v="1"/>
    <x v="5"/>
    <x v="1"/>
    <x v="2"/>
    <x v="5"/>
    <x v="5"/>
    <x v="1"/>
    <x v="0"/>
    <x v="0"/>
    <x v="0"/>
  </r>
  <r>
    <x v="1069"/>
    <x v="150"/>
    <x v="179"/>
    <x v="3"/>
    <x v="1"/>
    <x v="0"/>
    <x v="0"/>
    <x v="0"/>
    <x v="2"/>
    <x v="0"/>
    <x v="7"/>
    <x v="1"/>
    <x v="0"/>
    <x v="0"/>
    <x v="0"/>
  </r>
  <r>
    <x v="1070"/>
    <x v="150"/>
    <x v="238"/>
    <x v="3"/>
    <x v="1"/>
    <x v="0"/>
    <x v="6"/>
    <x v="0"/>
    <x v="2"/>
    <x v="6"/>
    <x v="6"/>
    <x v="1"/>
    <x v="0"/>
    <x v="0"/>
    <x v="3"/>
  </r>
  <r>
    <x v="1071"/>
    <x v="150"/>
    <x v="296"/>
    <x v="2"/>
    <x v="1"/>
    <x v="0"/>
    <x v="2"/>
    <x v="2"/>
    <x v="2"/>
    <x v="2"/>
    <x v="2"/>
    <x v="0"/>
    <x v="0"/>
    <x v="2"/>
    <x v="3"/>
  </r>
  <r>
    <x v="1072"/>
    <x v="150"/>
    <x v="288"/>
    <x v="2"/>
    <x v="1"/>
    <x v="0"/>
    <x v="6"/>
    <x v="0"/>
    <x v="2"/>
    <x v="6"/>
    <x v="6"/>
    <x v="0"/>
    <x v="0"/>
    <x v="0"/>
    <x v="4"/>
  </r>
  <r>
    <x v="1073"/>
    <x v="150"/>
    <x v="152"/>
    <x v="4"/>
    <x v="1"/>
    <x v="1"/>
    <x v="8"/>
    <x v="2"/>
    <x v="1"/>
    <x v="8"/>
    <x v="5"/>
    <x v="0"/>
    <x v="0"/>
    <x v="0"/>
    <x v="3"/>
  </r>
  <r>
    <x v="1074"/>
    <x v="151"/>
    <x v="505"/>
    <x v="6"/>
    <x v="2"/>
    <x v="1"/>
    <x v="3"/>
    <x v="3"/>
    <x v="0"/>
    <x v="3"/>
    <x v="14"/>
    <x v="0"/>
    <x v="0"/>
    <x v="0"/>
    <x v="3"/>
  </r>
  <r>
    <x v="1075"/>
    <x v="151"/>
    <x v="75"/>
    <x v="4"/>
    <x v="2"/>
    <x v="1"/>
    <x v="10"/>
    <x v="4"/>
    <x v="2"/>
    <x v="10"/>
    <x v="13"/>
    <x v="1"/>
    <x v="0"/>
    <x v="0"/>
    <x v="1"/>
  </r>
  <r>
    <x v="1076"/>
    <x v="152"/>
    <x v="77"/>
    <x v="7"/>
    <x v="3"/>
    <x v="2"/>
    <x v="10"/>
    <x v="4"/>
    <x v="2"/>
    <x v="10"/>
    <x v="13"/>
    <x v="1"/>
    <x v="0"/>
    <x v="0"/>
    <x v="0"/>
  </r>
  <r>
    <x v="1077"/>
    <x v="152"/>
    <x v="192"/>
    <x v="12"/>
    <x v="3"/>
    <x v="0"/>
    <x v="3"/>
    <x v="3"/>
    <x v="2"/>
    <x v="3"/>
    <x v="3"/>
    <x v="1"/>
    <x v="0"/>
    <x v="2"/>
    <x v="2"/>
  </r>
  <r>
    <x v="1078"/>
    <x v="152"/>
    <x v="44"/>
    <x v="5"/>
    <x v="3"/>
    <x v="2"/>
    <x v="4"/>
    <x v="1"/>
    <x v="2"/>
    <x v="4"/>
    <x v="15"/>
    <x v="1"/>
    <x v="0"/>
    <x v="0"/>
    <x v="3"/>
  </r>
  <r>
    <x v="1079"/>
    <x v="152"/>
    <x v="168"/>
    <x v="3"/>
    <x v="3"/>
    <x v="0"/>
    <x v="13"/>
    <x v="0"/>
    <x v="2"/>
    <x v="2"/>
    <x v="2"/>
    <x v="0"/>
    <x v="0"/>
    <x v="1"/>
    <x v="0"/>
  </r>
  <r>
    <x v="1080"/>
    <x v="152"/>
    <x v="85"/>
    <x v="3"/>
    <x v="3"/>
    <x v="0"/>
    <x v="2"/>
    <x v="2"/>
    <x v="2"/>
    <x v="2"/>
    <x v="2"/>
    <x v="0"/>
    <x v="0"/>
    <x v="0"/>
    <x v="2"/>
  </r>
  <r>
    <x v="1081"/>
    <x v="152"/>
    <x v="131"/>
    <x v="2"/>
    <x v="3"/>
    <x v="1"/>
    <x v="6"/>
    <x v="0"/>
    <x v="2"/>
    <x v="6"/>
    <x v="6"/>
    <x v="0"/>
    <x v="0"/>
    <x v="0"/>
    <x v="1"/>
  </r>
  <r>
    <x v="1082"/>
    <x v="152"/>
    <x v="506"/>
    <x v="4"/>
    <x v="3"/>
    <x v="1"/>
    <x v="7"/>
    <x v="2"/>
    <x v="2"/>
    <x v="7"/>
    <x v="9"/>
    <x v="0"/>
    <x v="0"/>
    <x v="0"/>
    <x v="4"/>
  </r>
  <r>
    <x v="1083"/>
    <x v="153"/>
    <x v="378"/>
    <x v="0"/>
    <x v="4"/>
    <x v="2"/>
    <x v="3"/>
    <x v="3"/>
    <x v="0"/>
    <x v="3"/>
    <x v="14"/>
    <x v="0"/>
    <x v="0"/>
    <x v="0"/>
    <x v="2"/>
  </r>
  <r>
    <x v="1084"/>
    <x v="153"/>
    <x v="507"/>
    <x v="0"/>
    <x v="4"/>
    <x v="2"/>
    <x v="0"/>
    <x v="0"/>
    <x v="2"/>
    <x v="0"/>
    <x v="7"/>
    <x v="0"/>
    <x v="0"/>
    <x v="3"/>
    <x v="4"/>
  </r>
  <r>
    <x v="1085"/>
    <x v="153"/>
    <x v="151"/>
    <x v="8"/>
    <x v="4"/>
    <x v="1"/>
    <x v="7"/>
    <x v="2"/>
    <x v="2"/>
    <x v="7"/>
    <x v="25"/>
    <x v="0"/>
    <x v="1"/>
    <x v="0"/>
    <x v="0"/>
  </r>
  <r>
    <x v="1086"/>
    <x v="153"/>
    <x v="508"/>
    <x v="5"/>
    <x v="4"/>
    <x v="1"/>
    <x v="11"/>
    <x v="1"/>
    <x v="2"/>
    <x v="11"/>
    <x v="34"/>
    <x v="1"/>
    <x v="3"/>
    <x v="0"/>
    <x v="2"/>
  </r>
  <r>
    <x v="1087"/>
    <x v="153"/>
    <x v="234"/>
    <x v="5"/>
    <x v="4"/>
    <x v="1"/>
    <x v="7"/>
    <x v="2"/>
    <x v="0"/>
    <x v="7"/>
    <x v="22"/>
    <x v="1"/>
    <x v="3"/>
    <x v="0"/>
    <x v="4"/>
  </r>
  <r>
    <x v="1088"/>
    <x v="153"/>
    <x v="172"/>
    <x v="3"/>
    <x v="4"/>
    <x v="2"/>
    <x v="0"/>
    <x v="0"/>
    <x v="2"/>
    <x v="0"/>
    <x v="7"/>
    <x v="1"/>
    <x v="0"/>
    <x v="0"/>
    <x v="0"/>
  </r>
  <r>
    <x v="1089"/>
    <x v="153"/>
    <x v="134"/>
    <x v="2"/>
    <x v="4"/>
    <x v="2"/>
    <x v="4"/>
    <x v="1"/>
    <x v="2"/>
    <x v="4"/>
    <x v="52"/>
    <x v="0"/>
    <x v="3"/>
    <x v="2"/>
    <x v="4"/>
  </r>
  <r>
    <x v="1090"/>
    <x v="153"/>
    <x v="14"/>
    <x v="2"/>
    <x v="4"/>
    <x v="0"/>
    <x v="7"/>
    <x v="2"/>
    <x v="2"/>
    <x v="7"/>
    <x v="9"/>
    <x v="0"/>
    <x v="0"/>
    <x v="0"/>
    <x v="0"/>
  </r>
  <r>
    <x v="1091"/>
    <x v="154"/>
    <x v="165"/>
    <x v="10"/>
    <x v="5"/>
    <x v="0"/>
    <x v="2"/>
    <x v="2"/>
    <x v="1"/>
    <x v="2"/>
    <x v="79"/>
    <x v="1"/>
    <x v="3"/>
    <x v="2"/>
    <x v="0"/>
  </r>
  <r>
    <x v="1092"/>
    <x v="154"/>
    <x v="455"/>
    <x v="0"/>
    <x v="5"/>
    <x v="0"/>
    <x v="6"/>
    <x v="0"/>
    <x v="2"/>
    <x v="6"/>
    <x v="6"/>
    <x v="0"/>
    <x v="0"/>
    <x v="3"/>
    <x v="2"/>
  </r>
  <r>
    <x v="1093"/>
    <x v="154"/>
    <x v="94"/>
    <x v="0"/>
    <x v="5"/>
    <x v="1"/>
    <x v="3"/>
    <x v="3"/>
    <x v="2"/>
    <x v="3"/>
    <x v="3"/>
    <x v="0"/>
    <x v="0"/>
    <x v="1"/>
    <x v="3"/>
  </r>
  <r>
    <x v="1094"/>
    <x v="154"/>
    <x v="509"/>
    <x v="12"/>
    <x v="5"/>
    <x v="2"/>
    <x v="4"/>
    <x v="1"/>
    <x v="2"/>
    <x v="4"/>
    <x v="15"/>
    <x v="1"/>
    <x v="0"/>
    <x v="0"/>
    <x v="3"/>
  </r>
  <r>
    <x v="1095"/>
    <x v="154"/>
    <x v="510"/>
    <x v="11"/>
    <x v="5"/>
    <x v="2"/>
    <x v="3"/>
    <x v="3"/>
    <x v="2"/>
    <x v="3"/>
    <x v="3"/>
    <x v="1"/>
    <x v="0"/>
    <x v="2"/>
    <x v="0"/>
  </r>
  <r>
    <x v="1096"/>
    <x v="154"/>
    <x v="508"/>
    <x v="5"/>
    <x v="5"/>
    <x v="2"/>
    <x v="11"/>
    <x v="1"/>
    <x v="2"/>
    <x v="11"/>
    <x v="24"/>
    <x v="0"/>
    <x v="0"/>
    <x v="0"/>
    <x v="4"/>
  </r>
  <r>
    <x v="1097"/>
    <x v="154"/>
    <x v="54"/>
    <x v="1"/>
    <x v="5"/>
    <x v="0"/>
    <x v="5"/>
    <x v="1"/>
    <x v="0"/>
    <x v="5"/>
    <x v="17"/>
    <x v="0"/>
    <x v="0"/>
    <x v="0"/>
    <x v="1"/>
  </r>
  <r>
    <x v="1098"/>
    <x v="154"/>
    <x v="114"/>
    <x v="1"/>
    <x v="5"/>
    <x v="2"/>
    <x v="10"/>
    <x v="4"/>
    <x v="0"/>
    <x v="10"/>
    <x v="32"/>
    <x v="1"/>
    <x v="0"/>
    <x v="0"/>
    <x v="2"/>
  </r>
  <r>
    <x v="1099"/>
    <x v="154"/>
    <x v="55"/>
    <x v="3"/>
    <x v="5"/>
    <x v="1"/>
    <x v="3"/>
    <x v="3"/>
    <x v="2"/>
    <x v="3"/>
    <x v="3"/>
    <x v="1"/>
    <x v="0"/>
    <x v="0"/>
    <x v="1"/>
  </r>
  <r>
    <x v="1100"/>
    <x v="154"/>
    <x v="277"/>
    <x v="3"/>
    <x v="5"/>
    <x v="1"/>
    <x v="7"/>
    <x v="2"/>
    <x v="2"/>
    <x v="7"/>
    <x v="9"/>
    <x v="0"/>
    <x v="0"/>
    <x v="0"/>
    <x v="1"/>
  </r>
  <r>
    <x v="1101"/>
    <x v="154"/>
    <x v="301"/>
    <x v="3"/>
    <x v="5"/>
    <x v="1"/>
    <x v="6"/>
    <x v="0"/>
    <x v="2"/>
    <x v="6"/>
    <x v="6"/>
    <x v="0"/>
    <x v="0"/>
    <x v="0"/>
    <x v="4"/>
  </r>
  <r>
    <x v="1102"/>
    <x v="154"/>
    <x v="72"/>
    <x v="3"/>
    <x v="5"/>
    <x v="0"/>
    <x v="0"/>
    <x v="0"/>
    <x v="2"/>
    <x v="0"/>
    <x v="7"/>
    <x v="1"/>
    <x v="0"/>
    <x v="1"/>
    <x v="2"/>
  </r>
  <r>
    <x v="1103"/>
    <x v="155"/>
    <x v="190"/>
    <x v="7"/>
    <x v="6"/>
    <x v="2"/>
    <x v="6"/>
    <x v="0"/>
    <x v="0"/>
    <x v="6"/>
    <x v="2"/>
    <x v="0"/>
    <x v="0"/>
    <x v="0"/>
    <x v="2"/>
  </r>
  <r>
    <x v="1104"/>
    <x v="155"/>
    <x v="511"/>
    <x v="8"/>
    <x v="6"/>
    <x v="0"/>
    <x v="0"/>
    <x v="0"/>
    <x v="0"/>
    <x v="0"/>
    <x v="0"/>
    <x v="1"/>
    <x v="0"/>
    <x v="2"/>
    <x v="3"/>
  </r>
  <r>
    <x v="1105"/>
    <x v="155"/>
    <x v="338"/>
    <x v="5"/>
    <x v="6"/>
    <x v="0"/>
    <x v="4"/>
    <x v="1"/>
    <x v="2"/>
    <x v="4"/>
    <x v="15"/>
    <x v="0"/>
    <x v="0"/>
    <x v="1"/>
    <x v="4"/>
  </r>
  <r>
    <x v="1106"/>
    <x v="155"/>
    <x v="12"/>
    <x v="1"/>
    <x v="6"/>
    <x v="0"/>
    <x v="6"/>
    <x v="0"/>
    <x v="2"/>
    <x v="6"/>
    <x v="56"/>
    <x v="1"/>
    <x v="1"/>
    <x v="0"/>
    <x v="4"/>
  </r>
  <r>
    <x v="1107"/>
    <x v="155"/>
    <x v="235"/>
    <x v="1"/>
    <x v="6"/>
    <x v="1"/>
    <x v="11"/>
    <x v="1"/>
    <x v="2"/>
    <x v="11"/>
    <x v="24"/>
    <x v="0"/>
    <x v="0"/>
    <x v="0"/>
    <x v="3"/>
  </r>
  <r>
    <x v="1108"/>
    <x v="156"/>
    <x v="512"/>
    <x v="6"/>
    <x v="0"/>
    <x v="1"/>
    <x v="8"/>
    <x v="2"/>
    <x v="2"/>
    <x v="8"/>
    <x v="36"/>
    <x v="0"/>
    <x v="1"/>
    <x v="3"/>
    <x v="4"/>
  </r>
  <r>
    <x v="1109"/>
    <x v="155"/>
    <x v="429"/>
    <x v="3"/>
    <x v="6"/>
    <x v="1"/>
    <x v="3"/>
    <x v="3"/>
    <x v="2"/>
    <x v="3"/>
    <x v="3"/>
    <x v="0"/>
    <x v="0"/>
    <x v="0"/>
    <x v="3"/>
  </r>
  <r>
    <x v="1110"/>
    <x v="155"/>
    <x v="506"/>
    <x v="4"/>
    <x v="6"/>
    <x v="0"/>
    <x v="0"/>
    <x v="0"/>
    <x v="2"/>
    <x v="0"/>
    <x v="7"/>
    <x v="0"/>
    <x v="0"/>
    <x v="3"/>
    <x v="4"/>
  </r>
  <r>
    <x v="1111"/>
    <x v="155"/>
    <x v="282"/>
    <x v="1"/>
    <x v="6"/>
    <x v="2"/>
    <x v="2"/>
    <x v="2"/>
    <x v="0"/>
    <x v="2"/>
    <x v="10"/>
    <x v="1"/>
    <x v="0"/>
    <x v="0"/>
    <x v="4"/>
  </r>
  <r>
    <x v="1112"/>
    <x v="156"/>
    <x v="129"/>
    <x v="5"/>
    <x v="0"/>
    <x v="1"/>
    <x v="7"/>
    <x v="2"/>
    <x v="2"/>
    <x v="7"/>
    <x v="9"/>
    <x v="0"/>
    <x v="0"/>
    <x v="0"/>
    <x v="0"/>
  </r>
  <r>
    <x v="1113"/>
    <x v="156"/>
    <x v="226"/>
    <x v="5"/>
    <x v="0"/>
    <x v="0"/>
    <x v="0"/>
    <x v="0"/>
    <x v="2"/>
    <x v="0"/>
    <x v="7"/>
    <x v="0"/>
    <x v="0"/>
    <x v="2"/>
    <x v="0"/>
  </r>
  <r>
    <x v="1114"/>
    <x v="156"/>
    <x v="57"/>
    <x v="2"/>
    <x v="0"/>
    <x v="1"/>
    <x v="2"/>
    <x v="2"/>
    <x v="2"/>
    <x v="2"/>
    <x v="2"/>
    <x v="1"/>
    <x v="0"/>
    <x v="0"/>
    <x v="0"/>
  </r>
  <r>
    <x v="1115"/>
    <x v="157"/>
    <x v="507"/>
    <x v="0"/>
    <x v="1"/>
    <x v="0"/>
    <x v="4"/>
    <x v="1"/>
    <x v="2"/>
    <x v="4"/>
    <x v="15"/>
    <x v="1"/>
    <x v="0"/>
    <x v="0"/>
    <x v="1"/>
  </r>
  <r>
    <x v="1116"/>
    <x v="157"/>
    <x v="12"/>
    <x v="1"/>
    <x v="1"/>
    <x v="2"/>
    <x v="0"/>
    <x v="0"/>
    <x v="0"/>
    <x v="0"/>
    <x v="0"/>
    <x v="0"/>
    <x v="0"/>
    <x v="2"/>
    <x v="3"/>
  </r>
  <r>
    <x v="1117"/>
    <x v="157"/>
    <x v="61"/>
    <x v="1"/>
    <x v="1"/>
    <x v="0"/>
    <x v="7"/>
    <x v="2"/>
    <x v="2"/>
    <x v="7"/>
    <x v="9"/>
    <x v="0"/>
    <x v="0"/>
    <x v="0"/>
    <x v="1"/>
  </r>
  <r>
    <x v="1118"/>
    <x v="157"/>
    <x v="430"/>
    <x v="3"/>
    <x v="1"/>
    <x v="0"/>
    <x v="12"/>
    <x v="4"/>
    <x v="2"/>
    <x v="8"/>
    <x v="10"/>
    <x v="0"/>
    <x v="0"/>
    <x v="2"/>
    <x v="4"/>
  </r>
  <r>
    <x v="1119"/>
    <x v="157"/>
    <x v="41"/>
    <x v="3"/>
    <x v="1"/>
    <x v="0"/>
    <x v="6"/>
    <x v="0"/>
    <x v="0"/>
    <x v="6"/>
    <x v="55"/>
    <x v="0"/>
    <x v="3"/>
    <x v="0"/>
    <x v="1"/>
  </r>
  <r>
    <x v="1120"/>
    <x v="157"/>
    <x v="48"/>
    <x v="2"/>
    <x v="1"/>
    <x v="1"/>
    <x v="0"/>
    <x v="0"/>
    <x v="2"/>
    <x v="0"/>
    <x v="7"/>
    <x v="1"/>
    <x v="0"/>
    <x v="0"/>
    <x v="2"/>
  </r>
  <r>
    <x v="1121"/>
    <x v="157"/>
    <x v="327"/>
    <x v="2"/>
    <x v="1"/>
    <x v="0"/>
    <x v="12"/>
    <x v="4"/>
    <x v="0"/>
    <x v="8"/>
    <x v="70"/>
    <x v="0"/>
    <x v="1"/>
    <x v="0"/>
    <x v="3"/>
  </r>
  <r>
    <x v="1122"/>
    <x v="157"/>
    <x v="444"/>
    <x v="2"/>
    <x v="1"/>
    <x v="1"/>
    <x v="8"/>
    <x v="2"/>
    <x v="2"/>
    <x v="8"/>
    <x v="10"/>
    <x v="0"/>
    <x v="0"/>
    <x v="0"/>
    <x v="1"/>
  </r>
  <r>
    <x v="1123"/>
    <x v="158"/>
    <x v="233"/>
    <x v="5"/>
    <x v="2"/>
    <x v="0"/>
    <x v="7"/>
    <x v="2"/>
    <x v="2"/>
    <x v="7"/>
    <x v="9"/>
    <x v="0"/>
    <x v="0"/>
    <x v="0"/>
    <x v="2"/>
  </r>
  <r>
    <x v="1124"/>
    <x v="158"/>
    <x v="81"/>
    <x v="5"/>
    <x v="2"/>
    <x v="0"/>
    <x v="0"/>
    <x v="0"/>
    <x v="2"/>
    <x v="0"/>
    <x v="7"/>
    <x v="0"/>
    <x v="0"/>
    <x v="0"/>
    <x v="4"/>
  </r>
  <r>
    <x v="1125"/>
    <x v="158"/>
    <x v="121"/>
    <x v="5"/>
    <x v="2"/>
    <x v="0"/>
    <x v="6"/>
    <x v="0"/>
    <x v="2"/>
    <x v="6"/>
    <x v="6"/>
    <x v="1"/>
    <x v="0"/>
    <x v="1"/>
    <x v="4"/>
  </r>
  <r>
    <x v="1126"/>
    <x v="158"/>
    <x v="176"/>
    <x v="3"/>
    <x v="2"/>
    <x v="1"/>
    <x v="4"/>
    <x v="1"/>
    <x v="1"/>
    <x v="4"/>
    <x v="80"/>
    <x v="0"/>
    <x v="2"/>
    <x v="2"/>
    <x v="2"/>
  </r>
  <r>
    <x v="1127"/>
    <x v="158"/>
    <x v="45"/>
    <x v="3"/>
    <x v="2"/>
    <x v="0"/>
    <x v="1"/>
    <x v="1"/>
    <x v="2"/>
    <x v="1"/>
    <x v="8"/>
    <x v="0"/>
    <x v="0"/>
    <x v="0"/>
    <x v="4"/>
  </r>
  <r>
    <x v="1128"/>
    <x v="158"/>
    <x v="48"/>
    <x v="2"/>
    <x v="2"/>
    <x v="2"/>
    <x v="6"/>
    <x v="0"/>
    <x v="2"/>
    <x v="6"/>
    <x v="6"/>
    <x v="1"/>
    <x v="0"/>
    <x v="0"/>
    <x v="4"/>
  </r>
  <r>
    <x v="1129"/>
    <x v="158"/>
    <x v="230"/>
    <x v="2"/>
    <x v="2"/>
    <x v="0"/>
    <x v="13"/>
    <x v="0"/>
    <x v="0"/>
    <x v="2"/>
    <x v="10"/>
    <x v="0"/>
    <x v="0"/>
    <x v="0"/>
    <x v="3"/>
  </r>
  <r>
    <x v="1130"/>
    <x v="158"/>
    <x v="20"/>
    <x v="2"/>
    <x v="2"/>
    <x v="0"/>
    <x v="1"/>
    <x v="1"/>
    <x v="2"/>
    <x v="1"/>
    <x v="67"/>
    <x v="0"/>
    <x v="1"/>
    <x v="2"/>
    <x v="1"/>
  </r>
  <r>
    <x v="1131"/>
    <x v="159"/>
    <x v="134"/>
    <x v="2"/>
    <x v="4"/>
    <x v="1"/>
    <x v="7"/>
    <x v="2"/>
    <x v="2"/>
    <x v="7"/>
    <x v="9"/>
    <x v="0"/>
    <x v="0"/>
    <x v="0"/>
    <x v="1"/>
  </r>
  <r>
    <x v="1132"/>
    <x v="160"/>
    <x v="363"/>
    <x v="5"/>
    <x v="3"/>
    <x v="2"/>
    <x v="8"/>
    <x v="2"/>
    <x v="2"/>
    <x v="8"/>
    <x v="10"/>
    <x v="0"/>
    <x v="0"/>
    <x v="0"/>
    <x v="2"/>
  </r>
  <r>
    <x v="1133"/>
    <x v="160"/>
    <x v="427"/>
    <x v="5"/>
    <x v="3"/>
    <x v="1"/>
    <x v="9"/>
    <x v="3"/>
    <x v="2"/>
    <x v="7"/>
    <x v="9"/>
    <x v="1"/>
    <x v="0"/>
    <x v="0"/>
    <x v="0"/>
  </r>
  <r>
    <x v="1134"/>
    <x v="160"/>
    <x v="471"/>
    <x v="5"/>
    <x v="3"/>
    <x v="0"/>
    <x v="11"/>
    <x v="1"/>
    <x v="2"/>
    <x v="11"/>
    <x v="24"/>
    <x v="1"/>
    <x v="0"/>
    <x v="0"/>
    <x v="2"/>
  </r>
  <r>
    <x v="1135"/>
    <x v="160"/>
    <x v="195"/>
    <x v="5"/>
    <x v="3"/>
    <x v="1"/>
    <x v="6"/>
    <x v="0"/>
    <x v="2"/>
    <x v="6"/>
    <x v="6"/>
    <x v="1"/>
    <x v="0"/>
    <x v="0"/>
    <x v="3"/>
  </r>
  <r>
    <x v="1136"/>
    <x v="160"/>
    <x v="1"/>
    <x v="1"/>
    <x v="3"/>
    <x v="2"/>
    <x v="2"/>
    <x v="2"/>
    <x v="2"/>
    <x v="2"/>
    <x v="2"/>
    <x v="0"/>
    <x v="0"/>
    <x v="3"/>
    <x v="3"/>
  </r>
  <r>
    <x v="1137"/>
    <x v="160"/>
    <x v="420"/>
    <x v="3"/>
    <x v="3"/>
    <x v="0"/>
    <x v="6"/>
    <x v="0"/>
    <x v="2"/>
    <x v="6"/>
    <x v="6"/>
    <x v="1"/>
    <x v="0"/>
    <x v="0"/>
    <x v="3"/>
  </r>
  <r>
    <x v="1138"/>
    <x v="160"/>
    <x v="513"/>
    <x v="2"/>
    <x v="3"/>
    <x v="1"/>
    <x v="5"/>
    <x v="1"/>
    <x v="2"/>
    <x v="5"/>
    <x v="5"/>
    <x v="0"/>
    <x v="0"/>
    <x v="0"/>
    <x v="4"/>
  </r>
  <r>
    <x v="1139"/>
    <x v="159"/>
    <x v="208"/>
    <x v="5"/>
    <x v="4"/>
    <x v="0"/>
    <x v="8"/>
    <x v="2"/>
    <x v="0"/>
    <x v="8"/>
    <x v="21"/>
    <x v="1"/>
    <x v="0"/>
    <x v="2"/>
    <x v="1"/>
  </r>
  <r>
    <x v="1140"/>
    <x v="159"/>
    <x v="100"/>
    <x v="3"/>
    <x v="4"/>
    <x v="0"/>
    <x v="0"/>
    <x v="0"/>
    <x v="0"/>
    <x v="0"/>
    <x v="0"/>
    <x v="1"/>
    <x v="0"/>
    <x v="2"/>
    <x v="3"/>
  </r>
  <r>
    <x v="1141"/>
    <x v="159"/>
    <x v="71"/>
    <x v="3"/>
    <x v="4"/>
    <x v="0"/>
    <x v="2"/>
    <x v="2"/>
    <x v="2"/>
    <x v="2"/>
    <x v="2"/>
    <x v="1"/>
    <x v="0"/>
    <x v="0"/>
    <x v="2"/>
  </r>
  <r>
    <x v="1142"/>
    <x v="158"/>
    <x v="116"/>
    <x v="2"/>
    <x v="2"/>
    <x v="1"/>
    <x v="7"/>
    <x v="2"/>
    <x v="0"/>
    <x v="7"/>
    <x v="12"/>
    <x v="0"/>
    <x v="0"/>
    <x v="0"/>
    <x v="1"/>
  </r>
  <r>
    <x v="1143"/>
    <x v="161"/>
    <x v="514"/>
    <x v="10"/>
    <x v="5"/>
    <x v="2"/>
    <x v="8"/>
    <x v="2"/>
    <x v="2"/>
    <x v="8"/>
    <x v="10"/>
    <x v="1"/>
    <x v="0"/>
    <x v="0"/>
    <x v="3"/>
  </r>
  <r>
    <x v="1144"/>
    <x v="161"/>
    <x v="515"/>
    <x v="10"/>
    <x v="5"/>
    <x v="0"/>
    <x v="7"/>
    <x v="2"/>
    <x v="2"/>
    <x v="7"/>
    <x v="9"/>
    <x v="0"/>
    <x v="0"/>
    <x v="0"/>
    <x v="2"/>
  </r>
  <r>
    <x v="1145"/>
    <x v="161"/>
    <x v="119"/>
    <x v="0"/>
    <x v="5"/>
    <x v="0"/>
    <x v="3"/>
    <x v="3"/>
    <x v="2"/>
    <x v="3"/>
    <x v="3"/>
    <x v="0"/>
    <x v="0"/>
    <x v="2"/>
    <x v="1"/>
  </r>
  <r>
    <x v="1146"/>
    <x v="161"/>
    <x v="226"/>
    <x v="5"/>
    <x v="5"/>
    <x v="0"/>
    <x v="3"/>
    <x v="3"/>
    <x v="2"/>
    <x v="3"/>
    <x v="3"/>
    <x v="0"/>
    <x v="0"/>
    <x v="3"/>
    <x v="1"/>
  </r>
  <r>
    <x v="1147"/>
    <x v="161"/>
    <x v="122"/>
    <x v="1"/>
    <x v="5"/>
    <x v="0"/>
    <x v="0"/>
    <x v="0"/>
    <x v="2"/>
    <x v="0"/>
    <x v="7"/>
    <x v="0"/>
    <x v="0"/>
    <x v="0"/>
    <x v="4"/>
  </r>
  <r>
    <x v="1148"/>
    <x v="161"/>
    <x v="266"/>
    <x v="1"/>
    <x v="5"/>
    <x v="2"/>
    <x v="7"/>
    <x v="2"/>
    <x v="2"/>
    <x v="7"/>
    <x v="9"/>
    <x v="0"/>
    <x v="0"/>
    <x v="0"/>
    <x v="2"/>
  </r>
  <r>
    <x v="1149"/>
    <x v="161"/>
    <x v="45"/>
    <x v="3"/>
    <x v="5"/>
    <x v="0"/>
    <x v="0"/>
    <x v="0"/>
    <x v="0"/>
    <x v="0"/>
    <x v="0"/>
    <x v="1"/>
    <x v="0"/>
    <x v="0"/>
    <x v="3"/>
  </r>
  <r>
    <x v="1150"/>
    <x v="161"/>
    <x v="67"/>
    <x v="3"/>
    <x v="5"/>
    <x v="0"/>
    <x v="8"/>
    <x v="2"/>
    <x v="2"/>
    <x v="8"/>
    <x v="10"/>
    <x v="1"/>
    <x v="0"/>
    <x v="2"/>
    <x v="0"/>
  </r>
  <r>
    <x v="1151"/>
    <x v="161"/>
    <x v="9"/>
    <x v="3"/>
    <x v="5"/>
    <x v="1"/>
    <x v="5"/>
    <x v="1"/>
    <x v="2"/>
    <x v="5"/>
    <x v="5"/>
    <x v="0"/>
    <x v="0"/>
    <x v="2"/>
    <x v="2"/>
  </r>
  <r>
    <x v="1152"/>
    <x v="161"/>
    <x v="172"/>
    <x v="3"/>
    <x v="5"/>
    <x v="1"/>
    <x v="3"/>
    <x v="3"/>
    <x v="2"/>
    <x v="3"/>
    <x v="3"/>
    <x v="0"/>
    <x v="0"/>
    <x v="2"/>
    <x v="2"/>
  </r>
  <r>
    <x v="1153"/>
    <x v="161"/>
    <x v="162"/>
    <x v="3"/>
    <x v="5"/>
    <x v="1"/>
    <x v="3"/>
    <x v="3"/>
    <x v="2"/>
    <x v="3"/>
    <x v="3"/>
    <x v="0"/>
    <x v="0"/>
    <x v="2"/>
    <x v="2"/>
  </r>
  <r>
    <x v="1154"/>
    <x v="161"/>
    <x v="162"/>
    <x v="3"/>
    <x v="5"/>
    <x v="0"/>
    <x v="10"/>
    <x v="4"/>
    <x v="2"/>
    <x v="10"/>
    <x v="13"/>
    <x v="0"/>
    <x v="0"/>
    <x v="2"/>
    <x v="4"/>
  </r>
  <r>
    <x v="1155"/>
    <x v="161"/>
    <x v="442"/>
    <x v="4"/>
    <x v="5"/>
    <x v="0"/>
    <x v="7"/>
    <x v="2"/>
    <x v="2"/>
    <x v="7"/>
    <x v="9"/>
    <x v="0"/>
    <x v="0"/>
    <x v="0"/>
    <x v="2"/>
  </r>
  <r>
    <x v="1156"/>
    <x v="161"/>
    <x v="486"/>
    <x v="4"/>
    <x v="5"/>
    <x v="1"/>
    <x v="11"/>
    <x v="1"/>
    <x v="2"/>
    <x v="11"/>
    <x v="24"/>
    <x v="0"/>
    <x v="0"/>
    <x v="0"/>
    <x v="0"/>
  </r>
  <r>
    <x v="1157"/>
    <x v="162"/>
    <x v="68"/>
    <x v="10"/>
    <x v="6"/>
    <x v="0"/>
    <x v="7"/>
    <x v="2"/>
    <x v="2"/>
    <x v="7"/>
    <x v="9"/>
    <x v="0"/>
    <x v="0"/>
    <x v="0"/>
    <x v="1"/>
  </r>
  <r>
    <x v="1158"/>
    <x v="162"/>
    <x v="516"/>
    <x v="7"/>
    <x v="6"/>
    <x v="0"/>
    <x v="7"/>
    <x v="2"/>
    <x v="2"/>
    <x v="7"/>
    <x v="9"/>
    <x v="1"/>
    <x v="0"/>
    <x v="0"/>
    <x v="0"/>
  </r>
  <r>
    <x v="1159"/>
    <x v="162"/>
    <x v="517"/>
    <x v="12"/>
    <x v="6"/>
    <x v="0"/>
    <x v="3"/>
    <x v="3"/>
    <x v="0"/>
    <x v="3"/>
    <x v="14"/>
    <x v="1"/>
    <x v="0"/>
    <x v="0"/>
    <x v="4"/>
  </r>
  <r>
    <x v="1160"/>
    <x v="162"/>
    <x v="465"/>
    <x v="11"/>
    <x v="6"/>
    <x v="0"/>
    <x v="2"/>
    <x v="2"/>
    <x v="0"/>
    <x v="2"/>
    <x v="10"/>
    <x v="0"/>
    <x v="0"/>
    <x v="0"/>
    <x v="4"/>
  </r>
  <r>
    <x v="1161"/>
    <x v="162"/>
    <x v="418"/>
    <x v="11"/>
    <x v="6"/>
    <x v="0"/>
    <x v="0"/>
    <x v="0"/>
    <x v="2"/>
    <x v="0"/>
    <x v="7"/>
    <x v="0"/>
    <x v="0"/>
    <x v="0"/>
    <x v="1"/>
  </r>
  <r>
    <x v="1162"/>
    <x v="162"/>
    <x v="518"/>
    <x v="6"/>
    <x v="6"/>
    <x v="1"/>
    <x v="5"/>
    <x v="1"/>
    <x v="2"/>
    <x v="5"/>
    <x v="5"/>
    <x v="0"/>
    <x v="0"/>
    <x v="0"/>
    <x v="0"/>
  </r>
  <r>
    <x v="1163"/>
    <x v="162"/>
    <x v="167"/>
    <x v="5"/>
    <x v="6"/>
    <x v="0"/>
    <x v="2"/>
    <x v="2"/>
    <x v="2"/>
    <x v="2"/>
    <x v="2"/>
    <x v="0"/>
    <x v="0"/>
    <x v="0"/>
    <x v="0"/>
  </r>
  <r>
    <x v="1164"/>
    <x v="162"/>
    <x v="61"/>
    <x v="1"/>
    <x v="6"/>
    <x v="1"/>
    <x v="7"/>
    <x v="2"/>
    <x v="2"/>
    <x v="7"/>
    <x v="9"/>
    <x v="1"/>
    <x v="0"/>
    <x v="2"/>
    <x v="3"/>
  </r>
  <r>
    <x v="1165"/>
    <x v="162"/>
    <x v="4"/>
    <x v="2"/>
    <x v="6"/>
    <x v="0"/>
    <x v="8"/>
    <x v="2"/>
    <x v="2"/>
    <x v="8"/>
    <x v="10"/>
    <x v="0"/>
    <x v="0"/>
    <x v="0"/>
    <x v="1"/>
  </r>
  <r>
    <x v="1166"/>
    <x v="162"/>
    <x v="204"/>
    <x v="2"/>
    <x v="6"/>
    <x v="0"/>
    <x v="6"/>
    <x v="0"/>
    <x v="2"/>
    <x v="6"/>
    <x v="56"/>
    <x v="1"/>
    <x v="1"/>
    <x v="0"/>
    <x v="3"/>
  </r>
  <r>
    <x v="1167"/>
    <x v="162"/>
    <x v="49"/>
    <x v="2"/>
    <x v="6"/>
    <x v="2"/>
    <x v="2"/>
    <x v="2"/>
    <x v="0"/>
    <x v="2"/>
    <x v="36"/>
    <x v="1"/>
    <x v="1"/>
    <x v="0"/>
    <x v="3"/>
  </r>
  <r>
    <x v="1168"/>
    <x v="162"/>
    <x v="315"/>
    <x v="4"/>
    <x v="6"/>
    <x v="1"/>
    <x v="3"/>
    <x v="3"/>
    <x v="2"/>
    <x v="3"/>
    <x v="48"/>
    <x v="1"/>
    <x v="3"/>
    <x v="2"/>
    <x v="4"/>
  </r>
  <r>
    <x v="1169"/>
    <x v="163"/>
    <x v="519"/>
    <x v="6"/>
    <x v="0"/>
    <x v="2"/>
    <x v="0"/>
    <x v="0"/>
    <x v="0"/>
    <x v="0"/>
    <x v="0"/>
    <x v="0"/>
    <x v="0"/>
    <x v="2"/>
    <x v="2"/>
  </r>
  <r>
    <x v="1170"/>
    <x v="163"/>
    <x v="40"/>
    <x v="5"/>
    <x v="0"/>
    <x v="1"/>
    <x v="11"/>
    <x v="1"/>
    <x v="2"/>
    <x v="11"/>
    <x v="45"/>
    <x v="1"/>
    <x v="1"/>
    <x v="0"/>
    <x v="4"/>
  </r>
  <r>
    <x v="1171"/>
    <x v="163"/>
    <x v="348"/>
    <x v="5"/>
    <x v="0"/>
    <x v="1"/>
    <x v="1"/>
    <x v="1"/>
    <x v="2"/>
    <x v="1"/>
    <x v="8"/>
    <x v="1"/>
    <x v="0"/>
    <x v="2"/>
    <x v="4"/>
  </r>
  <r>
    <x v="1172"/>
    <x v="163"/>
    <x v="209"/>
    <x v="1"/>
    <x v="0"/>
    <x v="0"/>
    <x v="6"/>
    <x v="0"/>
    <x v="2"/>
    <x v="6"/>
    <x v="6"/>
    <x v="1"/>
    <x v="0"/>
    <x v="0"/>
    <x v="3"/>
  </r>
  <r>
    <x v="1173"/>
    <x v="163"/>
    <x v="482"/>
    <x v="1"/>
    <x v="0"/>
    <x v="0"/>
    <x v="1"/>
    <x v="1"/>
    <x v="2"/>
    <x v="1"/>
    <x v="8"/>
    <x v="0"/>
    <x v="0"/>
    <x v="0"/>
    <x v="2"/>
  </r>
  <r>
    <x v="1174"/>
    <x v="163"/>
    <x v="71"/>
    <x v="3"/>
    <x v="0"/>
    <x v="0"/>
    <x v="8"/>
    <x v="2"/>
    <x v="2"/>
    <x v="8"/>
    <x v="10"/>
    <x v="0"/>
    <x v="0"/>
    <x v="0"/>
    <x v="4"/>
  </r>
  <r>
    <x v="1175"/>
    <x v="163"/>
    <x v="520"/>
    <x v="2"/>
    <x v="0"/>
    <x v="1"/>
    <x v="4"/>
    <x v="1"/>
    <x v="2"/>
    <x v="4"/>
    <x v="15"/>
    <x v="1"/>
    <x v="0"/>
    <x v="0"/>
    <x v="0"/>
  </r>
  <r>
    <x v="1176"/>
    <x v="163"/>
    <x v="454"/>
    <x v="2"/>
    <x v="0"/>
    <x v="0"/>
    <x v="11"/>
    <x v="1"/>
    <x v="2"/>
    <x v="11"/>
    <x v="45"/>
    <x v="0"/>
    <x v="1"/>
    <x v="0"/>
    <x v="1"/>
  </r>
  <r>
    <x v="1177"/>
    <x v="163"/>
    <x v="521"/>
    <x v="4"/>
    <x v="0"/>
    <x v="1"/>
    <x v="12"/>
    <x v="4"/>
    <x v="2"/>
    <x v="8"/>
    <x v="10"/>
    <x v="0"/>
    <x v="0"/>
    <x v="0"/>
    <x v="0"/>
  </r>
  <r>
    <x v="1178"/>
    <x v="163"/>
    <x v="74"/>
    <x v="4"/>
    <x v="0"/>
    <x v="1"/>
    <x v="3"/>
    <x v="3"/>
    <x v="2"/>
    <x v="3"/>
    <x v="3"/>
    <x v="1"/>
    <x v="0"/>
    <x v="2"/>
    <x v="1"/>
  </r>
  <r>
    <x v="1179"/>
    <x v="164"/>
    <x v="219"/>
    <x v="6"/>
    <x v="1"/>
    <x v="2"/>
    <x v="11"/>
    <x v="1"/>
    <x v="0"/>
    <x v="11"/>
    <x v="39"/>
    <x v="1"/>
    <x v="0"/>
    <x v="1"/>
    <x v="3"/>
  </r>
  <r>
    <x v="1180"/>
    <x v="164"/>
    <x v="293"/>
    <x v="5"/>
    <x v="1"/>
    <x v="0"/>
    <x v="7"/>
    <x v="2"/>
    <x v="2"/>
    <x v="7"/>
    <x v="9"/>
    <x v="0"/>
    <x v="0"/>
    <x v="0"/>
    <x v="3"/>
  </r>
  <r>
    <x v="1181"/>
    <x v="164"/>
    <x v="234"/>
    <x v="5"/>
    <x v="1"/>
    <x v="0"/>
    <x v="4"/>
    <x v="1"/>
    <x v="2"/>
    <x v="4"/>
    <x v="15"/>
    <x v="0"/>
    <x v="0"/>
    <x v="2"/>
    <x v="1"/>
  </r>
  <r>
    <x v="1182"/>
    <x v="164"/>
    <x v="324"/>
    <x v="5"/>
    <x v="1"/>
    <x v="1"/>
    <x v="12"/>
    <x v="4"/>
    <x v="2"/>
    <x v="8"/>
    <x v="10"/>
    <x v="0"/>
    <x v="0"/>
    <x v="3"/>
    <x v="4"/>
  </r>
  <r>
    <x v="1183"/>
    <x v="164"/>
    <x v="236"/>
    <x v="1"/>
    <x v="1"/>
    <x v="1"/>
    <x v="0"/>
    <x v="0"/>
    <x v="2"/>
    <x v="0"/>
    <x v="7"/>
    <x v="1"/>
    <x v="0"/>
    <x v="0"/>
    <x v="1"/>
  </r>
  <r>
    <x v="1184"/>
    <x v="164"/>
    <x v="115"/>
    <x v="3"/>
    <x v="1"/>
    <x v="1"/>
    <x v="6"/>
    <x v="0"/>
    <x v="0"/>
    <x v="6"/>
    <x v="2"/>
    <x v="0"/>
    <x v="0"/>
    <x v="2"/>
    <x v="1"/>
  </r>
  <r>
    <x v="1185"/>
    <x v="164"/>
    <x v="374"/>
    <x v="2"/>
    <x v="1"/>
    <x v="1"/>
    <x v="6"/>
    <x v="0"/>
    <x v="0"/>
    <x v="6"/>
    <x v="2"/>
    <x v="0"/>
    <x v="0"/>
    <x v="0"/>
    <x v="2"/>
  </r>
  <r>
    <x v="1186"/>
    <x v="165"/>
    <x v="522"/>
    <x v="9"/>
    <x v="2"/>
    <x v="0"/>
    <x v="11"/>
    <x v="1"/>
    <x v="2"/>
    <x v="11"/>
    <x v="24"/>
    <x v="1"/>
    <x v="0"/>
    <x v="0"/>
    <x v="0"/>
  </r>
  <r>
    <x v="1187"/>
    <x v="165"/>
    <x v="523"/>
    <x v="7"/>
    <x v="2"/>
    <x v="2"/>
    <x v="0"/>
    <x v="0"/>
    <x v="0"/>
    <x v="0"/>
    <x v="0"/>
    <x v="0"/>
    <x v="0"/>
    <x v="2"/>
    <x v="3"/>
  </r>
  <r>
    <x v="1188"/>
    <x v="165"/>
    <x v="128"/>
    <x v="7"/>
    <x v="2"/>
    <x v="0"/>
    <x v="14"/>
    <x v="3"/>
    <x v="2"/>
    <x v="14"/>
    <x v="25"/>
    <x v="1"/>
    <x v="0"/>
    <x v="3"/>
    <x v="1"/>
  </r>
  <r>
    <x v="1189"/>
    <x v="165"/>
    <x v="161"/>
    <x v="3"/>
    <x v="2"/>
    <x v="0"/>
    <x v="6"/>
    <x v="0"/>
    <x v="2"/>
    <x v="6"/>
    <x v="6"/>
    <x v="0"/>
    <x v="0"/>
    <x v="0"/>
    <x v="0"/>
  </r>
  <r>
    <x v="1190"/>
    <x v="166"/>
    <x v="38"/>
    <x v="0"/>
    <x v="3"/>
    <x v="0"/>
    <x v="13"/>
    <x v="0"/>
    <x v="2"/>
    <x v="2"/>
    <x v="2"/>
    <x v="1"/>
    <x v="0"/>
    <x v="0"/>
    <x v="2"/>
  </r>
  <r>
    <x v="1191"/>
    <x v="166"/>
    <x v="399"/>
    <x v="8"/>
    <x v="3"/>
    <x v="0"/>
    <x v="8"/>
    <x v="2"/>
    <x v="2"/>
    <x v="8"/>
    <x v="10"/>
    <x v="1"/>
    <x v="0"/>
    <x v="3"/>
    <x v="2"/>
  </r>
  <r>
    <x v="1192"/>
    <x v="167"/>
    <x v="208"/>
    <x v="5"/>
    <x v="6"/>
    <x v="0"/>
    <x v="4"/>
    <x v="1"/>
    <x v="2"/>
    <x v="4"/>
    <x v="15"/>
    <x v="0"/>
    <x v="0"/>
    <x v="0"/>
    <x v="4"/>
  </r>
  <r>
    <x v="1193"/>
    <x v="166"/>
    <x v="236"/>
    <x v="1"/>
    <x v="3"/>
    <x v="0"/>
    <x v="3"/>
    <x v="3"/>
    <x v="2"/>
    <x v="3"/>
    <x v="3"/>
    <x v="0"/>
    <x v="0"/>
    <x v="1"/>
    <x v="0"/>
  </r>
  <r>
    <x v="1194"/>
    <x v="166"/>
    <x v="281"/>
    <x v="1"/>
    <x v="3"/>
    <x v="2"/>
    <x v="7"/>
    <x v="2"/>
    <x v="1"/>
    <x v="7"/>
    <x v="8"/>
    <x v="0"/>
    <x v="0"/>
    <x v="0"/>
    <x v="4"/>
  </r>
  <r>
    <x v="1195"/>
    <x v="166"/>
    <x v="70"/>
    <x v="1"/>
    <x v="3"/>
    <x v="0"/>
    <x v="1"/>
    <x v="1"/>
    <x v="2"/>
    <x v="1"/>
    <x v="21"/>
    <x v="0"/>
    <x v="2"/>
    <x v="0"/>
    <x v="3"/>
  </r>
  <r>
    <x v="1196"/>
    <x v="166"/>
    <x v="325"/>
    <x v="1"/>
    <x v="3"/>
    <x v="1"/>
    <x v="8"/>
    <x v="2"/>
    <x v="2"/>
    <x v="8"/>
    <x v="36"/>
    <x v="0"/>
    <x v="1"/>
    <x v="2"/>
    <x v="2"/>
  </r>
  <r>
    <x v="1197"/>
    <x v="166"/>
    <x v="457"/>
    <x v="3"/>
    <x v="3"/>
    <x v="1"/>
    <x v="13"/>
    <x v="0"/>
    <x v="2"/>
    <x v="2"/>
    <x v="2"/>
    <x v="0"/>
    <x v="0"/>
    <x v="1"/>
    <x v="3"/>
  </r>
  <r>
    <x v="1198"/>
    <x v="166"/>
    <x v="186"/>
    <x v="3"/>
    <x v="3"/>
    <x v="2"/>
    <x v="9"/>
    <x v="3"/>
    <x v="2"/>
    <x v="7"/>
    <x v="9"/>
    <x v="0"/>
    <x v="0"/>
    <x v="0"/>
    <x v="0"/>
  </r>
  <r>
    <x v="1199"/>
    <x v="166"/>
    <x v="86"/>
    <x v="2"/>
    <x v="3"/>
    <x v="1"/>
    <x v="10"/>
    <x v="4"/>
    <x v="0"/>
    <x v="10"/>
    <x v="32"/>
    <x v="0"/>
    <x v="0"/>
    <x v="0"/>
    <x v="1"/>
  </r>
  <r>
    <x v="1200"/>
    <x v="166"/>
    <x v="524"/>
    <x v="4"/>
    <x v="3"/>
    <x v="1"/>
    <x v="11"/>
    <x v="1"/>
    <x v="2"/>
    <x v="11"/>
    <x v="24"/>
    <x v="1"/>
    <x v="0"/>
    <x v="0"/>
    <x v="2"/>
  </r>
  <r>
    <x v="1201"/>
    <x v="168"/>
    <x v="207"/>
    <x v="4"/>
    <x v="3"/>
    <x v="1"/>
    <x v="6"/>
    <x v="0"/>
    <x v="0"/>
    <x v="6"/>
    <x v="2"/>
    <x v="0"/>
    <x v="0"/>
    <x v="0"/>
    <x v="3"/>
  </r>
  <r>
    <x v="1202"/>
    <x v="169"/>
    <x v="64"/>
    <x v="7"/>
    <x v="4"/>
    <x v="0"/>
    <x v="7"/>
    <x v="2"/>
    <x v="0"/>
    <x v="7"/>
    <x v="12"/>
    <x v="1"/>
    <x v="0"/>
    <x v="2"/>
    <x v="2"/>
  </r>
  <r>
    <x v="1203"/>
    <x v="169"/>
    <x v="455"/>
    <x v="0"/>
    <x v="4"/>
    <x v="0"/>
    <x v="1"/>
    <x v="1"/>
    <x v="2"/>
    <x v="1"/>
    <x v="8"/>
    <x v="1"/>
    <x v="0"/>
    <x v="0"/>
    <x v="1"/>
  </r>
  <r>
    <x v="1204"/>
    <x v="169"/>
    <x v="16"/>
    <x v="6"/>
    <x v="4"/>
    <x v="0"/>
    <x v="2"/>
    <x v="2"/>
    <x v="2"/>
    <x v="2"/>
    <x v="2"/>
    <x v="0"/>
    <x v="0"/>
    <x v="0"/>
    <x v="1"/>
  </r>
  <r>
    <x v="1205"/>
    <x v="169"/>
    <x v="525"/>
    <x v="8"/>
    <x v="4"/>
    <x v="0"/>
    <x v="6"/>
    <x v="0"/>
    <x v="2"/>
    <x v="6"/>
    <x v="6"/>
    <x v="1"/>
    <x v="0"/>
    <x v="2"/>
    <x v="3"/>
  </r>
  <r>
    <x v="1206"/>
    <x v="169"/>
    <x v="282"/>
    <x v="1"/>
    <x v="4"/>
    <x v="0"/>
    <x v="0"/>
    <x v="0"/>
    <x v="2"/>
    <x v="0"/>
    <x v="7"/>
    <x v="0"/>
    <x v="0"/>
    <x v="0"/>
    <x v="1"/>
  </r>
  <r>
    <x v="1207"/>
    <x v="169"/>
    <x v="385"/>
    <x v="3"/>
    <x v="4"/>
    <x v="1"/>
    <x v="1"/>
    <x v="1"/>
    <x v="2"/>
    <x v="1"/>
    <x v="8"/>
    <x v="1"/>
    <x v="0"/>
    <x v="0"/>
    <x v="4"/>
  </r>
  <r>
    <x v="1208"/>
    <x v="169"/>
    <x v="176"/>
    <x v="3"/>
    <x v="4"/>
    <x v="1"/>
    <x v="1"/>
    <x v="1"/>
    <x v="2"/>
    <x v="1"/>
    <x v="8"/>
    <x v="1"/>
    <x v="0"/>
    <x v="0"/>
    <x v="0"/>
  </r>
  <r>
    <x v="1209"/>
    <x v="169"/>
    <x v="52"/>
    <x v="3"/>
    <x v="4"/>
    <x v="1"/>
    <x v="7"/>
    <x v="2"/>
    <x v="2"/>
    <x v="7"/>
    <x v="9"/>
    <x v="0"/>
    <x v="0"/>
    <x v="0"/>
    <x v="4"/>
  </r>
  <r>
    <x v="1210"/>
    <x v="169"/>
    <x v="278"/>
    <x v="3"/>
    <x v="4"/>
    <x v="2"/>
    <x v="9"/>
    <x v="3"/>
    <x v="2"/>
    <x v="7"/>
    <x v="9"/>
    <x v="0"/>
    <x v="0"/>
    <x v="2"/>
    <x v="2"/>
  </r>
  <r>
    <x v="1211"/>
    <x v="169"/>
    <x v="4"/>
    <x v="2"/>
    <x v="4"/>
    <x v="1"/>
    <x v="10"/>
    <x v="4"/>
    <x v="2"/>
    <x v="10"/>
    <x v="13"/>
    <x v="0"/>
    <x v="0"/>
    <x v="0"/>
    <x v="3"/>
  </r>
  <r>
    <x v="1212"/>
    <x v="36"/>
    <x v="526"/>
    <x v="7"/>
    <x v="6"/>
    <x v="0"/>
    <x v="0"/>
    <x v="0"/>
    <x v="2"/>
    <x v="0"/>
    <x v="7"/>
    <x v="1"/>
    <x v="0"/>
    <x v="2"/>
    <x v="4"/>
  </r>
  <r>
    <x v="1213"/>
    <x v="170"/>
    <x v="527"/>
    <x v="7"/>
    <x v="5"/>
    <x v="0"/>
    <x v="11"/>
    <x v="1"/>
    <x v="2"/>
    <x v="11"/>
    <x v="34"/>
    <x v="0"/>
    <x v="3"/>
    <x v="1"/>
    <x v="0"/>
  </r>
  <r>
    <x v="1214"/>
    <x v="170"/>
    <x v="451"/>
    <x v="6"/>
    <x v="5"/>
    <x v="2"/>
    <x v="5"/>
    <x v="1"/>
    <x v="3"/>
    <x v="5"/>
    <x v="65"/>
    <x v="0"/>
    <x v="3"/>
    <x v="0"/>
    <x v="3"/>
  </r>
  <r>
    <x v="1215"/>
    <x v="170"/>
    <x v="24"/>
    <x v="8"/>
    <x v="5"/>
    <x v="2"/>
    <x v="5"/>
    <x v="1"/>
    <x v="2"/>
    <x v="5"/>
    <x v="5"/>
    <x v="0"/>
    <x v="0"/>
    <x v="0"/>
    <x v="1"/>
  </r>
  <r>
    <x v="1216"/>
    <x v="170"/>
    <x v="528"/>
    <x v="5"/>
    <x v="5"/>
    <x v="0"/>
    <x v="5"/>
    <x v="1"/>
    <x v="2"/>
    <x v="5"/>
    <x v="5"/>
    <x v="1"/>
    <x v="0"/>
    <x v="2"/>
    <x v="3"/>
  </r>
  <r>
    <x v="1217"/>
    <x v="170"/>
    <x v="529"/>
    <x v="5"/>
    <x v="5"/>
    <x v="1"/>
    <x v="3"/>
    <x v="3"/>
    <x v="2"/>
    <x v="3"/>
    <x v="3"/>
    <x v="0"/>
    <x v="0"/>
    <x v="1"/>
    <x v="0"/>
  </r>
  <r>
    <x v="1218"/>
    <x v="36"/>
    <x v="156"/>
    <x v="5"/>
    <x v="6"/>
    <x v="2"/>
    <x v="3"/>
    <x v="3"/>
    <x v="2"/>
    <x v="3"/>
    <x v="3"/>
    <x v="1"/>
    <x v="0"/>
    <x v="0"/>
    <x v="2"/>
  </r>
  <r>
    <x v="1219"/>
    <x v="170"/>
    <x v="122"/>
    <x v="1"/>
    <x v="5"/>
    <x v="2"/>
    <x v="7"/>
    <x v="2"/>
    <x v="2"/>
    <x v="7"/>
    <x v="9"/>
    <x v="1"/>
    <x v="0"/>
    <x v="3"/>
    <x v="0"/>
  </r>
  <r>
    <x v="1220"/>
    <x v="170"/>
    <x v="210"/>
    <x v="1"/>
    <x v="5"/>
    <x v="2"/>
    <x v="3"/>
    <x v="3"/>
    <x v="2"/>
    <x v="16"/>
    <x v="81"/>
    <x v="1"/>
    <x v="3"/>
    <x v="0"/>
    <x v="2"/>
  </r>
  <r>
    <x v="1221"/>
    <x v="170"/>
    <x v="71"/>
    <x v="3"/>
    <x v="5"/>
    <x v="1"/>
    <x v="5"/>
    <x v="1"/>
    <x v="2"/>
    <x v="5"/>
    <x v="5"/>
    <x v="1"/>
    <x v="0"/>
    <x v="0"/>
    <x v="0"/>
  </r>
  <r>
    <x v="1222"/>
    <x v="170"/>
    <x v="375"/>
    <x v="4"/>
    <x v="5"/>
    <x v="1"/>
    <x v="0"/>
    <x v="0"/>
    <x v="2"/>
    <x v="0"/>
    <x v="7"/>
    <x v="1"/>
    <x v="0"/>
    <x v="0"/>
    <x v="1"/>
  </r>
  <r>
    <x v="1223"/>
    <x v="167"/>
    <x v="401"/>
    <x v="7"/>
    <x v="6"/>
    <x v="0"/>
    <x v="9"/>
    <x v="3"/>
    <x v="2"/>
    <x v="7"/>
    <x v="9"/>
    <x v="1"/>
    <x v="0"/>
    <x v="2"/>
    <x v="2"/>
  </r>
  <r>
    <x v="1224"/>
    <x v="167"/>
    <x v="530"/>
    <x v="7"/>
    <x v="6"/>
    <x v="2"/>
    <x v="0"/>
    <x v="0"/>
    <x v="2"/>
    <x v="0"/>
    <x v="38"/>
    <x v="0"/>
    <x v="1"/>
    <x v="0"/>
    <x v="3"/>
  </r>
  <r>
    <x v="1225"/>
    <x v="167"/>
    <x v="531"/>
    <x v="0"/>
    <x v="6"/>
    <x v="0"/>
    <x v="4"/>
    <x v="1"/>
    <x v="1"/>
    <x v="4"/>
    <x v="82"/>
    <x v="0"/>
    <x v="0"/>
    <x v="1"/>
    <x v="1"/>
  </r>
  <r>
    <x v="1226"/>
    <x v="167"/>
    <x v="509"/>
    <x v="12"/>
    <x v="6"/>
    <x v="0"/>
    <x v="8"/>
    <x v="2"/>
    <x v="0"/>
    <x v="8"/>
    <x v="21"/>
    <x v="0"/>
    <x v="0"/>
    <x v="0"/>
    <x v="2"/>
  </r>
  <r>
    <x v="1227"/>
    <x v="167"/>
    <x v="411"/>
    <x v="5"/>
    <x v="6"/>
    <x v="1"/>
    <x v="3"/>
    <x v="3"/>
    <x v="2"/>
    <x v="3"/>
    <x v="3"/>
    <x v="1"/>
    <x v="0"/>
    <x v="0"/>
    <x v="1"/>
  </r>
  <r>
    <x v="1228"/>
    <x v="167"/>
    <x v="363"/>
    <x v="5"/>
    <x v="6"/>
    <x v="2"/>
    <x v="6"/>
    <x v="0"/>
    <x v="2"/>
    <x v="6"/>
    <x v="6"/>
    <x v="1"/>
    <x v="0"/>
    <x v="2"/>
    <x v="1"/>
  </r>
  <r>
    <x v="1229"/>
    <x v="168"/>
    <x v="475"/>
    <x v="5"/>
    <x v="3"/>
    <x v="1"/>
    <x v="8"/>
    <x v="2"/>
    <x v="0"/>
    <x v="8"/>
    <x v="21"/>
    <x v="0"/>
    <x v="0"/>
    <x v="0"/>
    <x v="4"/>
  </r>
  <r>
    <x v="1230"/>
    <x v="167"/>
    <x v="178"/>
    <x v="1"/>
    <x v="6"/>
    <x v="0"/>
    <x v="3"/>
    <x v="3"/>
    <x v="2"/>
    <x v="3"/>
    <x v="3"/>
    <x v="1"/>
    <x v="0"/>
    <x v="0"/>
    <x v="4"/>
  </r>
  <r>
    <x v="1231"/>
    <x v="167"/>
    <x v="8"/>
    <x v="1"/>
    <x v="6"/>
    <x v="2"/>
    <x v="1"/>
    <x v="1"/>
    <x v="2"/>
    <x v="1"/>
    <x v="8"/>
    <x v="0"/>
    <x v="0"/>
    <x v="0"/>
    <x v="1"/>
  </r>
  <r>
    <x v="1232"/>
    <x v="167"/>
    <x v="374"/>
    <x v="2"/>
    <x v="6"/>
    <x v="1"/>
    <x v="8"/>
    <x v="2"/>
    <x v="2"/>
    <x v="8"/>
    <x v="10"/>
    <x v="0"/>
    <x v="0"/>
    <x v="0"/>
    <x v="4"/>
  </r>
  <r>
    <x v="1233"/>
    <x v="167"/>
    <x v="532"/>
    <x v="4"/>
    <x v="6"/>
    <x v="1"/>
    <x v="2"/>
    <x v="2"/>
    <x v="2"/>
    <x v="2"/>
    <x v="2"/>
    <x v="0"/>
    <x v="0"/>
    <x v="0"/>
    <x v="3"/>
  </r>
  <r>
    <x v="1234"/>
    <x v="105"/>
    <x v="138"/>
    <x v="12"/>
    <x v="0"/>
    <x v="0"/>
    <x v="0"/>
    <x v="0"/>
    <x v="1"/>
    <x v="0"/>
    <x v="2"/>
    <x v="1"/>
    <x v="0"/>
    <x v="0"/>
    <x v="4"/>
  </r>
  <r>
    <x v="1235"/>
    <x v="105"/>
    <x v="408"/>
    <x v="5"/>
    <x v="0"/>
    <x v="0"/>
    <x v="6"/>
    <x v="0"/>
    <x v="2"/>
    <x v="6"/>
    <x v="6"/>
    <x v="0"/>
    <x v="0"/>
    <x v="0"/>
    <x v="0"/>
  </r>
  <r>
    <x v="1236"/>
    <x v="104"/>
    <x v="533"/>
    <x v="2"/>
    <x v="4"/>
    <x v="0"/>
    <x v="9"/>
    <x v="3"/>
    <x v="1"/>
    <x v="7"/>
    <x v="8"/>
    <x v="1"/>
    <x v="0"/>
    <x v="0"/>
    <x v="0"/>
  </r>
  <r>
    <x v="1237"/>
    <x v="137"/>
    <x v="516"/>
    <x v="7"/>
    <x v="1"/>
    <x v="2"/>
    <x v="6"/>
    <x v="0"/>
    <x v="2"/>
    <x v="6"/>
    <x v="6"/>
    <x v="0"/>
    <x v="0"/>
    <x v="3"/>
    <x v="4"/>
  </r>
  <r>
    <x v="1238"/>
    <x v="137"/>
    <x v="64"/>
    <x v="7"/>
    <x v="1"/>
    <x v="0"/>
    <x v="0"/>
    <x v="0"/>
    <x v="2"/>
    <x v="0"/>
    <x v="7"/>
    <x v="0"/>
    <x v="0"/>
    <x v="0"/>
    <x v="1"/>
  </r>
  <r>
    <x v="1239"/>
    <x v="137"/>
    <x v="531"/>
    <x v="0"/>
    <x v="1"/>
    <x v="1"/>
    <x v="2"/>
    <x v="2"/>
    <x v="0"/>
    <x v="2"/>
    <x v="36"/>
    <x v="0"/>
    <x v="1"/>
    <x v="0"/>
    <x v="0"/>
  </r>
  <r>
    <x v="1240"/>
    <x v="137"/>
    <x v="247"/>
    <x v="12"/>
    <x v="1"/>
    <x v="1"/>
    <x v="2"/>
    <x v="2"/>
    <x v="0"/>
    <x v="2"/>
    <x v="36"/>
    <x v="0"/>
    <x v="1"/>
    <x v="0"/>
    <x v="3"/>
  </r>
  <r>
    <x v="1241"/>
    <x v="137"/>
    <x v="100"/>
    <x v="3"/>
    <x v="1"/>
    <x v="2"/>
    <x v="5"/>
    <x v="1"/>
    <x v="2"/>
    <x v="5"/>
    <x v="5"/>
    <x v="1"/>
    <x v="0"/>
    <x v="0"/>
    <x v="1"/>
  </r>
  <r>
    <x v="1242"/>
    <x v="137"/>
    <x v="29"/>
    <x v="3"/>
    <x v="1"/>
    <x v="0"/>
    <x v="2"/>
    <x v="2"/>
    <x v="2"/>
    <x v="2"/>
    <x v="2"/>
    <x v="0"/>
    <x v="0"/>
    <x v="3"/>
    <x v="4"/>
  </r>
  <r>
    <x v="1243"/>
    <x v="137"/>
    <x v="333"/>
    <x v="3"/>
    <x v="1"/>
    <x v="0"/>
    <x v="0"/>
    <x v="0"/>
    <x v="2"/>
    <x v="0"/>
    <x v="7"/>
    <x v="0"/>
    <x v="0"/>
    <x v="0"/>
    <x v="0"/>
  </r>
  <r>
    <x v="1244"/>
    <x v="137"/>
    <x v="187"/>
    <x v="2"/>
    <x v="1"/>
    <x v="1"/>
    <x v="6"/>
    <x v="0"/>
    <x v="2"/>
    <x v="6"/>
    <x v="56"/>
    <x v="0"/>
    <x v="1"/>
    <x v="0"/>
    <x v="3"/>
  </r>
  <r>
    <x v="1245"/>
    <x v="171"/>
    <x v="252"/>
    <x v="8"/>
    <x v="2"/>
    <x v="2"/>
    <x v="0"/>
    <x v="0"/>
    <x v="0"/>
    <x v="0"/>
    <x v="0"/>
    <x v="1"/>
    <x v="0"/>
    <x v="3"/>
    <x v="2"/>
  </r>
  <r>
    <x v="1246"/>
    <x v="172"/>
    <x v="534"/>
    <x v="6"/>
    <x v="3"/>
    <x v="0"/>
    <x v="11"/>
    <x v="1"/>
    <x v="0"/>
    <x v="11"/>
    <x v="39"/>
    <x v="0"/>
    <x v="0"/>
    <x v="0"/>
    <x v="0"/>
  </r>
  <r>
    <x v="1247"/>
    <x v="173"/>
    <x v="379"/>
    <x v="5"/>
    <x v="5"/>
    <x v="0"/>
    <x v="2"/>
    <x v="2"/>
    <x v="2"/>
    <x v="2"/>
    <x v="30"/>
    <x v="1"/>
    <x v="1"/>
    <x v="3"/>
    <x v="2"/>
  </r>
  <r>
    <x v="1248"/>
    <x v="172"/>
    <x v="326"/>
    <x v="3"/>
    <x v="3"/>
    <x v="0"/>
    <x v="13"/>
    <x v="0"/>
    <x v="2"/>
    <x v="2"/>
    <x v="2"/>
    <x v="1"/>
    <x v="0"/>
    <x v="0"/>
    <x v="1"/>
  </r>
  <r>
    <x v="1249"/>
    <x v="172"/>
    <x v="535"/>
    <x v="4"/>
    <x v="3"/>
    <x v="1"/>
    <x v="7"/>
    <x v="2"/>
    <x v="2"/>
    <x v="7"/>
    <x v="9"/>
    <x v="0"/>
    <x v="0"/>
    <x v="2"/>
    <x v="4"/>
  </r>
  <r>
    <x v="1250"/>
    <x v="172"/>
    <x v="72"/>
    <x v="3"/>
    <x v="3"/>
    <x v="0"/>
    <x v="8"/>
    <x v="2"/>
    <x v="2"/>
    <x v="8"/>
    <x v="10"/>
    <x v="1"/>
    <x v="0"/>
    <x v="2"/>
    <x v="1"/>
  </r>
  <r>
    <x v="1251"/>
    <x v="174"/>
    <x v="536"/>
    <x v="12"/>
    <x v="4"/>
    <x v="0"/>
    <x v="6"/>
    <x v="0"/>
    <x v="2"/>
    <x v="6"/>
    <x v="6"/>
    <x v="0"/>
    <x v="0"/>
    <x v="0"/>
    <x v="0"/>
  </r>
  <r>
    <x v="1252"/>
    <x v="174"/>
    <x v="293"/>
    <x v="5"/>
    <x v="4"/>
    <x v="1"/>
    <x v="2"/>
    <x v="2"/>
    <x v="0"/>
    <x v="2"/>
    <x v="10"/>
    <x v="0"/>
    <x v="0"/>
    <x v="0"/>
    <x v="0"/>
  </r>
  <r>
    <x v="1253"/>
    <x v="174"/>
    <x v="121"/>
    <x v="5"/>
    <x v="4"/>
    <x v="1"/>
    <x v="13"/>
    <x v="0"/>
    <x v="1"/>
    <x v="2"/>
    <x v="40"/>
    <x v="1"/>
    <x v="0"/>
    <x v="0"/>
    <x v="1"/>
  </r>
  <r>
    <x v="1254"/>
    <x v="174"/>
    <x v="408"/>
    <x v="5"/>
    <x v="4"/>
    <x v="0"/>
    <x v="0"/>
    <x v="0"/>
    <x v="0"/>
    <x v="0"/>
    <x v="0"/>
    <x v="0"/>
    <x v="0"/>
    <x v="2"/>
    <x v="3"/>
  </r>
  <r>
    <x v="1255"/>
    <x v="174"/>
    <x v="158"/>
    <x v="1"/>
    <x v="4"/>
    <x v="2"/>
    <x v="11"/>
    <x v="1"/>
    <x v="2"/>
    <x v="11"/>
    <x v="24"/>
    <x v="0"/>
    <x v="0"/>
    <x v="0"/>
    <x v="1"/>
  </r>
  <r>
    <x v="1256"/>
    <x v="174"/>
    <x v="389"/>
    <x v="3"/>
    <x v="4"/>
    <x v="1"/>
    <x v="2"/>
    <x v="2"/>
    <x v="2"/>
    <x v="2"/>
    <x v="57"/>
    <x v="0"/>
    <x v="2"/>
    <x v="0"/>
    <x v="4"/>
  </r>
  <r>
    <x v="1257"/>
    <x v="174"/>
    <x v="228"/>
    <x v="3"/>
    <x v="4"/>
    <x v="0"/>
    <x v="10"/>
    <x v="4"/>
    <x v="2"/>
    <x v="10"/>
    <x v="13"/>
    <x v="1"/>
    <x v="0"/>
    <x v="0"/>
    <x v="1"/>
  </r>
  <r>
    <x v="1258"/>
    <x v="174"/>
    <x v="454"/>
    <x v="2"/>
    <x v="4"/>
    <x v="0"/>
    <x v="14"/>
    <x v="3"/>
    <x v="2"/>
    <x v="14"/>
    <x v="25"/>
    <x v="0"/>
    <x v="0"/>
    <x v="0"/>
    <x v="3"/>
  </r>
  <r>
    <x v="1259"/>
    <x v="174"/>
    <x v="436"/>
    <x v="2"/>
    <x v="4"/>
    <x v="0"/>
    <x v="14"/>
    <x v="3"/>
    <x v="2"/>
    <x v="14"/>
    <x v="25"/>
    <x v="0"/>
    <x v="0"/>
    <x v="3"/>
    <x v="2"/>
  </r>
  <r>
    <x v="1260"/>
    <x v="174"/>
    <x v="442"/>
    <x v="4"/>
    <x v="4"/>
    <x v="1"/>
    <x v="14"/>
    <x v="3"/>
    <x v="2"/>
    <x v="14"/>
    <x v="25"/>
    <x v="0"/>
    <x v="0"/>
    <x v="4"/>
    <x v="3"/>
  </r>
  <r>
    <x v="1261"/>
    <x v="175"/>
    <x v="199"/>
    <x v="4"/>
    <x v="1"/>
    <x v="1"/>
    <x v="4"/>
    <x v="1"/>
    <x v="2"/>
    <x v="4"/>
    <x v="15"/>
    <x v="0"/>
    <x v="0"/>
    <x v="2"/>
    <x v="2"/>
  </r>
  <r>
    <x v="1262"/>
    <x v="176"/>
    <x v="306"/>
    <x v="0"/>
    <x v="3"/>
    <x v="1"/>
    <x v="13"/>
    <x v="0"/>
    <x v="2"/>
    <x v="2"/>
    <x v="2"/>
    <x v="1"/>
    <x v="0"/>
    <x v="0"/>
    <x v="1"/>
  </r>
  <r>
    <x v="1263"/>
    <x v="177"/>
    <x v="537"/>
    <x v="12"/>
    <x v="5"/>
    <x v="0"/>
    <x v="14"/>
    <x v="3"/>
    <x v="2"/>
    <x v="14"/>
    <x v="58"/>
    <x v="0"/>
    <x v="1"/>
    <x v="3"/>
    <x v="0"/>
  </r>
  <r>
    <x v="1264"/>
    <x v="177"/>
    <x v="538"/>
    <x v="6"/>
    <x v="5"/>
    <x v="1"/>
    <x v="8"/>
    <x v="2"/>
    <x v="2"/>
    <x v="8"/>
    <x v="10"/>
    <x v="0"/>
    <x v="0"/>
    <x v="2"/>
    <x v="3"/>
  </r>
  <r>
    <x v="1265"/>
    <x v="177"/>
    <x v="40"/>
    <x v="5"/>
    <x v="5"/>
    <x v="1"/>
    <x v="3"/>
    <x v="3"/>
    <x v="2"/>
    <x v="3"/>
    <x v="3"/>
    <x v="0"/>
    <x v="0"/>
    <x v="0"/>
    <x v="0"/>
  </r>
  <r>
    <x v="1266"/>
    <x v="177"/>
    <x v="17"/>
    <x v="5"/>
    <x v="5"/>
    <x v="2"/>
    <x v="0"/>
    <x v="0"/>
    <x v="1"/>
    <x v="0"/>
    <x v="2"/>
    <x v="1"/>
    <x v="0"/>
    <x v="0"/>
    <x v="2"/>
  </r>
  <r>
    <x v="1267"/>
    <x v="177"/>
    <x v="17"/>
    <x v="5"/>
    <x v="5"/>
    <x v="1"/>
    <x v="3"/>
    <x v="3"/>
    <x v="2"/>
    <x v="3"/>
    <x v="3"/>
    <x v="1"/>
    <x v="0"/>
    <x v="0"/>
    <x v="1"/>
  </r>
  <r>
    <x v="1268"/>
    <x v="177"/>
    <x v="237"/>
    <x v="1"/>
    <x v="5"/>
    <x v="0"/>
    <x v="3"/>
    <x v="3"/>
    <x v="2"/>
    <x v="3"/>
    <x v="3"/>
    <x v="1"/>
    <x v="0"/>
    <x v="0"/>
    <x v="2"/>
  </r>
  <r>
    <x v="1269"/>
    <x v="177"/>
    <x v="130"/>
    <x v="1"/>
    <x v="5"/>
    <x v="0"/>
    <x v="7"/>
    <x v="2"/>
    <x v="2"/>
    <x v="7"/>
    <x v="9"/>
    <x v="1"/>
    <x v="0"/>
    <x v="0"/>
    <x v="4"/>
  </r>
  <r>
    <x v="1270"/>
    <x v="177"/>
    <x v="259"/>
    <x v="1"/>
    <x v="5"/>
    <x v="1"/>
    <x v="2"/>
    <x v="2"/>
    <x v="0"/>
    <x v="2"/>
    <x v="10"/>
    <x v="0"/>
    <x v="0"/>
    <x v="2"/>
    <x v="2"/>
  </r>
  <r>
    <x v="1271"/>
    <x v="177"/>
    <x v="84"/>
    <x v="3"/>
    <x v="5"/>
    <x v="1"/>
    <x v="4"/>
    <x v="1"/>
    <x v="0"/>
    <x v="4"/>
    <x v="35"/>
    <x v="1"/>
    <x v="0"/>
    <x v="1"/>
    <x v="3"/>
  </r>
  <r>
    <x v="1272"/>
    <x v="177"/>
    <x v="492"/>
    <x v="2"/>
    <x v="5"/>
    <x v="1"/>
    <x v="2"/>
    <x v="2"/>
    <x v="2"/>
    <x v="2"/>
    <x v="2"/>
    <x v="0"/>
    <x v="0"/>
    <x v="0"/>
    <x v="2"/>
  </r>
  <r>
    <x v="1273"/>
    <x v="178"/>
    <x v="539"/>
    <x v="0"/>
    <x v="6"/>
    <x v="0"/>
    <x v="6"/>
    <x v="0"/>
    <x v="2"/>
    <x v="6"/>
    <x v="6"/>
    <x v="0"/>
    <x v="0"/>
    <x v="0"/>
    <x v="4"/>
  </r>
  <r>
    <x v="1274"/>
    <x v="178"/>
    <x v="540"/>
    <x v="11"/>
    <x v="6"/>
    <x v="1"/>
    <x v="5"/>
    <x v="1"/>
    <x v="0"/>
    <x v="5"/>
    <x v="17"/>
    <x v="1"/>
    <x v="0"/>
    <x v="3"/>
    <x v="0"/>
  </r>
  <r>
    <x v="1275"/>
    <x v="178"/>
    <x v="541"/>
    <x v="8"/>
    <x v="6"/>
    <x v="0"/>
    <x v="0"/>
    <x v="0"/>
    <x v="2"/>
    <x v="0"/>
    <x v="7"/>
    <x v="0"/>
    <x v="0"/>
    <x v="0"/>
    <x v="4"/>
  </r>
  <r>
    <x v="1276"/>
    <x v="178"/>
    <x v="340"/>
    <x v="5"/>
    <x v="6"/>
    <x v="0"/>
    <x v="0"/>
    <x v="0"/>
    <x v="0"/>
    <x v="0"/>
    <x v="53"/>
    <x v="1"/>
    <x v="1"/>
    <x v="2"/>
    <x v="2"/>
  </r>
  <r>
    <x v="1277"/>
    <x v="178"/>
    <x v="130"/>
    <x v="1"/>
    <x v="6"/>
    <x v="2"/>
    <x v="0"/>
    <x v="0"/>
    <x v="2"/>
    <x v="0"/>
    <x v="7"/>
    <x v="1"/>
    <x v="0"/>
    <x v="2"/>
    <x v="0"/>
  </r>
  <r>
    <x v="1278"/>
    <x v="178"/>
    <x v="96"/>
    <x v="2"/>
    <x v="6"/>
    <x v="2"/>
    <x v="11"/>
    <x v="1"/>
    <x v="2"/>
    <x v="11"/>
    <x v="24"/>
    <x v="0"/>
    <x v="0"/>
    <x v="0"/>
    <x v="3"/>
  </r>
  <r>
    <x v="1279"/>
    <x v="178"/>
    <x v="365"/>
    <x v="2"/>
    <x v="6"/>
    <x v="1"/>
    <x v="3"/>
    <x v="3"/>
    <x v="0"/>
    <x v="3"/>
    <x v="14"/>
    <x v="0"/>
    <x v="0"/>
    <x v="1"/>
    <x v="0"/>
  </r>
  <r>
    <x v="1280"/>
    <x v="179"/>
    <x v="308"/>
    <x v="0"/>
    <x v="0"/>
    <x v="0"/>
    <x v="0"/>
    <x v="0"/>
    <x v="2"/>
    <x v="0"/>
    <x v="7"/>
    <x v="0"/>
    <x v="0"/>
    <x v="0"/>
    <x v="0"/>
  </r>
  <r>
    <x v="1281"/>
    <x v="179"/>
    <x v="536"/>
    <x v="12"/>
    <x v="0"/>
    <x v="2"/>
    <x v="7"/>
    <x v="2"/>
    <x v="0"/>
    <x v="7"/>
    <x v="12"/>
    <x v="1"/>
    <x v="0"/>
    <x v="0"/>
    <x v="3"/>
  </r>
  <r>
    <x v="1282"/>
    <x v="179"/>
    <x v="474"/>
    <x v="8"/>
    <x v="0"/>
    <x v="2"/>
    <x v="5"/>
    <x v="1"/>
    <x v="2"/>
    <x v="5"/>
    <x v="71"/>
    <x v="0"/>
    <x v="1"/>
    <x v="0"/>
    <x v="0"/>
  </r>
  <r>
    <x v="1283"/>
    <x v="179"/>
    <x v="301"/>
    <x v="3"/>
    <x v="0"/>
    <x v="1"/>
    <x v="3"/>
    <x v="3"/>
    <x v="2"/>
    <x v="3"/>
    <x v="3"/>
    <x v="0"/>
    <x v="0"/>
    <x v="2"/>
    <x v="3"/>
  </r>
  <r>
    <x v="1284"/>
    <x v="179"/>
    <x v="296"/>
    <x v="2"/>
    <x v="0"/>
    <x v="1"/>
    <x v="1"/>
    <x v="1"/>
    <x v="2"/>
    <x v="1"/>
    <x v="8"/>
    <x v="0"/>
    <x v="0"/>
    <x v="0"/>
    <x v="3"/>
  </r>
  <r>
    <x v="1285"/>
    <x v="180"/>
    <x v="542"/>
    <x v="10"/>
    <x v="1"/>
    <x v="2"/>
    <x v="7"/>
    <x v="2"/>
    <x v="0"/>
    <x v="7"/>
    <x v="12"/>
    <x v="0"/>
    <x v="0"/>
    <x v="2"/>
    <x v="2"/>
  </r>
  <r>
    <x v="1286"/>
    <x v="180"/>
    <x v="543"/>
    <x v="8"/>
    <x v="1"/>
    <x v="2"/>
    <x v="6"/>
    <x v="0"/>
    <x v="1"/>
    <x v="6"/>
    <x v="23"/>
    <x v="1"/>
    <x v="2"/>
    <x v="0"/>
    <x v="1"/>
  </r>
  <r>
    <x v="1287"/>
    <x v="180"/>
    <x v="267"/>
    <x v="3"/>
    <x v="1"/>
    <x v="1"/>
    <x v="1"/>
    <x v="1"/>
    <x v="2"/>
    <x v="1"/>
    <x v="8"/>
    <x v="1"/>
    <x v="0"/>
    <x v="0"/>
    <x v="3"/>
  </r>
  <r>
    <x v="1288"/>
    <x v="180"/>
    <x v="124"/>
    <x v="2"/>
    <x v="1"/>
    <x v="1"/>
    <x v="7"/>
    <x v="2"/>
    <x v="2"/>
    <x v="7"/>
    <x v="9"/>
    <x v="1"/>
    <x v="0"/>
    <x v="2"/>
    <x v="0"/>
  </r>
  <r>
    <x v="1289"/>
    <x v="180"/>
    <x v="288"/>
    <x v="2"/>
    <x v="1"/>
    <x v="1"/>
    <x v="7"/>
    <x v="2"/>
    <x v="2"/>
    <x v="7"/>
    <x v="9"/>
    <x v="1"/>
    <x v="0"/>
    <x v="0"/>
    <x v="4"/>
  </r>
  <r>
    <x v="1290"/>
    <x v="180"/>
    <x v="86"/>
    <x v="2"/>
    <x v="1"/>
    <x v="0"/>
    <x v="11"/>
    <x v="1"/>
    <x v="0"/>
    <x v="11"/>
    <x v="39"/>
    <x v="1"/>
    <x v="0"/>
    <x v="3"/>
    <x v="2"/>
  </r>
  <r>
    <x v="1291"/>
    <x v="181"/>
    <x v="280"/>
    <x v="7"/>
    <x v="2"/>
    <x v="2"/>
    <x v="0"/>
    <x v="0"/>
    <x v="2"/>
    <x v="0"/>
    <x v="7"/>
    <x v="0"/>
    <x v="0"/>
    <x v="0"/>
    <x v="1"/>
  </r>
  <r>
    <x v="1292"/>
    <x v="181"/>
    <x v="223"/>
    <x v="8"/>
    <x v="2"/>
    <x v="2"/>
    <x v="11"/>
    <x v="1"/>
    <x v="2"/>
    <x v="11"/>
    <x v="24"/>
    <x v="0"/>
    <x v="0"/>
    <x v="0"/>
    <x v="0"/>
  </r>
  <r>
    <x v="1293"/>
    <x v="181"/>
    <x v="202"/>
    <x v="1"/>
    <x v="2"/>
    <x v="0"/>
    <x v="8"/>
    <x v="2"/>
    <x v="2"/>
    <x v="8"/>
    <x v="10"/>
    <x v="0"/>
    <x v="0"/>
    <x v="0"/>
    <x v="4"/>
  </r>
  <r>
    <x v="1294"/>
    <x v="181"/>
    <x v="248"/>
    <x v="3"/>
    <x v="2"/>
    <x v="0"/>
    <x v="9"/>
    <x v="3"/>
    <x v="2"/>
    <x v="7"/>
    <x v="9"/>
    <x v="1"/>
    <x v="0"/>
    <x v="3"/>
    <x v="4"/>
  </r>
  <r>
    <x v="1295"/>
    <x v="181"/>
    <x v="466"/>
    <x v="3"/>
    <x v="2"/>
    <x v="1"/>
    <x v="11"/>
    <x v="1"/>
    <x v="2"/>
    <x v="11"/>
    <x v="24"/>
    <x v="0"/>
    <x v="0"/>
    <x v="0"/>
    <x v="1"/>
  </r>
  <r>
    <x v="1296"/>
    <x v="181"/>
    <x v="101"/>
    <x v="2"/>
    <x v="2"/>
    <x v="0"/>
    <x v="2"/>
    <x v="2"/>
    <x v="0"/>
    <x v="2"/>
    <x v="10"/>
    <x v="0"/>
    <x v="0"/>
    <x v="0"/>
    <x v="4"/>
  </r>
  <r>
    <x v="1297"/>
    <x v="181"/>
    <x v="460"/>
    <x v="4"/>
    <x v="2"/>
    <x v="2"/>
    <x v="12"/>
    <x v="4"/>
    <x v="2"/>
    <x v="8"/>
    <x v="10"/>
    <x v="0"/>
    <x v="0"/>
    <x v="0"/>
    <x v="0"/>
  </r>
  <r>
    <x v="1298"/>
    <x v="182"/>
    <x v="173"/>
    <x v="7"/>
    <x v="3"/>
    <x v="2"/>
    <x v="4"/>
    <x v="1"/>
    <x v="0"/>
    <x v="4"/>
    <x v="35"/>
    <x v="1"/>
    <x v="0"/>
    <x v="0"/>
    <x v="0"/>
  </r>
  <r>
    <x v="1299"/>
    <x v="182"/>
    <x v="332"/>
    <x v="7"/>
    <x v="3"/>
    <x v="2"/>
    <x v="0"/>
    <x v="0"/>
    <x v="2"/>
    <x v="0"/>
    <x v="7"/>
    <x v="0"/>
    <x v="0"/>
    <x v="0"/>
    <x v="0"/>
  </r>
  <r>
    <x v="1300"/>
    <x v="182"/>
    <x v="502"/>
    <x v="7"/>
    <x v="3"/>
    <x v="0"/>
    <x v="4"/>
    <x v="1"/>
    <x v="2"/>
    <x v="4"/>
    <x v="15"/>
    <x v="1"/>
    <x v="0"/>
    <x v="0"/>
    <x v="0"/>
  </r>
  <r>
    <x v="1301"/>
    <x v="182"/>
    <x v="510"/>
    <x v="11"/>
    <x v="3"/>
    <x v="0"/>
    <x v="14"/>
    <x v="3"/>
    <x v="2"/>
    <x v="14"/>
    <x v="58"/>
    <x v="0"/>
    <x v="1"/>
    <x v="3"/>
    <x v="2"/>
  </r>
  <r>
    <x v="1302"/>
    <x v="182"/>
    <x v="544"/>
    <x v="8"/>
    <x v="3"/>
    <x v="2"/>
    <x v="5"/>
    <x v="1"/>
    <x v="0"/>
    <x v="5"/>
    <x v="47"/>
    <x v="1"/>
    <x v="1"/>
    <x v="0"/>
    <x v="1"/>
  </r>
  <r>
    <x v="1303"/>
    <x v="182"/>
    <x v="299"/>
    <x v="8"/>
    <x v="3"/>
    <x v="2"/>
    <x v="3"/>
    <x v="3"/>
    <x v="2"/>
    <x v="3"/>
    <x v="3"/>
    <x v="1"/>
    <x v="0"/>
    <x v="0"/>
    <x v="2"/>
  </r>
  <r>
    <x v="1304"/>
    <x v="182"/>
    <x v="475"/>
    <x v="5"/>
    <x v="3"/>
    <x v="1"/>
    <x v="14"/>
    <x v="3"/>
    <x v="2"/>
    <x v="14"/>
    <x v="58"/>
    <x v="1"/>
    <x v="1"/>
    <x v="3"/>
    <x v="2"/>
  </r>
  <r>
    <x v="1305"/>
    <x v="182"/>
    <x v="123"/>
    <x v="3"/>
    <x v="3"/>
    <x v="1"/>
    <x v="4"/>
    <x v="1"/>
    <x v="2"/>
    <x v="4"/>
    <x v="15"/>
    <x v="0"/>
    <x v="0"/>
    <x v="0"/>
    <x v="4"/>
  </r>
  <r>
    <x v="1306"/>
    <x v="182"/>
    <x v="177"/>
    <x v="3"/>
    <x v="3"/>
    <x v="1"/>
    <x v="2"/>
    <x v="2"/>
    <x v="0"/>
    <x v="2"/>
    <x v="10"/>
    <x v="0"/>
    <x v="0"/>
    <x v="0"/>
    <x v="1"/>
  </r>
  <r>
    <x v="1307"/>
    <x v="182"/>
    <x v="179"/>
    <x v="3"/>
    <x v="3"/>
    <x v="1"/>
    <x v="5"/>
    <x v="1"/>
    <x v="2"/>
    <x v="5"/>
    <x v="5"/>
    <x v="0"/>
    <x v="0"/>
    <x v="0"/>
    <x v="4"/>
  </r>
  <r>
    <x v="1308"/>
    <x v="182"/>
    <x v="297"/>
    <x v="2"/>
    <x v="3"/>
    <x v="2"/>
    <x v="7"/>
    <x v="2"/>
    <x v="1"/>
    <x v="7"/>
    <x v="8"/>
    <x v="0"/>
    <x v="0"/>
    <x v="0"/>
    <x v="2"/>
  </r>
  <r>
    <x v="1309"/>
    <x v="182"/>
    <x v="506"/>
    <x v="4"/>
    <x v="3"/>
    <x v="0"/>
    <x v="1"/>
    <x v="1"/>
    <x v="2"/>
    <x v="1"/>
    <x v="8"/>
    <x v="1"/>
    <x v="0"/>
    <x v="1"/>
    <x v="2"/>
  </r>
  <r>
    <x v="1310"/>
    <x v="182"/>
    <x v="545"/>
    <x v="4"/>
    <x v="3"/>
    <x v="0"/>
    <x v="2"/>
    <x v="2"/>
    <x v="0"/>
    <x v="2"/>
    <x v="10"/>
    <x v="0"/>
    <x v="0"/>
    <x v="0"/>
    <x v="2"/>
  </r>
  <r>
    <x v="1311"/>
    <x v="182"/>
    <x v="152"/>
    <x v="4"/>
    <x v="3"/>
    <x v="1"/>
    <x v="13"/>
    <x v="0"/>
    <x v="2"/>
    <x v="2"/>
    <x v="2"/>
    <x v="0"/>
    <x v="0"/>
    <x v="0"/>
    <x v="0"/>
  </r>
  <r>
    <x v="1312"/>
    <x v="183"/>
    <x v="255"/>
    <x v="7"/>
    <x v="4"/>
    <x v="1"/>
    <x v="7"/>
    <x v="2"/>
    <x v="2"/>
    <x v="7"/>
    <x v="25"/>
    <x v="0"/>
    <x v="1"/>
    <x v="0"/>
    <x v="1"/>
  </r>
  <r>
    <x v="1313"/>
    <x v="183"/>
    <x v="347"/>
    <x v="12"/>
    <x v="4"/>
    <x v="1"/>
    <x v="2"/>
    <x v="2"/>
    <x v="2"/>
    <x v="17"/>
    <x v="83"/>
    <x v="1"/>
    <x v="1"/>
    <x v="0"/>
    <x v="4"/>
  </r>
  <r>
    <x v="1314"/>
    <x v="183"/>
    <x v="546"/>
    <x v="6"/>
    <x v="4"/>
    <x v="2"/>
    <x v="14"/>
    <x v="3"/>
    <x v="2"/>
    <x v="14"/>
    <x v="25"/>
    <x v="1"/>
    <x v="0"/>
    <x v="4"/>
    <x v="4"/>
  </r>
  <r>
    <x v="1315"/>
    <x v="183"/>
    <x v="362"/>
    <x v="8"/>
    <x v="4"/>
    <x v="2"/>
    <x v="9"/>
    <x v="3"/>
    <x v="2"/>
    <x v="7"/>
    <x v="9"/>
    <x v="0"/>
    <x v="0"/>
    <x v="0"/>
    <x v="2"/>
  </r>
  <r>
    <x v="1316"/>
    <x v="183"/>
    <x v="1"/>
    <x v="1"/>
    <x v="4"/>
    <x v="1"/>
    <x v="6"/>
    <x v="0"/>
    <x v="2"/>
    <x v="6"/>
    <x v="6"/>
    <x v="0"/>
    <x v="0"/>
    <x v="0"/>
    <x v="0"/>
  </r>
  <r>
    <x v="1317"/>
    <x v="183"/>
    <x v="61"/>
    <x v="1"/>
    <x v="4"/>
    <x v="1"/>
    <x v="3"/>
    <x v="3"/>
    <x v="2"/>
    <x v="3"/>
    <x v="44"/>
    <x v="0"/>
    <x v="2"/>
    <x v="0"/>
    <x v="2"/>
  </r>
  <r>
    <x v="1318"/>
    <x v="183"/>
    <x v="389"/>
    <x v="3"/>
    <x v="4"/>
    <x v="0"/>
    <x v="10"/>
    <x v="4"/>
    <x v="0"/>
    <x v="10"/>
    <x v="32"/>
    <x v="0"/>
    <x v="0"/>
    <x v="1"/>
    <x v="3"/>
  </r>
  <r>
    <x v="1319"/>
    <x v="183"/>
    <x v="71"/>
    <x v="3"/>
    <x v="4"/>
    <x v="1"/>
    <x v="1"/>
    <x v="1"/>
    <x v="2"/>
    <x v="1"/>
    <x v="8"/>
    <x v="1"/>
    <x v="0"/>
    <x v="0"/>
    <x v="0"/>
  </r>
  <r>
    <x v="1320"/>
    <x v="183"/>
    <x v="547"/>
    <x v="3"/>
    <x v="4"/>
    <x v="1"/>
    <x v="1"/>
    <x v="1"/>
    <x v="2"/>
    <x v="1"/>
    <x v="8"/>
    <x v="1"/>
    <x v="0"/>
    <x v="0"/>
    <x v="2"/>
  </r>
  <r>
    <x v="1321"/>
    <x v="183"/>
    <x v="417"/>
    <x v="3"/>
    <x v="4"/>
    <x v="0"/>
    <x v="8"/>
    <x v="2"/>
    <x v="2"/>
    <x v="8"/>
    <x v="10"/>
    <x v="1"/>
    <x v="0"/>
    <x v="0"/>
    <x v="1"/>
  </r>
  <r>
    <x v="1322"/>
    <x v="183"/>
    <x v="48"/>
    <x v="2"/>
    <x v="4"/>
    <x v="1"/>
    <x v="8"/>
    <x v="2"/>
    <x v="2"/>
    <x v="8"/>
    <x v="10"/>
    <x v="0"/>
    <x v="0"/>
    <x v="0"/>
    <x v="2"/>
  </r>
  <r>
    <x v="1323"/>
    <x v="183"/>
    <x v="125"/>
    <x v="2"/>
    <x v="4"/>
    <x v="1"/>
    <x v="5"/>
    <x v="1"/>
    <x v="2"/>
    <x v="5"/>
    <x v="5"/>
    <x v="1"/>
    <x v="0"/>
    <x v="2"/>
    <x v="1"/>
  </r>
  <r>
    <x v="1324"/>
    <x v="183"/>
    <x v="459"/>
    <x v="2"/>
    <x v="4"/>
    <x v="1"/>
    <x v="5"/>
    <x v="1"/>
    <x v="2"/>
    <x v="5"/>
    <x v="71"/>
    <x v="1"/>
    <x v="1"/>
    <x v="0"/>
    <x v="0"/>
  </r>
  <r>
    <x v="1325"/>
    <x v="183"/>
    <x v="5"/>
    <x v="2"/>
    <x v="4"/>
    <x v="0"/>
    <x v="8"/>
    <x v="2"/>
    <x v="2"/>
    <x v="8"/>
    <x v="36"/>
    <x v="0"/>
    <x v="1"/>
    <x v="0"/>
    <x v="2"/>
  </r>
  <r>
    <x v="1326"/>
    <x v="183"/>
    <x v="5"/>
    <x v="2"/>
    <x v="4"/>
    <x v="1"/>
    <x v="8"/>
    <x v="2"/>
    <x v="0"/>
    <x v="8"/>
    <x v="21"/>
    <x v="1"/>
    <x v="0"/>
    <x v="0"/>
    <x v="0"/>
  </r>
  <r>
    <x v="1327"/>
    <x v="183"/>
    <x v="76"/>
    <x v="4"/>
    <x v="4"/>
    <x v="1"/>
    <x v="5"/>
    <x v="1"/>
    <x v="0"/>
    <x v="5"/>
    <x v="17"/>
    <x v="0"/>
    <x v="0"/>
    <x v="3"/>
    <x v="1"/>
  </r>
  <r>
    <x v="1328"/>
    <x v="184"/>
    <x v="377"/>
    <x v="10"/>
    <x v="5"/>
    <x v="0"/>
    <x v="7"/>
    <x v="2"/>
    <x v="1"/>
    <x v="7"/>
    <x v="8"/>
    <x v="1"/>
    <x v="0"/>
    <x v="1"/>
    <x v="0"/>
  </r>
  <r>
    <x v="1329"/>
    <x v="184"/>
    <x v="548"/>
    <x v="7"/>
    <x v="5"/>
    <x v="1"/>
    <x v="11"/>
    <x v="1"/>
    <x v="1"/>
    <x v="11"/>
    <x v="19"/>
    <x v="0"/>
    <x v="0"/>
    <x v="2"/>
    <x v="1"/>
  </r>
  <r>
    <x v="1330"/>
    <x v="184"/>
    <x v="120"/>
    <x v="5"/>
    <x v="5"/>
    <x v="1"/>
    <x v="0"/>
    <x v="0"/>
    <x v="1"/>
    <x v="0"/>
    <x v="2"/>
    <x v="0"/>
    <x v="0"/>
    <x v="2"/>
    <x v="3"/>
  </r>
  <r>
    <x v="1331"/>
    <x v="184"/>
    <x v="195"/>
    <x v="5"/>
    <x v="5"/>
    <x v="1"/>
    <x v="4"/>
    <x v="1"/>
    <x v="2"/>
    <x v="4"/>
    <x v="15"/>
    <x v="0"/>
    <x v="0"/>
    <x v="0"/>
    <x v="2"/>
  </r>
  <r>
    <x v="1332"/>
    <x v="184"/>
    <x v="158"/>
    <x v="1"/>
    <x v="5"/>
    <x v="0"/>
    <x v="0"/>
    <x v="0"/>
    <x v="0"/>
    <x v="0"/>
    <x v="0"/>
    <x v="0"/>
    <x v="0"/>
    <x v="2"/>
    <x v="4"/>
  </r>
  <r>
    <x v="1333"/>
    <x v="184"/>
    <x v="159"/>
    <x v="3"/>
    <x v="5"/>
    <x v="2"/>
    <x v="4"/>
    <x v="1"/>
    <x v="2"/>
    <x v="4"/>
    <x v="15"/>
    <x v="0"/>
    <x v="0"/>
    <x v="2"/>
    <x v="2"/>
  </r>
  <r>
    <x v="1334"/>
    <x v="184"/>
    <x v="47"/>
    <x v="3"/>
    <x v="5"/>
    <x v="0"/>
    <x v="6"/>
    <x v="0"/>
    <x v="2"/>
    <x v="6"/>
    <x v="60"/>
    <x v="1"/>
    <x v="3"/>
    <x v="0"/>
    <x v="4"/>
  </r>
  <r>
    <x v="1335"/>
    <x v="184"/>
    <x v="58"/>
    <x v="2"/>
    <x v="5"/>
    <x v="1"/>
    <x v="7"/>
    <x v="2"/>
    <x v="2"/>
    <x v="7"/>
    <x v="9"/>
    <x v="1"/>
    <x v="0"/>
    <x v="0"/>
    <x v="2"/>
  </r>
  <r>
    <x v="1336"/>
    <x v="185"/>
    <x v="549"/>
    <x v="10"/>
    <x v="6"/>
    <x v="0"/>
    <x v="6"/>
    <x v="0"/>
    <x v="0"/>
    <x v="6"/>
    <x v="2"/>
    <x v="0"/>
    <x v="0"/>
    <x v="0"/>
    <x v="4"/>
  </r>
  <r>
    <x v="1337"/>
    <x v="185"/>
    <x v="469"/>
    <x v="0"/>
    <x v="6"/>
    <x v="0"/>
    <x v="8"/>
    <x v="2"/>
    <x v="2"/>
    <x v="8"/>
    <x v="10"/>
    <x v="0"/>
    <x v="0"/>
    <x v="0"/>
    <x v="3"/>
  </r>
  <r>
    <x v="1338"/>
    <x v="185"/>
    <x v="59"/>
    <x v="8"/>
    <x v="6"/>
    <x v="1"/>
    <x v="5"/>
    <x v="1"/>
    <x v="1"/>
    <x v="5"/>
    <x v="28"/>
    <x v="1"/>
    <x v="0"/>
    <x v="0"/>
    <x v="0"/>
  </r>
  <r>
    <x v="1339"/>
    <x v="185"/>
    <x v="175"/>
    <x v="5"/>
    <x v="6"/>
    <x v="1"/>
    <x v="4"/>
    <x v="1"/>
    <x v="2"/>
    <x v="4"/>
    <x v="15"/>
    <x v="1"/>
    <x v="0"/>
    <x v="1"/>
    <x v="4"/>
  </r>
  <r>
    <x v="1340"/>
    <x v="185"/>
    <x v="276"/>
    <x v="1"/>
    <x v="6"/>
    <x v="2"/>
    <x v="6"/>
    <x v="0"/>
    <x v="2"/>
    <x v="6"/>
    <x v="6"/>
    <x v="0"/>
    <x v="0"/>
    <x v="1"/>
    <x v="1"/>
  </r>
  <r>
    <x v="1341"/>
    <x v="185"/>
    <x v="66"/>
    <x v="1"/>
    <x v="6"/>
    <x v="0"/>
    <x v="0"/>
    <x v="0"/>
    <x v="2"/>
    <x v="0"/>
    <x v="7"/>
    <x v="1"/>
    <x v="0"/>
    <x v="0"/>
    <x v="2"/>
  </r>
  <r>
    <x v="1342"/>
    <x v="185"/>
    <x v="258"/>
    <x v="1"/>
    <x v="6"/>
    <x v="2"/>
    <x v="6"/>
    <x v="0"/>
    <x v="2"/>
    <x v="6"/>
    <x v="6"/>
    <x v="1"/>
    <x v="0"/>
    <x v="0"/>
    <x v="2"/>
  </r>
  <r>
    <x v="1343"/>
    <x v="185"/>
    <x v="259"/>
    <x v="1"/>
    <x v="6"/>
    <x v="2"/>
    <x v="7"/>
    <x v="2"/>
    <x v="2"/>
    <x v="7"/>
    <x v="9"/>
    <x v="0"/>
    <x v="0"/>
    <x v="3"/>
    <x v="1"/>
  </r>
  <r>
    <x v="1344"/>
    <x v="185"/>
    <x v="482"/>
    <x v="1"/>
    <x v="6"/>
    <x v="2"/>
    <x v="6"/>
    <x v="0"/>
    <x v="2"/>
    <x v="6"/>
    <x v="6"/>
    <x v="0"/>
    <x v="0"/>
    <x v="0"/>
    <x v="0"/>
  </r>
  <r>
    <x v="1345"/>
    <x v="185"/>
    <x v="71"/>
    <x v="3"/>
    <x v="6"/>
    <x v="0"/>
    <x v="11"/>
    <x v="1"/>
    <x v="0"/>
    <x v="11"/>
    <x v="39"/>
    <x v="1"/>
    <x v="0"/>
    <x v="1"/>
    <x v="4"/>
  </r>
  <r>
    <x v="1346"/>
    <x v="185"/>
    <x v="249"/>
    <x v="3"/>
    <x v="6"/>
    <x v="0"/>
    <x v="6"/>
    <x v="0"/>
    <x v="0"/>
    <x v="6"/>
    <x v="2"/>
    <x v="0"/>
    <x v="0"/>
    <x v="0"/>
    <x v="0"/>
  </r>
  <r>
    <x v="1347"/>
    <x v="185"/>
    <x v="32"/>
    <x v="2"/>
    <x v="6"/>
    <x v="1"/>
    <x v="5"/>
    <x v="1"/>
    <x v="2"/>
    <x v="5"/>
    <x v="5"/>
    <x v="1"/>
    <x v="0"/>
    <x v="2"/>
    <x v="2"/>
  </r>
  <r>
    <x v="1348"/>
    <x v="185"/>
    <x v="380"/>
    <x v="2"/>
    <x v="6"/>
    <x v="0"/>
    <x v="8"/>
    <x v="2"/>
    <x v="1"/>
    <x v="8"/>
    <x v="5"/>
    <x v="1"/>
    <x v="0"/>
    <x v="0"/>
    <x v="4"/>
  </r>
  <r>
    <x v="1349"/>
    <x v="186"/>
    <x v="166"/>
    <x v="10"/>
    <x v="0"/>
    <x v="0"/>
    <x v="6"/>
    <x v="0"/>
    <x v="2"/>
    <x v="6"/>
    <x v="6"/>
    <x v="1"/>
    <x v="0"/>
    <x v="0"/>
    <x v="4"/>
  </r>
  <r>
    <x v="1350"/>
    <x v="186"/>
    <x v="408"/>
    <x v="5"/>
    <x v="0"/>
    <x v="2"/>
    <x v="8"/>
    <x v="2"/>
    <x v="2"/>
    <x v="8"/>
    <x v="10"/>
    <x v="1"/>
    <x v="0"/>
    <x v="0"/>
    <x v="2"/>
  </r>
  <r>
    <x v="1351"/>
    <x v="186"/>
    <x v="13"/>
    <x v="1"/>
    <x v="0"/>
    <x v="1"/>
    <x v="14"/>
    <x v="3"/>
    <x v="2"/>
    <x v="14"/>
    <x v="25"/>
    <x v="0"/>
    <x v="0"/>
    <x v="3"/>
    <x v="4"/>
  </r>
  <r>
    <x v="1352"/>
    <x v="186"/>
    <x v="171"/>
    <x v="1"/>
    <x v="0"/>
    <x v="0"/>
    <x v="7"/>
    <x v="2"/>
    <x v="2"/>
    <x v="7"/>
    <x v="9"/>
    <x v="1"/>
    <x v="0"/>
    <x v="0"/>
    <x v="0"/>
  </r>
  <r>
    <x v="1353"/>
    <x v="186"/>
    <x v="277"/>
    <x v="3"/>
    <x v="0"/>
    <x v="0"/>
    <x v="4"/>
    <x v="1"/>
    <x v="0"/>
    <x v="4"/>
    <x v="35"/>
    <x v="0"/>
    <x v="0"/>
    <x v="0"/>
    <x v="4"/>
  </r>
  <r>
    <x v="1354"/>
    <x v="187"/>
    <x v="550"/>
    <x v="9"/>
    <x v="1"/>
    <x v="0"/>
    <x v="1"/>
    <x v="1"/>
    <x v="2"/>
    <x v="1"/>
    <x v="8"/>
    <x v="1"/>
    <x v="0"/>
    <x v="0"/>
    <x v="0"/>
  </r>
  <r>
    <x v="1355"/>
    <x v="187"/>
    <x v="456"/>
    <x v="0"/>
    <x v="1"/>
    <x v="0"/>
    <x v="2"/>
    <x v="2"/>
    <x v="0"/>
    <x v="2"/>
    <x v="10"/>
    <x v="1"/>
    <x v="0"/>
    <x v="2"/>
    <x v="1"/>
  </r>
  <r>
    <x v="1356"/>
    <x v="187"/>
    <x v="282"/>
    <x v="1"/>
    <x v="1"/>
    <x v="0"/>
    <x v="6"/>
    <x v="0"/>
    <x v="2"/>
    <x v="6"/>
    <x v="6"/>
    <x v="0"/>
    <x v="0"/>
    <x v="3"/>
    <x v="1"/>
  </r>
  <r>
    <x v="1357"/>
    <x v="187"/>
    <x v="8"/>
    <x v="1"/>
    <x v="1"/>
    <x v="0"/>
    <x v="6"/>
    <x v="0"/>
    <x v="0"/>
    <x v="6"/>
    <x v="2"/>
    <x v="0"/>
    <x v="0"/>
    <x v="3"/>
    <x v="2"/>
  </r>
  <r>
    <x v="1358"/>
    <x v="187"/>
    <x v="171"/>
    <x v="1"/>
    <x v="1"/>
    <x v="0"/>
    <x v="5"/>
    <x v="1"/>
    <x v="2"/>
    <x v="5"/>
    <x v="5"/>
    <x v="0"/>
    <x v="0"/>
    <x v="2"/>
    <x v="2"/>
  </r>
  <r>
    <x v="1359"/>
    <x v="187"/>
    <x v="179"/>
    <x v="3"/>
    <x v="1"/>
    <x v="0"/>
    <x v="6"/>
    <x v="0"/>
    <x v="2"/>
    <x v="6"/>
    <x v="6"/>
    <x v="1"/>
    <x v="0"/>
    <x v="0"/>
    <x v="0"/>
  </r>
  <r>
    <x v="1360"/>
    <x v="187"/>
    <x v="31"/>
    <x v="3"/>
    <x v="1"/>
    <x v="1"/>
    <x v="10"/>
    <x v="4"/>
    <x v="0"/>
    <x v="10"/>
    <x v="32"/>
    <x v="1"/>
    <x v="0"/>
    <x v="0"/>
    <x v="3"/>
  </r>
  <r>
    <x v="1361"/>
    <x v="187"/>
    <x v="125"/>
    <x v="2"/>
    <x v="1"/>
    <x v="2"/>
    <x v="6"/>
    <x v="0"/>
    <x v="2"/>
    <x v="6"/>
    <x v="6"/>
    <x v="0"/>
    <x v="0"/>
    <x v="0"/>
    <x v="4"/>
  </r>
  <r>
    <x v="1362"/>
    <x v="188"/>
    <x v="333"/>
    <x v="3"/>
    <x v="2"/>
    <x v="0"/>
    <x v="1"/>
    <x v="1"/>
    <x v="2"/>
    <x v="1"/>
    <x v="76"/>
    <x v="0"/>
    <x v="3"/>
    <x v="1"/>
    <x v="4"/>
  </r>
  <r>
    <x v="1363"/>
    <x v="189"/>
    <x v="551"/>
    <x v="10"/>
    <x v="3"/>
    <x v="1"/>
    <x v="6"/>
    <x v="0"/>
    <x v="0"/>
    <x v="6"/>
    <x v="2"/>
    <x v="1"/>
    <x v="0"/>
    <x v="2"/>
    <x v="2"/>
  </r>
  <r>
    <x v="1364"/>
    <x v="189"/>
    <x v="104"/>
    <x v="10"/>
    <x v="3"/>
    <x v="1"/>
    <x v="1"/>
    <x v="1"/>
    <x v="0"/>
    <x v="1"/>
    <x v="16"/>
    <x v="1"/>
    <x v="0"/>
    <x v="3"/>
    <x v="1"/>
  </r>
  <r>
    <x v="1365"/>
    <x v="189"/>
    <x v="552"/>
    <x v="7"/>
    <x v="3"/>
    <x v="1"/>
    <x v="13"/>
    <x v="0"/>
    <x v="2"/>
    <x v="2"/>
    <x v="2"/>
    <x v="1"/>
    <x v="0"/>
    <x v="0"/>
    <x v="1"/>
  </r>
  <r>
    <x v="1366"/>
    <x v="189"/>
    <x v="553"/>
    <x v="11"/>
    <x v="3"/>
    <x v="1"/>
    <x v="6"/>
    <x v="0"/>
    <x v="2"/>
    <x v="6"/>
    <x v="6"/>
    <x v="0"/>
    <x v="0"/>
    <x v="2"/>
    <x v="1"/>
  </r>
  <r>
    <x v="1367"/>
    <x v="189"/>
    <x v="226"/>
    <x v="5"/>
    <x v="3"/>
    <x v="1"/>
    <x v="4"/>
    <x v="1"/>
    <x v="2"/>
    <x v="4"/>
    <x v="15"/>
    <x v="0"/>
    <x v="0"/>
    <x v="0"/>
    <x v="3"/>
  </r>
  <r>
    <x v="1368"/>
    <x v="189"/>
    <x v="428"/>
    <x v="1"/>
    <x v="3"/>
    <x v="1"/>
    <x v="2"/>
    <x v="2"/>
    <x v="2"/>
    <x v="2"/>
    <x v="2"/>
    <x v="0"/>
    <x v="0"/>
    <x v="0"/>
    <x v="2"/>
  </r>
  <r>
    <x v="1369"/>
    <x v="189"/>
    <x v="67"/>
    <x v="3"/>
    <x v="3"/>
    <x v="1"/>
    <x v="8"/>
    <x v="2"/>
    <x v="2"/>
    <x v="8"/>
    <x v="10"/>
    <x v="0"/>
    <x v="0"/>
    <x v="2"/>
    <x v="4"/>
  </r>
  <r>
    <x v="1370"/>
    <x v="189"/>
    <x v="440"/>
    <x v="2"/>
    <x v="3"/>
    <x v="1"/>
    <x v="5"/>
    <x v="1"/>
    <x v="2"/>
    <x v="5"/>
    <x v="5"/>
    <x v="0"/>
    <x v="0"/>
    <x v="2"/>
    <x v="4"/>
  </r>
  <r>
    <x v="1371"/>
    <x v="189"/>
    <x v="513"/>
    <x v="2"/>
    <x v="3"/>
    <x v="0"/>
    <x v="0"/>
    <x v="0"/>
    <x v="2"/>
    <x v="0"/>
    <x v="7"/>
    <x v="0"/>
    <x v="0"/>
    <x v="0"/>
    <x v="2"/>
  </r>
  <r>
    <x v="1372"/>
    <x v="190"/>
    <x v="554"/>
    <x v="12"/>
    <x v="4"/>
    <x v="2"/>
    <x v="2"/>
    <x v="2"/>
    <x v="2"/>
    <x v="2"/>
    <x v="2"/>
    <x v="0"/>
    <x v="0"/>
    <x v="0"/>
    <x v="1"/>
  </r>
  <r>
    <x v="1373"/>
    <x v="190"/>
    <x v="555"/>
    <x v="8"/>
    <x v="4"/>
    <x v="0"/>
    <x v="5"/>
    <x v="1"/>
    <x v="2"/>
    <x v="5"/>
    <x v="5"/>
    <x v="1"/>
    <x v="0"/>
    <x v="0"/>
    <x v="3"/>
  </r>
  <r>
    <x v="1374"/>
    <x v="190"/>
    <x v="556"/>
    <x v="8"/>
    <x v="4"/>
    <x v="2"/>
    <x v="9"/>
    <x v="3"/>
    <x v="0"/>
    <x v="7"/>
    <x v="12"/>
    <x v="1"/>
    <x v="0"/>
    <x v="0"/>
    <x v="3"/>
  </r>
  <r>
    <x v="1375"/>
    <x v="190"/>
    <x v="44"/>
    <x v="5"/>
    <x v="4"/>
    <x v="1"/>
    <x v="0"/>
    <x v="0"/>
    <x v="2"/>
    <x v="0"/>
    <x v="7"/>
    <x v="0"/>
    <x v="0"/>
    <x v="0"/>
    <x v="1"/>
  </r>
  <r>
    <x v="1376"/>
    <x v="190"/>
    <x v="107"/>
    <x v="3"/>
    <x v="4"/>
    <x v="1"/>
    <x v="7"/>
    <x v="2"/>
    <x v="0"/>
    <x v="7"/>
    <x v="12"/>
    <x v="0"/>
    <x v="0"/>
    <x v="2"/>
    <x v="3"/>
  </r>
  <r>
    <x v="1377"/>
    <x v="190"/>
    <x v="95"/>
    <x v="3"/>
    <x v="4"/>
    <x v="0"/>
    <x v="1"/>
    <x v="1"/>
    <x v="2"/>
    <x v="1"/>
    <x v="8"/>
    <x v="0"/>
    <x v="0"/>
    <x v="2"/>
    <x v="4"/>
  </r>
  <r>
    <x v="1378"/>
    <x v="190"/>
    <x v="238"/>
    <x v="3"/>
    <x v="4"/>
    <x v="1"/>
    <x v="1"/>
    <x v="1"/>
    <x v="2"/>
    <x v="1"/>
    <x v="8"/>
    <x v="0"/>
    <x v="0"/>
    <x v="0"/>
    <x v="3"/>
  </r>
  <r>
    <x v="1379"/>
    <x v="190"/>
    <x v="76"/>
    <x v="4"/>
    <x v="4"/>
    <x v="1"/>
    <x v="10"/>
    <x v="4"/>
    <x v="2"/>
    <x v="10"/>
    <x v="13"/>
    <x v="0"/>
    <x v="0"/>
    <x v="1"/>
    <x v="4"/>
  </r>
  <r>
    <x v="1380"/>
    <x v="191"/>
    <x v="557"/>
    <x v="7"/>
    <x v="5"/>
    <x v="2"/>
    <x v="8"/>
    <x v="2"/>
    <x v="2"/>
    <x v="8"/>
    <x v="10"/>
    <x v="1"/>
    <x v="0"/>
    <x v="0"/>
    <x v="3"/>
  </r>
  <r>
    <x v="1381"/>
    <x v="191"/>
    <x v="498"/>
    <x v="0"/>
    <x v="5"/>
    <x v="2"/>
    <x v="3"/>
    <x v="3"/>
    <x v="0"/>
    <x v="3"/>
    <x v="14"/>
    <x v="0"/>
    <x v="0"/>
    <x v="2"/>
    <x v="0"/>
  </r>
  <r>
    <x v="1382"/>
    <x v="191"/>
    <x v="0"/>
    <x v="0"/>
    <x v="5"/>
    <x v="2"/>
    <x v="0"/>
    <x v="0"/>
    <x v="2"/>
    <x v="0"/>
    <x v="7"/>
    <x v="0"/>
    <x v="0"/>
    <x v="0"/>
    <x v="1"/>
  </r>
  <r>
    <x v="1383"/>
    <x v="191"/>
    <x v="558"/>
    <x v="8"/>
    <x v="5"/>
    <x v="1"/>
    <x v="8"/>
    <x v="2"/>
    <x v="2"/>
    <x v="8"/>
    <x v="10"/>
    <x v="1"/>
    <x v="0"/>
    <x v="0"/>
    <x v="0"/>
  </r>
  <r>
    <x v="1384"/>
    <x v="191"/>
    <x v="387"/>
    <x v="8"/>
    <x v="5"/>
    <x v="0"/>
    <x v="6"/>
    <x v="0"/>
    <x v="2"/>
    <x v="6"/>
    <x v="6"/>
    <x v="0"/>
    <x v="0"/>
    <x v="0"/>
    <x v="0"/>
  </r>
  <r>
    <x v="1385"/>
    <x v="191"/>
    <x v="177"/>
    <x v="3"/>
    <x v="5"/>
    <x v="1"/>
    <x v="5"/>
    <x v="1"/>
    <x v="0"/>
    <x v="5"/>
    <x v="17"/>
    <x v="1"/>
    <x v="0"/>
    <x v="0"/>
    <x v="3"/>
  </r>
  <r>
    <x v="1386"/>
    <x v="191"/>
    <x v="213"/>
    <x v="2"/>
    <x v="5"/>
    <x v="1"/>
    <x v="4"/>
    <x v="1"/>
    <x v="1"/>
    <x v="4"/>
    <x v="82"/>
    <x v="0"/>
    <x v="0"/>
    <x v="2"/>
    <x v="4"/>
  </r>
  <r>
    <x v="1387"/>
    <x v="191"/>
    <x v="359"/>
    <x v="2"/>
    <x v="5"/>
    <x v="1"/>
    <x v="11"/>
    <x v="1"/>
    <x v="2"/>
    <x v="11"/>
    <x v="24"/>
    <x v="1"/>
    <x v="0"/>
    <x v="1"/>
    <x v="1"/>
  </r>
  <r>
    <x v="1388"/>
    <x v="192"/>
    <x v="559"/>
    <x v="7"/>
    <x v="6"/>
    <x v="0"/>
    <x v="7"/>
    <x v="2"/>
    <x v="2"/>
    <x v="7"/>
    <x v="25"/>
    <x v="1"/>
    <x v="1"/>
    <x v="0"/>
    <x v="1"/>
  </r>
  <r>
    <x v="1389"/>
    <x v="192"/>
    <x v="560"/>
    <x v="11"/>
    <x v="6"/>
    <x v="0"/>
    <x v="1"/>
    <x v="1"/>
    <x v="2"/>
    <x v="1"/>
    <x v="8"/>
    <x v="1"/>
    <x v="0"/>
    <x v="0"/>
    <x v="2"/>
  </r>
  <r>
    <x v="1390"/>
    <x v="192"/>
    <x v="561"/>
    <x v="6"/>
    <x v="6"/>
    <x v="0"/>
    <x v="4"/>
    <x v="1"/>
    <x v="2"/>
    <x v="4"/>
    <x v="15"/>
    <x v="1"/>
    <x v="0"/>
    <x v="0"/>
    <x v="3"/>
  </r>
  <r>
    <x v="1391"/>
    <x v="192"/>
    <x v="226"/>
    <x v="5"/>
    <x v="6"/>
    <x v="0"/>
    <x v="6"/>
    <x v="0"/>
    <x v="2"/>
    <x v="6"/>
    <x v="6"/>
    <x v="0"/>
    <x v="0"/>
    <x v="3"/>
    <x v="3"/>
  </r>
  <r>
    <x v="1392"/>
    <x v="192"/>
    <x v="11"/>
    <x v="5"/>
    <x v="6"/>
    <x v="2"/>
    <x v="11"/>
    <x v="1"/>
    <x v="2"/>
    <x v="11"/>
    <x v="24"/>
    <x v="1"/>
    <x v="0"/>
    <x v="0"/>
    <x v="1"/>
  </r>
  <r>
    <x v="1393"/>
    <x v="192"/>
    <x v="427"/>
    <x v="5"/>
    <x v="6"/>
    <x v="1"/>
    <x v="0"/>
    <x v="0"/>
    <x v="2"/>
    <x v="0"/>
    <x v="38"/>
    <x v="0"/>
    <x v="1"/>
    <x v="0"/>
    <x v="3"/>
  </r>
  <r>
    <x v="1394"/>
    <x v="192"/>
    <x v="6"/>
    <x v="1"/>
    <x v="6"/>
    <x v="1"/>
    <x v="13"/>
    <x v="0"/>
    <x v="2"/>
    <x v="2"/>
    <x v="2"/>
    <x v="1"/>
    <x v="0"/>
    <x v="1"/>
    <x v="0"/>
  </r>
  <r>
    <x v="1395"/>
    <x v="192"/>
    <x v="113"/>
    <x v="1"/>
    <x v="6"/>
    <x v="0"/>
    <x v="0"/>
    <x v="0"/>
    <x v="2"/>
    <x v="0"/>
    <x v="7"/>
    <x v="0"/>
    <x v="0"/>
    <x v="0"/>
    <x v="3"/>
  </r>
  <r>
    <x v="1396"/>
    <x v="192"/>
    <x v="430"/>
    <x v="3"/>
    <x v="6"/>
    <x v="0"/>
    <x v="13"/>
    <x v="0"/>
    <x v="2"/>
    <x v="2"/>
    <x v="2"/>
    <x v="1"/>
    <x v="0"/>
    <x v="0"/>
    <x v="0"/>
  </r>
  <r>
    <x v="1397"/>
    <x v="192"/>
    <x v="124"/>
    <x v="2"/>
    <x v="6"/>
    <x v="1"/>
    <x v="6"/>
    <x v="0"/>
    <x v="0"/>
    <x v="6"/>
    <x v="2"/>
    <x v="1"/>
    <x v="0"/>
    <x v="0"/>
    <x v="2"/>
  </r>
  <r>
    <x v="1398"/>
    <x v="192"/>
    <x v="187"/>
    <x v="2"/>
    <x v="6"/>
    <x v="1"/>
    <x v="6"/>
    <x v="0"/>
    <x v="0"/>
    <x v="6"/>
    <x v="2"/>
    <x v="0"/>
    <x v="0"/>
    <x v="0"/>
    <x v="1"/>
  </r>
  <r>
    <x v="1399"/>
    <x v="192"/>
    <x v="207"/>
    <x v="4"/>
    <x v="6"/>
    <x v="0"/>
    <x v="0"/>
    <x v="0"/>
    <x v="2"/>
    <x v="0"/>
    <x v="7"/>
    <x v="0"/>
    <x v="0"/>
    <x v="0"/>
    <x v="3"/>
  </r>
  <r>
    <x v="1400"/>
    <x v="193"/>
    <x v="516"/>
    <x v="7"/>
    <x v="0"/>
    <x v="2"/>
    <x v="6"/>
    <x v="0"/>
    <x v="2"/>
    <x v="6"/>
    <x v="6"/>
    <x v="1"/>
    <x v="0"/>
    <x v="0"/>
    <x v="4"/>
  </r>
  <r>
    <x v="1401"/>
    <x v="193"/>
    <x v="562"/>
    <x v="0"/>
    <x v="0"/>
    <x v="1"/>
    <x v="7"/>
    <x v="2"/>
    <x v="2"/>
    <x v="7"/>
    <x v="9"/>
    <x v="0"/>
    <x v="0"/>
    <x v="2"/>
    <x v="3"/>
  </r>
  <r>
    <x v="1402"/>
    <x v="193"/>
    <x v="487"/>
    <x v="0"/>
    <x v="0"/>
    <x v="2"/>
    <x v="6"/>
    <x v="0"/>
    <x v="2"/>
    <x v="6"/>
    <x v="6"/>
    <x v="1"/>
    <x v="0"/>
    <x v="0"/>
    <x v="0"/>
  </r>
  <r>
    <x v="1403"/>
    <x v="193"/>
    <x v="563"/>
    <x v="6"/>
    <x v="0"/>
    <x v="2"/>
    <x v="6"/>
    <x v="0"/>
    <x v="2"/>
    <x v="6"/>
    <x v="56"/>
    <x v="1"/>
    <x v="1"/>
    <x v="0"/>
    <x v="4"/>
  </r>
  <r>
    <x v="1404"/>
    <x v="193"/>
    <x v="259"/>
    <x v="1"/>
    <x v="0"/>
    <x v="2"/>
    <x v="6"/>
    <x v="0"/>
    <x v="0"/>
    <x v="6"/>
    <x v="2"/>
    <x v="0"/>
    <x v="0"/>
    <x v="2"/>
    <x v="3"/>
  </r>
  <r>
    <x v="1405"/>
    <x v="193"/>
    <x v="437"/>
    <x v="4"/>
    <x v="0"/>
    <x v="1"/>
    <x v="6"/>
    <x v="0"/>
    <x v="2"/>
    <x v="6"/>
    <x v="6"/>
    <x v="1"/>
    <x v="0"/>
    <x v="0"/>
    <x v="4"/>
  </r>
  <r>
    <x v="1406"/>
    <x v="194"/>
    <x v="564"/>
    <x v="10"/>
    <x v="1"/>
    <x v="2"/>
    <x v="8"/>
    <x v="2"/>
    <x v="2"/>
    <x v="8"/>
    <x v="10"/>
    <x v="1"/>
    <x v="0"/>
    <x v="0"/>
    <x v="2"/>
  </r>
  <r>
    <x v="1407"/>
    <x v="194"/>
    <x v="27"/>
    <x v="5"/>
    <x v="1"/>
    <x v="0"/>
    <x v="1"/>
    <x v="1"/>
    <x v="0"/>
    <x v="1"/>
    <x v="16"/>
    <x v="1"/>
    <x v="0"/>
    <x v="2"/>
    <x v="1"/>
  </r>
  <r>
    <x v="1408"/>
    <x v="194"/>
    <x v="528"/>
    <x v="5"/>
    <x v="1"/>
    <x v="1"/>
    <x v="4"/>
    <x v="1"/>
    <x v="2"/>
    <x v="4"/>
    <x v="15"/>
    <x v="1"/>
    <x v="0"/>
    <x v="0"/>
    <x v="0"/>
  </r>
  <r>
    <x v="1409"/>
    <x v="194"/>
    <x v="208"/>
    <x v="5"/>
    <x v="1"/>
    <x v="2"/>
    <x v="11"/>
    <x v="1"/>
    <x v="2"/>
    <x v="11"/>
    <x v="24"/>
    <x v="1"/>
    <x v="0"/>
    <x v="0"/>
    <x v="0"/>
  </r>
  <r>
    <x v="1410"/>
    <x v="194"/>
    <x v="8"/>
    <x v="1"/>
    <x v="1"/>
    <x v="0"/>
    <x v="6"/>
    <x v="0"/>
    <x v="2"/>
    <x v="6"/>
    <x v="6"/>
    <x v="0"/>
    <x v="0"/>
    <x v="0"/>
    <x v="0"/>
  </r>
  <r>
    <x v="1411"/>
    <x v="194"/>
    <x v="476"/>
    <x v="2"/>
    <x v="1"/>
    <x v="0"/>
    <x v="8"/>
    <x v="2"/>
    <x v="2"/>
    <x v="8"/>
    <x v="10"/>
    <x v="0"/>
    <x v="0"/>
    <x v="2"/>
    <x v="1"/>
  </r>
  <r>
    <x v="1412"/>
    <x v="194"/>
    <x v="404"/>
    <x v="2"/>
    <x v="1"/>
    <x v="1"/>
    <x v="5"/>
    <x v="1"/>
    <x v="2"/>
    <x v="5"/>
    <x v="5"/>
    <x v="0"/>
    <x v="0"/>
    <x v="2"/>
    <x v="2"/>
  </r>
  <r>
    <x v="1413"/>
    <x v="195"/>
    <x v="239"/>
    <x v="3"/>
    <x v="5"/>
    <x v="1"/>
    <x v="6"/>
    <x v="0"/>
    <x v="2"/>
    <x v="6"/>
    <x v="6"/>
    <x v="0"/>
    <x v="0"/>
    <x v="0"/>
    <x v="0"/>
  </r>
  <r>
    <x v="1414"/>
    <x v="196"/>
    <x v="196"/>
    <x v="1"/>
    <x v="2"/>
    <x v="2"/>
    <x v="9"/>
    <x v="3"/>
    <x v="0"/>
    <x v="7"/>
    <x v="12"/>
    <x v="0"/>
    <x v="0"/>
    <x v="0"/>
    <x v="3"/>
  </r>
  <r>
    <x v="1415"/>
    <x v="196"/>
    <x v="114"/>
    <x v="1"/>
    <x v="2"/>
    <x v="1"/>
    <x v="0"/>
    <x v="0"/>
    <x v="2"/>
    <x v="0"/>
    <x v="7"/>
    <x v="0"/>
    <x v="0"/>
    <x v="0"/>
    <x v="0"/>
  </r>
  <r>
    <x v="1416"/>
    <x v="197"/>
    <x v="64"/>
    <x v="7"/>
    <x v="3"/>
    <x v="0"/>
    <x v="6"/>
    <x v="0"/>
    <x v="2"/>
    <x v="6"/>
    <x v="6"/>
    <x v="1"/>
    <x v="0"/>
    <x v="3"/>
    <x v="2"/>
  </r>
  <r>
    <x v="1417"/>
    <x v="197"/>
    <x v="154"/>
    <x v="0"/>
    <x v="3"/>
    <x v="2"/>
    <x v="11"/>
    <x v="1"/>
    <x v="2"/>
    <x v="11"/>
    <x v="24"/>
    <x v="1"/>
    <x v="0"/>
    <x v="0"/>
    <x v="4"/>
  </r>
  <r>
    <x v="1418"/>
    <x v="197"/>
    <x v="565"/>
    <x v="12"/>
    <x v="3"/>
    <x v="1"/>
    <x v="14"/>
    <x v="3"/>
    <x v="2"/>
    <x v="14"/>
    <x v="25"/>
    <x v="0"/>
    <x v="0"/>
    <x v="0"/>
    <x v="4"/>
  </r>
  <r>
    <x v="1419"/>
    <x v="197"/>
    <x v="423"/>
    <x v="5"/>
    <x v="3"/>
    <x v="1"/>
    <x v="7"/>
    <x v="2"/>
    <x v="2"/>
    <x v="7"/>
    <x v="9"/>
    <x v="0"/>
    <x v="0"/>
    <x v="0"/>
    <x v="4"/>
  </r>
  <r>
    <x v="1420"/>
    <x v="197"/>
    <x v="566"/>
    <x v="5"/>
    <x v="3"/>
    <x v="1"/>
    <x v="9"/>
    <x v="3"/>
    <x v="2"/>
    <x v="7"/>
    <x v="9"/>
    <x v="0"/>
    <x v="0"/>
    <x v="0"/>
    <x v="0"/>
  </r>
  <r>
    <x v="1421"/>
    <x v="197"/>
    <x v="161"/>
    <x v="3"/>
    <x v="3"/>
    <x v="0"/>
    <x v="14"/>
    <x v="3"/>
    <x v="2"/>
    <x v="14"/>
    <x v="25"/>
    <x v="1"/>
    <x v="0"/>
    <x v="0"/>
    <x v="4"/>
  </r>
  <r>
    <x v="1422"/>
    <x v="197"/>
    <x v="204"/>
    <x v="2"/>
    <x v="3"/>
    <x v="1"/>
    <x v="1"/>
    <x v="1"/>
    <x v="2"/>
    <x v="1"/>
    <x v="8"/>
    <x v="1"/>
    <x v="0"/>
    <x v="2"/>
    <x v="1"/>
  </r>
  <r>
    <x v="1423"/>
    <x v="197"/>
    <x v="436"/>
    <x v="2"/>
    <x v="3"/>
    <x v="1"/>
    <x v="6"/>
    <x v="0"/>
    <x v="2"/>
    <x v="6"/>
    <x v="6"/>
    <x v="1"/>
    <x v="0"/>
    <x v="0"/>
    <x v="4"/>
  </r>
  <r>
    <x v="1424"/>
    <x v="198"/>
    <x v="240"/>
    <x v="10"/>
    <x v="4"/>
    <x v="0"/>
    <x v="11"/>
    <x v="1"/>
    <x v="0"/>
    <x v="11"/>
    <x v="39"/>
    <x v="0"/>
    <x v="0"/>
    <x v="0"/>
    <x v="4"/>
  </r>
  <r>
    <x v="1425"/>
    <x v="198"/>
    <x v="306"/>
    <x v="0"/>
    <x v="4"/>
    <x v="0"/>
    <x v="0"/>
    <x v="0"/>
    <x v="2"/>
    <x v="0"/>
    <x v="7"/>
    <x v="0"/>
    <x v="0"/>
    <x v="0"/>
    <x v="3"/>
  </r>
  <r>
    <x v="1426"/>
    <x v="198"/>
    <x v="183"/>
    <x v="0"/>
    <x v="4"/>
    <x v="0"/>
    <x v="3"/>
    <x v="3"/>
    <x v="2"/>
    <x v="3"/>
    <x v="3"/>
    <x v="0"/>
    <x v="0"/>
    <x v="0"/>
    <x v="3"/>
  </r>
  <r>
    <x v="1427"/>
    <x v="198"/>
    <x v="567"/>
    <x v="11"/>
    <x v="4"/>
    <x v="0"/>
    <x v="13"/>
    <x v="0"/>
    <x v="0"/>
    <x v="2"/>
    <x v="10"/>
    <x v="1"/>
    <x v="0"/>
    <x v="0"/>
    <x v="3"/>
  </r>
  <r>
    <x v="1428"/>
    <x v="198"/>
    <x v="541"/>
    <x v="8"/>
    <x v="4"/>
    <x v="0"/>
    <x v="1"/>
    <x v="1"/>
    <x v="2"/>
    <x v="1"/>
    <x v="8"/>
    <x v="1"/>
    <x v="0"/>
    <x v="2"/>
    <x v="1"/>
  </r>
  <r>
    <x v="1429"/>
    <x v="198"/>
    <x v="13"/>
    <x v="1"/>
    <x v="4"/>
    <x v="1"/>
    <x v="10"/>
    <x v="4"/>
    <x v="2"/>
    <x v="10"/>
    <x v="13"/>
    <x v="0"/>
    <x v="0"/>
    <x v="0"/>
    <x v="2"/>
  </r>
  <r>
    <x v="1430"/>
    <x v="198"/>
    <x v="454"/>
    <x v="2"/>
    <x v="4"/>
    <x v="1"/>
    <x v="11"/>
    <x v="1"/>
    <x v="2"/>
    <x v="11"/>
    <x v="24"/>
    <x v="0"/>
    <x v="0"/>
    <x v="0"/>
    <x v="1"/>
  </r>
  <r>
    <x v="1431"/>
    <x v="195"/>
    <x v="568"/>
    <x v="9"/>
    <x v="5"/>
    <x v="0"/>
    <x v="7"/>
    <x v="2"/>
    <x v="2"/>
    <x v="7"/>
    <x v="9"/>
    <x v="0"/>
    <x v="0"/>
    <x v="1"/>
    <x v="4"/>
  </r>
  <r>
    <x v="1432"/>
    <x v="195"/>
    <x v="569"/>
    <x v="9"/>
    <x v="5"/>
    <x v="2"/>
    <x v="0"/>
    <x v="0"/>
    <x v="0"/>
    <x v="0"/>
    <x v="84"/>
    <x v="1"/>
    <x v="3"/>
    <x v="2"/>
    <x v="2"/>
  </r>
  <r>
    <x v="1433"/>
    <x v="195"/>
    <x v="570"/>
    <x v="10"/>
    <x v="5"/>
    <x v="0"/>
    <x v="7"/>
    <x v="2"/>
    <x v="2"/>
    <x v="7"/>
    <x v="9"/>
    <x v="0"/>
    <x v="0"/>
    <x v="0"/>
    <x v="4"/>
  </r>
  <r>
    <x v="1434"/>
    <x v="195"/>
    <x v="128"/>
    <x v="7"/>
    <x v="5"/>
    <x v="1"/>
    <x v="4"/>
    <x v="1"/>
    <x v="2"/>
    <x v="4"/>
    <x v="15"/>
    <x v="0"/>
    <x v="0"/>
    <x v="0"/>
    <x v="0"/>
  </r>
  <r>
    <x v="1435"/>
    <x v="195"/>
    <x v="473"/>
    <x v="0"/>
    <x v="5"/>
    <x v="0"/>
    <x v="11"/>
    <x v="1"/>
    <x v="2"/>
    <x v="11"/>
    <x v="24"/>
    <x v="1"/>
    <x v="0"/>
    <x v="0"/>
    <x v="1"/>
  </r>
  <r>
    <x v="1436"/>
    <x v="195"/>
    <x v="339"/>
    <x v="12"/>
    <x v="5"/>
    <x v="1"/>
    <x v="6"/>
    <x v="0"/>
    <x v="2"/>
    <x v="6"/>
    <x v="6"/>
    <x v="0"/>
    <x v="0"/>
    <x v="0"/>
    <x v="4"/>
  </r>
  <r>
    <x v="1437"/>
    <x v="195"/>
    <x v="541"/>
    <x v="8"/>
    <x v="5"/>
    <x v="0"/>
    <x v="4"/>
    <x v="1"/>
    <x v="2"/>
    <x v="4"/>
    <x v="15"/>
    <x v="0"/>
    <x v="0"/>
    <x v="2"/>
    <x v="0"/>
  </r>
  <r>
    <x v="1438"/>
    <x v="195"/>
    <x v="571"/>
    <x v="5"/>
    <x v="5"/>
    <x v="1"/>
    <x v="4"/>
    <x v="1"/>
    <x v="2"/>
    <x v="4"/>
    <x v="4"/>
    <x v="1"/>
    <x v="1"/>
    <x v="0"/>
    <x v="1"/>
  </r>
  <r>
    <x v="1439"/>
    <x v="195"/>
    <x v="40"/>
    <x v="5"/>
    <x v="5"/>
    <x v="1"/>
    <x v="2"/>
    <x v="2"/>
    <x v="0"/>
    <x v="2"/>
    <x v="43"/>
    <x v="0"/>
    <x v="3"/>
    <x v="0"/>
    <x v="1"/>
  </r>
  <r>
    <x v="1440"/>
    <x v="195"/>
    <x v="54"/>
    <x v="1"/>
    <x v="5"/>
    <x v="1"/>
    <x v="2"/>
    <x v="2"/>
    <x v="0"/>
    <x v="2"/>
    <x v="10"/>
    <x v="1"/>
    <x v="0"/>
    <x v="0"/>
    <x v="0"/>
  </r>
  <r>
    <x v="1441"/>
    <x v="195"/>
    <x v="141"/>
    <x v="1"/>
    <x v="5"/>
    <x v="0"/>
    <x v="14"/>
    <x v="3"/>
    <x v="2"/>
    <x v="14"/>
    <x v="25"/>
    <x v="1"/>
    <x v="0"/>
    <x v="4"/>
    <x v="3"/>
  </r>
  <r>
    <x v="1442"/>
    <x v="195"/>
    <x v="69"/>
    <x v="1"/>
    <x v="5"/>
    <x v="0"/>
    <x v="2"/>
    <x v="2"/>
    <x v="2"/>
    <x v="2"/>
    <x v="2"/>
    <x v="0"/>
    <x v="0"/>
    <x v="3"/>
    <x v="0"/>
  </r>
  <r>
    <x v="1443"/>
    <x v="195"/>
    <x v="143"/>
    <x v="1"/>
    <x v="5"/>
    <x v="1"/>
    <x v="6"/>
    <x v="0"/>
    <x v="2"/>
    <x v="6"/>
    <x v="6"/>
    <x v="0"/>
    <x v="0"/>
    <x v="3"/>
    <x v="4"/>
  </r>
  <r>
    <x v="1444"/>
    <x v="195"/>
    <x v="169"/>
    <x v="3"/>
    <x v="5"/>
    <x v="1"/>
    <x v="8"/>
    <x v="2"/>
    <x v="2"/>
    <x v="8"/>
    <x v="10"/>
    <x v="0"/>
    <x v="0"/>
    <x v="0"/>
    <x v="2"/>
  </r>
  <r>
    <x v="1445"/>
    <x v="195"/>
    <x v="177"/>
    <x v="3"/>
    <x v="5"/>
    <x v="1"/>
    <x v="8"/>
    <x v="2"/>
    <x v="2"/>
    <x v="8"/>
    <x v="37"/>
    <x v="1"/>
    <x v="2"/>
    <x v="1"/>
    <x v="1"/>
  </r>
  <r>
    <x v="1446"/>
    <x v="196"/>
    <x v="167"/>
    <x v="5"/>
    <x v="2"/>
    <x v="1"/>
    <x v="7"/>
    <x v="2"/>
    <x v="0"/>
    <x v="7"/>
    <x v="12"/>
    <x v="0"/>
    <x v="0"/>
    <x v="0"/>
    <x v="4"/>
  </r>
  <r>
    <x v="1447"/>
    <x v="195"/>
    <x v="170"/>
    <x v="2"/>
    <x v="5"/>
    <x v="1"/>
    <x v="6"/>
    <x v="0"/>
    <x v="0"/>
    <x v="6"/>
    <x v="2"/>
    <x v="0"/>
    <x v="0"/>
    <x v="0"/>
    <x v="2"/>
  </r>
  <r>
    <x v="1448"/>
    <x v="195"/>
    <x v="533"/>
    <x v="2"/>
    <x v="5"/>
    <x v="1"/>
    <x v="2"/>
    <x v="2"/>
    <x v="2"/>
    <x v="2"/>
    <x v="30"/>
    <x v="1"/>
    <x v="1"/>
    <x v="0"/>
    <x v="2"/>
  </r>
  <r>
    <x v="1449"/>
    <x v="195"/>
    <x v="125"/>
    <x v="2"/>
    <x v="5"/>
    <x v="0"/>
    <x v="7"/>
    <x v="2"/>
    <x v="2"/>
    <x v="7"/>
    <x v="9"/>
    <x v="0"/>
    <x v="0"/>
    <x v="0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450">
  <r>
    <x v="0"/>
    <x v="0"/>
    <x v="0"/>
    <x v="0"/>
    <x v="0"/>
    <x v="0"/>
    <x v="0"/>
    <x v="0"/>
    <x v="0"/>
    <x v="0"/>
    <x v="0"/>
    <x v="0"/>
    <x v="0"/>
    <x v="0"/>
    <x v="0"/>
  </r>
  <r>
    <x v="1"/>
    <x v="0"/>
    <x v="1"/>
    <x v="1"/>
    <x v="0"/>
    <x v="0"/>
    <x v="1"/>
    <x v="1"/>
    <x v="1"/>
    <x v="1"/>
    <x v="1"/>
    <x v="1"/>
    <x v="0"/>
    <x v="0"/>
    <x v="1"/>
  </r>
  <r>
    <x v="2"/>
    <x v="0"/>
    <x v="2"/>
    <x v="1"/>
    <x v="0"/>
    <x v="0"/>
    <x v="2"/>
    <x v="2"/>
    <x v="2"/>
    <x v="2"/>
    <x v="2"/>
    <x v="0"/>
    <x v="0"/>
    <x v="0"/>
    <x v="2"/>
  </r>
  <r>
    <x v="3"/>
    <x v="0"/>
    <x v="3"/>
    <x v="1"/>
    <x v="0"/>
    <x v="1"/>
    <x v="3"/>
    <x v="3"/>
    <x v="2"/>
    <x v="3"/>
    <x v="3"/>
    <x v="0"/>
    <x v="0"/>
    <x v="0"/>
    <x v="3"/>
  </r>
  <r>
    <x v="4"/>
    <x v="0"/>
    <x v="4"/>
    <x v="2"/>
    <x v="0"/>
    <x v="1"/>
    <x v="4"/>
    <x v="1"/>
    <x v="2"/>
    <x v="4"/>
    <x v="4"/>
    <x v="1"/>
    <x v="1"/>
    <x v="1"/>
    <x v="2"/>
  </r>
  <r>
    <x v="5"/>
    <x v="0"/>
    <x v="5"/>
    <x v="2"/>
    <x v="0"/>
    <x v="1"/>
    <x v="5"/>
    <x v="1"/>
    <x v="2"/>
    <x v="5"/>
    <x v="5"/>
    <x v="0"/>
    <x v="0"/>
    <x v="0"/>
    <x v="1"/>
  </r>
  <r>
    <x v="6"/>
    <x v="1"/>
    <x v="6"/>
    <x v="1"/>
    <x v="1"/>
    <x v="0"/>
    <x v="6"/>
    <x v="0"/>
    <x v="2"/>
    <x v="6"/>
    <x v="6"/>
    <x v="0"/>
    <x v="0"/>
    <x v="2"/>
    <x v="1"/>
  </r>
  <r>
    <x v="7"/>
    <x v="1"/>
    <x v="7"/>
    <x v="1"/>
    <x v="1"/>
    <x v="0"/>
    <x v="0"/>
    <x v="0"/>
    <x v="2"/>
    <x v="0"/>
    <x v="7"/>
    <x v="0"/>
    <x v="0"/>
    <x v="3"/>
    <x v="1"/>
  </r>
  <r>
    <x v="8"/>
    <x v="1"/>
    <x v="8"/>
    <x v="1"/>
    <x v="1"/>
    <x v="2"/>
    <x v="1"/>
    <x v="1"/>
    <x v="2"/>
    <x v="1"/>
    <x v="8"/>
    <x v="1"/>
    <x v="0"/>
    <x v="0"/>
    <x v="1"/>
  </r>
  <r>
    <x v="9"/>
    <x v="1"/>
    <x v="3"/>
    <x v="1"/>
    <x v="1"/>
    <x v="0"/>
    <x v="6"/>
    <x v="0"/>
    <x v="2"/>
    <x v="6"/>
    <x v="6"/>
    <x v="0"/>
    <x v="0"/>
    <x v="0"/>
    <x v="4"/>
  </r>
  <r>
    <x v="10"/>
    <x v="1"/>
    <x v="9"/>
    <x v="3"/>
    <x v="1"/>
    <x v="0"/>
    <x v="7"/>
    <x v="2"/>
    <x v="2"/>
    <x v="7"/>
    <x v="9"/>
    <x v="0"/>
    <x v="0"/>
    <x v="0"/>
    <x v="3"/>
  </r>
  <r>
    <x v="11"/>
    <x v="1"/>
    <x v="10"/>
    <x v="4"/>
    <x v="1"/>
    <x v="1"/>
    <x v="8"/>
    <x v="2"/>
    <x v="2"/>
    <x v="8"/>
    <x v="10"/>
    <x v="0"/>
    <x v="0"/>
    <x v="2"/>
    <x v="2"/>
  </r>
  <r>
    <x v="12"/>
    <x v="2"/>
    <x v="11"/>
    <x v="5"/>
    <x v="2"/>
    <x v="0"/>
    <x v="0"/>
    <x v="0"/>
    <x v="2"/>
    <x v="0"/>
    <x v="7"/>
    <x v="0"/>
    <x v="0"/>
    <x v="2"/>
    <x v="0"/>
  </r>
  <r>
    <x v="13"/>
    <x v="2"/>
    <x v="12"/>
    <x v="1"/>
    <x v="2"/>
    <x v="0"/>
    <x v="1"/>
    <x v="1"/>
    <x v="2"/>
    <x v="9"/>
    <x v="11"/>
    <x v="0"/>
    <x v="1"/>
    <x v="0"/>
    <x v="4"/>
  </r>
  <r>
    <x v="14"/>
    <x v="2"/>
    <x v="13"/>
    <x v="1"/>
    <x v="2"/>
    <x v="1"/>
    <x v="2"/>
    <x v="2"/>
    <x v="2"/>
    <x v="2"/>
    <x v="2"/>
    <x v="1"/>
    <x v="0"/>
    <x v="3"/>
    <x v="3"/>
  </r>
  <r>
    <x v="15"/>
    <x v="2"/>
    <x v="14"/>
    <x v="2"/>
    <x v="2"/>
    <x v="1"/>
    <x v="9"/>
    <x v="3"/>
    <x v="0"/>
    <x v="7"/>
    <x v="12"/>
    <x v="0"/>
    <x v="0"/>
    <x v="2"/>
    <x v="1"/>
  </r>
  <r>
    <x v="16"/>
    <x v="2"/>
    <x v="15"/>
    <x v="2"/>
    <x v="2"/>
    <x v="1"/>
    <x v="0"/>
    <x v="0"/>
    <x v="2"/>
    <x v="0"/>
    <x v="7"/>
    <x v="0"/>
    <x v="0"/>
    <x v="0"/>
    <x v="0"/>
  </r>
  <r>
    <x v="17"/>
    <x v="3"/>
    <x v="16"/>
    <x v="6"/>
    <x v="3"/>
    <x v="0"/>
    <x v="7"/>
    <x v="2"/>
    <x v="2"/>
    <x v="7"/>
    <x v="9"/>
    <x v="0"/>
    <x v="0"/>
    <x v="0"/>
    <x v="1"/>
  </r>
  <r>
    <x v="18"/>
    <x v="3"/>
    <x v="17"/>
    <x v="5"/>
    <x v="3"/>
    <x v="2"/>
    <x v="10"/>
    <x v="4"/>
    <x v="2"/>
    <x v="10"/>
    <x v="13"/>
    <x v="1"/>
    <x v="0"/>
    <x v="0"/>
    <x v="2"/>
  </r>
  <r>
    <x v="19"/>
    <x v="3"/>
    <x v="18"/>
    <x v="1"/>
    <x v="3"/>
    <x v="0"/>
    <x v="3"/>
    <x v="3"/>
    <x v="0"/>
    <x v="3"/>
    <x v="14"/>
    <x v="0"/>
    <x v="0"/>
    <x v="0"/>
    <x v="4"/>
  </r>
  <r>
    <x v="20"/>
    <x v="3"/>
    <x v="19"/>
    <x v="1"/>
    <x v="3"/>
    <x v="0"/>
    <x v="4"/>
    <x v="1"/>
    <x v="2"/>
    <x v="4"/>
    <x v="15"/>
    <x v="0"/>
    <x v="0"/>
    <x v="0"/>
    <x v="1"/>
  </r>
  <r>
    <x v="21"/>
    <x v="3"/>
    <x v="20"/>
    <x v="2"/>
    <x v="3"/>
    <x v="1"/>
    <x v="9"/>
    <x v="3"/>
    <x v="2"/>
    <x v="7"/>
    <x v="3"/>
    <x v="0"/>
    <x v="2"/>
    <x v="0"/>
    <x v="3"/>
  </r>
  <r>
    <x v="22"/>
    <x v="4"/>
    <x v="21"/>
    <x v="7"/>
    <x v="4"/>
    <x v="0"/>
    <x v="0"/>
    <x v="0"/>
    <x v="2"/>
    <x v="0"/>
    <x v="7"/>
    <x v="0"/>
    <x v="0"/>
    <x v="0"/>
    <x v="0"/>
  </r>
  <r>
    <x v="23"/>
    <x v="4"/>
    <x v="22"/>
    <x v="6"/>
    <x v="4"/>
    <x v="2"/>
    <x v="1"/>
    <x v="1"/>
    <x v="0"/>
    <x v="1"/>
    <x v="16"/>
    <x v="0"/>
    <x v="0"/>
    <x v="1"/>
    <x v="2"/>
  </r>
  <r>
    <x v="24"/>
    <x v="4"/>
    <x v="23"/>
    <x v="6"/>
    <x v="4"/>
    <x v="0"/>
    <x v="2"/>
    <x v="2"/>
    <x v="2"/>
    <x v="2"/>
    <x v="2"/>
    <x v="0"/>
    <x v="0"/>
    <x v="0"/>
    <x v="2"/>
  </r>
  <r>
    <x v="25"/>
    <x v="4"/>
    <x v="24"/>
    <x v="8"/>
    <x v="4"/>
    <x v="0"/>
    <x v="6"/>
    <x v="0"/>
    <x v="2"/>
    <x v="6"/>
    <x v="6"/>
    <x v="0"/>
    <x v="0"/>
    <x v="0"/>
    <x v="4"/>
  </r>
  <r>
    <x v="26"/>
    <x v="4"/>
    <x v="25"/>
    <x v="8"/>
    <x v="4"/>
    <x v="2"/>
    <x v="8"/>
    <x v="2"/>
    <x v="2"/>
    <x v="8"/>
    <x v="10"/>
    <x v="0"/>
    <x v="0"/>
    <x v="0"/>
    <x v="1"/>
  </r>
  <r>
    <x v="27"/>
    <x v="4"/>
    <x v="26"/>
    <x v="5"/>
    <x v="4"/>
    <x v="0"/>
    <x v="5"/>
    <x v="1"/>
    <x v="0"/>
    <x v="5"/>
    <x v="17"/>
    <x v="0"/>
    <x v="0"/>
    <x v="0"/>
    <x v="3"/>
  </r>
  <r>
    <x v="28"/>
    <x v="4"/>
    <x v="27"/>
    <x v="5"/>
    <x v="4"/>
    <x v="1"/>
    <x v="5"/>
    <x v="1"/>
    <x v="2"/>
    <x v="5"/>
    <x v="18"/>
    <x v="0"/>
    <x v="3"/>
    <x v="0"/>
    <x v="3"/>
  </r>
  <r>
    <x v="29"/>
    <x v="4"/>
    <x v="28"/>
    <x v="1"/>
    <x v="4"/>
    <x v="1"/>
    <x v="11"/>
    <x v="1"/>
    <x v="1"/>
    <x v="11"/>
    <x v="19"/>
    <x v="1"/>
    <x v="0"/>
    <x v="0"/>
    <x v="1"/>
  </r>
  <r>
    <x v="30"/>
    <x v="4"/>
    <x v="29"/>
    <x v="3"/>
    <x v="4"/>
    <x v="0"/>
    <x v="8"/>
    <x v="2"/>
    <x v="2"/>
    <x v="8"/>
    <x v="10"/>
    <x v="0"/>
    <x v="0"/>
    <x v="0"/>
    <x v="4"/>
  </r>
  <r>
    <x v="31"/>
    <x v="4"/>
    <x v="30"/>
    <x v="3"/>
    <x v="4"/>
    <x v="0"/>
    <x v="7"/>
    <x v="2"/>
    <x v="2"/>
    <x v="7"/>
    <x v="9"/>
    <x v="0"/>
    <x v="0"/>
    <x v="0"/>
    <x v="0"/>
  </r>
  <r>
    <x v="32"/>
    <x v="4"/>
    <x v="31"/>
    <x v="3"/>
    <x v="4"/>
    <x v="0"/>
    <x v="0"/>
    <x v="0"/>
    <x v="0"/>
    <x v="0"/>
    <x v="0"/>
    <x v="0"/>
    <x v="0"/>
    <x v="0"/>
    <x v="4"/>
  </r>
  <r>
    <x v="33"/>
    <x v="4"/>
    <x v="4"/>
    <x v="2"/>
    <x v="4"/>
    <x v="1"/>
    <x v="5"/>
    <x v="1"/>
    <x v="2"/>
    <x v="5"/>
    <x v="5"/>
    <x v="0"/>
    <x v="0"/>
    <x v="0"/>
    <x v="1"/>
  </r>
  <r>
    <x v="34"/>
    <x v="4"/>
    <x v="32"/>
    <x v="2"/>
    <x v="4"/>
    <x v="0"/>
    <x v="6"/>
    <x v="0"/>
    <x v="2"/>
    <x v="12"/>
    <x v="20"/>
    <x v="0"/>
    <x v="1"/>
    <x v="0"/>
    <x v="4"/>
  </r>
  <r>
    <x v="35"/>
    <x v="4"/>
    <x v="33"/>
    <x v="2"/>
    <x v="4"/>
    <x v="0"/>
    <x v="12"/>
    <x v="4"/>
    <x v="2"/>
    <x v="8"/>
    <x v="10"/>
    <x v="0"/>
    <x v="0"/>
    <x v="0"/>
    <x v="0"/>
  </r>
  <r>
    <x v="36"/>
    <x v="4"/>
    <x v="34"/>
    <x v="4"/>
    <x v="4"/>
    <x v="0"/>
    <x v="0"/>
    <x v="0"/>
    <x v="2"/>
    <x v="0"/>
    <x v="7"/>
    <x v="0"/>
    <x v="0"/>
    <x v="1"/>
    <x v="3"/>
  </r>
  <r>
    <x v="37"/>
    <x v="5"/>
    <x v="35"/>
    <x v="9"/>
    <x v="5"/>
    <x v="0"/>
    <x v="5"/>
    <x v="1"/>
    <x v="2"/>
    <x v="5"/>
    <x v="5"/>
    <x v="0"/>
    <x v="0"/>
    <x v="0"/>
    <x v="4"/>
  </r>
  <r>
    <x v="38"/>
    <x v="6"/>
    <x v="36"/>
    <x v="10"/>
    <x v="2"/>
    <x v="0"/>
    <x v="0"/>
    <x v="0"/>
    <x v="2"/>
    <x v="0"/>
    <x v="7"/>
    <x v="1"/>
    <x v="0"/>
    <x v="2"/>
    <x v="0"/>
  </r>
  <r>
    <x v="39"/>
    <x v="5"/>
    <x v="37"/>
    <x v="0"/>
    <x v="5"/>
    <x v="2"/>
    <x v="12"/>
    <x v="4"/>
    <x v="2"/>
    <x v="8"/>
    <x v="10"/>
    <x v="0"/>
    <x v="0"/>
    <x v="3"/>
    <x v="3"/>
  </r>
  <r>
    <x v="40"/>
    <x v="5"/>
    <x v="38"/>
    <x v="0"/>
    <x v="5"/>
    <x v="0"/>
    <x v="6"/>
    <x v="0"/>
    <x v="2"/>
    <x v="6"/>
    <x v="6"/>
    <x v="0"/>
    <x v="0"/>
    <x v="1"/>
    <x v="0"/>
  </r>
  <r>
    <x v="41"/>
    <x v="5"/>
    <x v="39"/>
    <x v="11"/>
    <x v="5"/>
    <x v="1"/>
    <x v="12"/>
    <x v="4"/>
    <x v="2"/>
    <x v="8"/>
    <x v="10"/>
    <x v="1"/>
    <x v="0"/>
    <x v="2"/>
    <x v="1"/>
  </r>
  <r>
    <x v="42"/>
    <x v="5"/>
    <x v="40"/>
    <x v="5"/>
    <x v="5"/>
    <x v="0"/>
    <x v="8"/>
    <x v="2"/>
    <x v="0"/>
    <x v="8"/>
    <x v="21"/>
    <x v="0"/>
    <x v="0"/>
    <x v="0"/>
    <x v="4"/>
  </r>
  <r>
    <x v="43"/>
    <x v="5"/>
    <x v="19"/>
    <x v="1"/>
    <x v="5"/>
    <x v="0"/>
    <x v="7"/>
    <x v="2"/>
    <x v="2"/>
    <x v="7"/>
    <x v="9"/>
    <x v="1"/>
    <x v="0"/>
    <x v="0"/>
    <x v="2"/>
  </r>
  <r>
    <x v="44"/>
    <x v="5"/>
    <x v="41"/>
    <x v="3"/>
    <x v="5"/>
    <x v="0"/>
    <x v="7"/>
    <x v="2"/>
    <x v="0"/>
    <x v="7"/>
    <x v="22"/>
    <x v="0"/>
    <x v="3"/>
    <x v="0"/>
    <x v="1"/>
  </r>
  <r>
    <x v="45"/>
    <x v="5"/>
    <x v="42"/>
    <x v="4"/>
    <x v="5"/>
    <x v="0"/>
    <x v="7"/>
    <x v="2"/>
    <x v="2"/>
    <x v="7"/>
    <x v="9"/>
    <x v="1"/>
    <x v="0"/>
    <x v="1"/>
    <x v="1"/>
  </r>
  <r>
    <x v="46"/>
    <x v="7"/>
    <x v="43"/>
    <x v="9"/>
    <x v="6"/>
    <x v="0"/>
    <x v="0"/>
    <x v="0"/>
    <x v="1"/>
    <x v="0"/>
    <x v="2"/>
    <x v="1"/>
    <x v="0"/>
    <x v="2"/>
    <x v="2"/>
  </r>
  <r>
    <x v="47"/>
    <x v="7"/>
    <x v="44"/>
    <x v="5"/>
    <x v="6"/>
    <x v="2"/>
    <x v="8"/>
    <x v="2"/>
    <x v="2"/>
    <x v="8"/>
    <x v="10"/>
    <x v="0"/>
    <x v="0"/>
    <x v="2"/>
    <x v="3"/>
  </r>
  <r>
    <x v="48"/>
    <x v="7"/>
    <x v="45"/>
    <x v="3"/>
    <x v="6"/>
    <x v="2"/>
    <x v="13"/>
    <x v="0"/>
    <x v="2"/>
    <x v="2"/>
    <x v="2"/>
    <x v="0"/>
    <x v="0"/>
    <x v="0"/>
    <x v="4"/>
  </r>
  <r>
    <x v="49"/>
    <x v="7"/>
    <x v="46"/>
    <x v="3"/>
    <x v="6"/>
    <x v="0"/>
    <x v="6"/>
    <x v="0"/>
    <x v="2"/>
    <x v="6"/>
    <x v="6"/>
    <x v="1"/>
    <x v="0"/>
    <x v="0"/>
    <x v="0"/>
  </r>
  <r>
    <x v="50"/>
    <x v="7"/>
    <x v="47"/>
    <x v="3"/>
    <x v="6"/>
    <x v="0"/>
    <x v="3"/>
    <x v="3"/>
    <x v="2"/>
    <x v="3"/>
    <x v="3"/>
    <x v="0"/>
    <x v="0"/>
    <x v="0"/>
    <x v="1"/>
  </r>
  <r>
    <x v="51"/>
    <x v="7"/>
    <x v="48"/>
    <x v="2"/>
    <x v="6"/>
    <x v="1"/>
    <x v="8"/>
    <x v="2"/>
    <x v="2"/>
    <x v="8"/>
    <x v="10"/>
    <x v="0"/>
    <x v="0"/>
    <x v="0"/>
    <x v="0"/>
  </r>
  <r>
    <x v="52"/>
    <x v="7"/>
    <x v="49"/>
    <x v="2"/>
    <x v="6"/>
    <x v="1"/>
    <x v="7"/>
    <x v="2"/>
    <x v="0"/>
    <x v="7"/>
    <x v="12"/>
    <x v="0"/>
    <x v="0"/>
    <x v="0"/>
    <x v="2"/>
  </r>
  <r>
    <x v="53"/>
    <x v="8"/>
    <x v="50"/>
    <x v="5"/>
    <x v="0"/>
    <x v="0"/>
    <x v="3"/>
    <x v="3"/>
    <x v="2"/>
    <x v="3"/>
    <x v="23"/>
    <x v="0"/>
    <x v="1"/>
    <x v="3"/>
    <x v="3"/>
  </r>
  <r>
    <x v="54"/>
    <x v="8"/>
    <x v="51"/>
    <x v="5"/>
    <x v="0"/>
    <x v="0"/>
    <x v="11"/>
    <x v="1"/>
    <x v="2"/>
    <x v="11"/>
    <x v="24"/>
    <x v="0"/>
    <x v="0"/>
    <x v="0"/>
    <x v="4"/>
  </r>
  <r>
    <x v="55"/>
    <x v="8"/>
    <x v="18"/>
    <x v="1"/>
    <x v="0"/>
    <x v="0"/>
    <x v="13"/>
    <x v="0"/>
    <x v="0"/>
    <x v="2"/>
    <x v="10"/>
    <x v="0"/>
    <x v="0"/>
    <x v="2"/>
    <x v="2"/>
  </r>
  <r>
    <x v="56"/>
    <x v="8"/>
    <x v="52"/>
    <x v="3"/>
    <x v="0"/>
    <x v="2"/>
    <x v="0"/>
    <x v="0"/>
    <x v="0"/>
    <x v="0"/>
    <x v="0"/>
    <x v="0"/>
    <x v="0"/>
    <x v="2"/>
    <x v="4"/>
  </r>
  <r>
    <x v="57"/>
    <x v="8"/>
    <x v="46"/>
    <x v="3"/>
    <x v="0"/>
    <x v="0"/>
    <x v="2"/>
    <x v="2"/>
    <x v="2"/>
    <x v="2"/>
    <x v="2"/>
    <x v="0"/>
    <x v="0"/>
    <x v="0"/>
    <x v="1"/>
  </r>
  <r>
    <x v="58"/>
    <x v="9"/>
    <x v="53"/>
    <x v="0"/>
    <x v="1"/>
    <x v="0"/>
    <x v="7"/>
    <x v="2"/>
    <x v="2"/>
    <x v="7"/>
    <x v="25"/>
    <x v="0"/>
    <x v="1"/>
    <x v="0"/>
    <x v="0"/>
  </r>
  <r>
    <x v="59"/>
    <x v="9"/>
    <x v="54"/>
    <x v="1"/>
    <x v="1"/>
    <x v="0"/>
    <x v="9"/>
    <x v="3"/>
    <x v="1"/>
    <x v="7"/>
    <x v="8"/>
    <x v="0"/>
    <x v="0"/>
    <x v="2"/>
    <x v="0"/>
  </r>
  <r>
    <x v="60"/>
    <x v="9"/>
    <x v="55"/>
    <x v="3"/>
    <x v="1"/>
    <x v="0"/>
    <x v="6"/>
    <x v="0"/>
    <x v="2"/>
    <x v="6"/>
    <x v="6"/>
    <x v="0"/>
    <x v="0"/>
    <x v="0"/>
    <x v="3"/>
  </r>
  <r>
    <x v="61"/>
    <x v="9"/>
    <x v="56"/>
    <x v="3"/>
    <x v="1"/>
    <x v="1"/>
    <x v="3"/>
    <x v="3"/>
    <x v="2"/>
    <x v="3"/>
    <x v="3"/>
    <x v="0"/>
    <x v="0"/>
    <x v="2"/>
    <x v="4"/>
  </r>
  <r>
    <x v="62"/>
    <x v="9"/>
    <x v="57"/>
    <x v="2"/>
    <x v="1"/>
    <x v="1"/>
    <x v="7"/>
    <x v="2"/>
    <x v="2"/>
    <x v="7"/>
    <x v="9"/>
    <x v="0"/>
    <x v="0"/>
    <x v="0"/>
    <x v="1"/>
  </r>
  <r>
    <x v="63"/>
    <x v="10"/>
    <x v="58"/>
    <x v="2"/>
    <x v="3"/>
    <x v="0"/>
    <x v="0"/>
    <x v="0"/>
    <x v="2"/>
    <x v="0"/>
    <x v="7"/>
    <x v="0"/>
    <x v="0"/>
    <x v="0"/>
    <x v="2"/>
  </r>
  <r>
    <x v="64"/>
    <x v="11"/>
    <x v="59"/>
    <x v="8"/>
    <x v="2"/>
    <x v="0"/>
    <x v="13"/>
    <x v="0"/>
    <x v="2"/>
    <x v="2"/>
    <x v="2"/>
    <x v="0"/>
    <x v="0"/>
    <x v="0"/>
    <x v="0"/>
  </r>
  <r>
    <x v="65"/>
    <x v="12"/>
    <x v="60"/>
    <x v="1"/>
    <x v="5"/>
    <x v="0"/>
    <x v="6"/>
    <x v="0"/>
    <x v="2"/>
    <x v="12"/>
    <x v="20"/>
    <x v="0"/>
    <x v="1"/>
    <x v="2"/>
    <x v="2"/>
  </r>
  <r>
    <x v="66"/>
    <x v="11"/>
    <x v="8"/>
    <x v="1"/>
    <x v="2"/>
    <x v="0"/>
    <x v="5"/>
    <x v="1"/>
    <x v="2"/>
    <x v="5"/>
    <x v="5"/>
    <x v="0"/>
    <x v="0"/>
    <x v="2"/>
    <x v="2"/>
  </r>
  <r>
    <x v="67"/>
    <x v="11"/>
    <x v="61"/>
    <x v="1"/>
    <x v="2"/>
    <x v="0"/>
    <x v="6"/>
    <x v="0"/>
    <x v="2"/>
    <x v="13"/>
    <x v="26"/>
    <x v="0"/>
    <x v="2"/>
    <x v="0"/>
    <x v="4"/>
  </r>
  <r>
    <x v="68"/>
    <x v="11"/>
    <x v="49"/>
    <x v="2"/>
    <x v="2"/>
    <x v="0"/>
    <x v="6"/>
    <x v="0"/>
    <x v="0"/>
    <x v="6"/>
    <x v="2"/>
    <x v="0"/>
    <x v="0"/>
    <x v="0"/>
    <x v="0"/>
  </r>
  <r>
    <x v="69"/>
    <x v="11"/>
    <x v="62"/>
    <x v="2"/>
    <x v="2"/>
    <x v="2"/>
    <x v="0"/>
    <x v="0"/>
    <x v="0"/>
    <x v="0"/>
    <x v="0"/>
    <x v="1"/>
    <x v="0"/>
    <x v="0"/>
    <x v="0"/>
  </r>
  <r>
    <x v="70"/>
    <x v="11"/>
    <x v="63"/>
    <x v="4"/>
    <x v="2"/>
    <x v="2"/>
    <x v="1"/>
    <x v="1"/>
    <x v="0"/>
    <x v="1"/>
    <x v="16"/>
    <x v="0"/>
    <x v="0"/>
    <x v="2"/>
    <x v="0"/>
  </r>
  <r>
    <x v="71"/>
    <x v="13"/>
    <x v="64"/>
    <x v="7"/>
    <x v="3"/>
    <x v="0"/>
    <x v="3"/>
    <x v="3"/>
    <x v="2"/>
    <x v="3"/>
    <x v="3"/>
    <x v="0"/>
    <x v="0"/>
    <x v="0"/>
    <x v="1"/>
  </r>
  <r>
    <x v="72"/>
    <x v="14"/>
    <x v="65"/>
    <x v="5"/>
    <x v="1"/>
    <x v="0"/>
    <x v="6"/>
    <x v="0"/>
    <x v="2"/>
    <x v="6"/>
    <x v="6"/>
    <x v="0"/>
    <x v="0"/>
    <x v="2"/>
    <x v="2"/>
  </r>
  <r>
    <x v="73"/>
    <x v="13"/>
    <x v="54"/>
    <x v="1"/>
    <x v="3"/>
    <x v="0"/>
    <x v="5"/>
    <x v="1"/>
    <x v="2"/>
    <x v="5"/>
    <x v="5"/>
    <x v="0"/>
    <x v="0"/>
    <x v="0"/>
    <x v="4"/>
  </r>
  <r>
    <x v="74"/>
    <x v="13"/>
    <x v="66"/>
    <x v="1"/>
    <x v="3"/>
    <x v="0"/>
    <x v="8"/>
    <x v="2"/>
    <x v="0"/>
    <x v="8"/>
    <x v="21"/>
    <x v="0"/>
    <x v="0"/>
    <x v="2"/>
    <x v="3"/>
  </r>
  <r>
    <x v="75"/>
    <x v="13"/>
    <x v="67"/>
    <x v="3"/>
    <x v="3"/>
    <x v="0"/>
    <x v="4"/>
    <x v="1"/>
    <x v="2"/>
    <x v="4"/>
    <x v="15"/>
    <x v="1"/>
    <x v="0"/>
    <x v="0"/>
    <x v="0"/>
  </r>
  <r>
    <x v="76"/>
    <x v="15"/>
    <x v="68"/>
    <x v="10"/>
    <x v="4"/>
    <x v="2"/>
    <x v="0"/>
    <x v="0"/>
    <x v="2"/>
    <x v="0"/>
    <x v="7"/>
    <x v="0"/>
    <x v="0"/>
    <x v="0"/>
    <x v="0"/>
  </r>
  <r>
    <x v="77"/>
    <x v="15"/>
    <x v="40"/>
    <x v="5"/>
    <x v="4"/>
    <x v="0"/>
    <x v="11"/>
    <x v="1"/>
    <x v="2"/>
    <x v="11"/>
    <x v="24"/>
    <x v="1"/>
    <x v="0"/>
    <x v="0"/>
    <x v="2"/>
  </r>
  <r>
    <x v="78"/>
    <x v="15"/>
    <x v="28"/>
    <x v="1"/>
    <x v="4"/>
    <x v="2"/>
    <x v="8"/>
    <x v="2"/>
    <x v="2"/>
    <x v="8"/>
    <x v="10"/>
    <x v="0"/>
    <x v="0"/>
    <x v="0"/>
    <x v="0"/>
  </r>
  <r>
    <x v="79"/>
    <x v="15"/>
    <x v="69"/>
    <x v="1"/>
    <x v="4"/>
    <x v="0"/>
    <x v="4"/>
    <x v="1"/>
    <x v="2"/>
    <x v="4"/>
    <x v="4"/>
    <x v="0"/>
    <x v="1"/>
    <x v="2"/>
    <x v="3"/>
  </r>
  <r>
    <x v="80"/>
    <x v="15"/>
    <x v="70"/>
    <x v="1"/>
    <x v="4"/>
    <x v="0"/>
    <x v="2"/>
    <x v="2"/>
    <x v="2"/>
    <x v="2"/>
    <x v="2"/>
    <x v="0"/>
    <x v="0"/>
    <x v="2"/>
    <x v="1"/>
  </r>
  <r>
    <x v="81"/>
    <x v="15"/>
    <x v="71"/>
    <x v="3"/>
    <x v="4"/>
    <x v="2"/>
    <x v="7"/>
    <x v="2"/>
    <x v="2"/>
    <x v="7"/>
    <x v="9"/>
    <x v="0"/>
    <x v="0"/>
    <x v="0"/>
    <x v="1"/>
  </r>
  <r>
    <x v="82"/>
    <x v="15"/>
    <x v="72"/>
    <x v="3"/>
    <x v="4"/>
    <x v="0"/>
    <x v="2"/>
    <x v="2"/>
    <x v="2"/>
    <x v="2"/>
    <x v="2"/>
    <x v="0"/>
    <x v="0"/>
    <x v="3"/>
    <x v="1"/>
  </r>
  <r>
    <x v="83"/>
    <x v="15"/>
    <x v="73"/>
    <x v="4"/>
    <x v="4"/>
    <x v="0"/>
    <x v="11"/>
    <x v="1"/>
    <x v="1"/>
    <x v="11"/>
    <x v="27"/>
    <x v="0"/>
    <x v="1"/>
    <x v="0"/>
    <x v="4"/>
  </r>
  <r>
    <x v="84"/>
    <x v="15"/>
    <x v="74"/>
    <x v="4"/>
    <x v="4"/>
    <x v="0"/>
    <x v="7"/>
    <x v="2"/>
    <x v="0"/>
    <x v="7"/>
    <x v="12"/>
    <x v="1"/>
    <x v="0"/>
    <x v="0"/>
    <x v="0"/>
  </r>
  <r>
    <x v="85"/>
    <x v="15"/>
    <x v="75"/>
    <x v="4"/>
    <x v="4"/>
    <x v="0"/>
    <x v="5"/>
    <x v="1"/>
    <x v="1"/>
    <x v="5"/>
    <x v="28"/>
    <x v="0"/>
    <x v="0"/>
    <x v="0"/>
    <x v="0"/>
  </r>
  <r>
    <x v="86"/>
    <x v="15"/>
    <x v="76"/>
    <x v="4"/>
    <x v="4"/>
    <x v="0"/>
    <x v="13"/>
    <x v="0"/>
    <x v="2"/>
    <x v="2"/>
    <x v="2"/>
    <x v="0"/>
    <x v="0"/>
    <x v="2"/>
    <x v="2"/>
  </r>
  <r>
    <x v="87"/>
    <x v="16"/>
    <x v="77"/>
    <x v="7"/>
    <x v="5"/>
    <x v="2"/>
    <x v="4"/>
    <x v="1"/>
    <x v="2"/>
    <x v="4"/>
    <x v="15"/>
    <x v="0"/>
    <x v="0"/>
    <x v="0"/>
    <x v="2"/>
  </r>
  <r>
    <x v="88"/>
    <x v="16"/>
    <x v="38"/>
    <x v="0"/>
    <x v="5"/>
    <x v="0"/>
    <x v="12"/>
    <x v="4"/>
    <x v="2"/>
    <x v="8"/>
    <x v="10"/>
    <x v="0"/>
    <x v="0"/>
    <x v="0"/>
    <x v="0"/>
  </r>
  <r>
    <x v="89"/>
    <x v="16"/>
    <x v="78"/>
    <x v="6"/>
    <x v="5"/>
    <x v="0"/>
    <x v="4"/>
    <x v="1"/>
    <x v="2"/>
    <x v="4"/>
    <x v="29"/>
    <x v="0"/>
    <x v="2"/>
    <x v="0"/>
    <x v="4"/>
  </r>
  <r>
    <x v="90"/>
    <x v="16"/>
    <x v="79"/>
    <x v="8"/>
    <x v="5"/>
    <x v="0"/>
    <x v="13"/>
    <x v="0"/>
    <x v="2"/>
    <x v="2"/>
    <x v="2"/>
    <x v="0"/>
    <x v="0"/>
    <x v="0"/>
    <x v="4"/>
  </r>
  <r>
    <x v="91"/>
    <x v="16"/>
    <x v="80"/>
    <x v="8"/>
    <x v="5"/>
    <x v="0"/>
    <x v="2"/>
    <x v="2"/>
    <x v="0"/>
    <x v="2"/>
    <x v="10"/>
    <x v="0"/>
    <x v="0"/>
    <x v="0"/>
    <x v="2"/>
  </r>
  <r>
    <x v="92"/>
    <x v="16"/>
    <x v="81"/>
    <x v="5"/>
    <x v="5"/>
    <x v="0"/>
    <x v="0"/>
    <x v="0"/>
    <x v="0"/>
    <x v="0"/>
    <x v="0"/>
    <x v="0"/>
    <x v="0"/>
    <x v="0"/>
    <x v="0"/>
  </r>
  <r>
    <x v="93"/>
    <x v="16"/>
    <x v="82"/>
    <x v="1"/>
    <x v="5"/>
    <x v="0"/>
    <x v="12"/>
    <x v="4"/>
    <x v="2"/>
    <x v="8"/>
    <x v="10"/>
    <x v="0"/>
    <x v="0"/>
    <x v="2"/>
    <x v="4"/>
  </r>
  <r>
    <x v="94"/>
    <x v="16"/>
    <x v="83"/>
    <x v="1"/>
    <x v="5"/>
    <x v="0"/>
    <x v="2"/>
    <x v="2"/>
    <x v="2"/>
    <x v="2"/>
    <x v="2"/>
    <x v="1"/>
    <x v="0"/>
    <x v="0"/>
    <x v="1"/>
  </r>
  <r>
    <x v="95"/>
    <x v="16"/>
    <x v="66"/>
    <x v="1"/>
    <x v="5"/>
    <x v="0"/>
    <x v="2"/>
    <x v="2"/>
    <x v="2"/>
    <x v="2"/>
    <x v="2"/>
    <x v="0"/>
    <x v="0"/>
    <x v="0"/>
    <x v="1"/>
  </r>
  <r>
    <x v="96"/>
    <x v="16"/>
    <x v="8"/>
    <x v="1"/>
    <x v="5"/>
    <x v="0"/>
    <x v="2"/>
    <x v="2"/>
    <x v="2"/>
    <x v="2"/>
    <x v="2"/>
    <x v="0"/>
    <x v="0"/>
    <x v="0"/>
    <x v="0"/>
  </r>
  <r>
    <x v="97"/>
    <x v="16"/>
    <x v="55"/>
    <x v="3"/>
    <x v="5"/>
    <x v="1"/>
    <x v="5"/>
    <x v="1"/>
    <x v="2"/>
    <x v="5"/>
    <x v="5"/>
    <x v="0"/>
    <x v="0"/>
    <x v="2"/>
    <x v="0"/>
  </r>
  <r>
    <x v="98"/>
    <x v="16"/>
    <x v="67"/>
    <x v="3"/>
    <x v="5"/>
    <x v="0"/>
    <x v="8"/>
    <x v="2"/>
    <x v="0"/>
    <x v="8"/>
    <x v="21"/>
    <x v="0"/>
    <x v="0"/>
    <x v="0"/>
    <x v="2"/>
  </r>
  <r>
    <x v="99"/>
    <x v="16"/>
    <x v="84"/>
    <x v="3"/>
    <x v="5"/>
    <x v="0"/>
    <x v="5"/>
    <x v="1"/>
    <x v="2"/>
    <x v="5"/>
    <x v="5"/>
    <x v="0"/>
    <x v="0"/>
    <x v="2"/>
    <x v="0"/>
  </r>
  <r>
    <x v="100"/>
    <x v="16"/>
    <x v="85"/>
    <x v="3"/>
    <x v="5"/>
    <x v="0"/>
    <x v="6"/>
    <x v="0"/>
    <x v="0"/>
    <x v="6"/>
    <x v="30"/>
    <x v="0"/>
    <x v="1"/>
    <x v="3"/>
    <x v="3"/>
  </r>
  <r>
    <x v="101"/>
    <x v="16"/>
    <x v="86"/>
    <x v="2"/>
    <x v="5"/>
    <x v="1"/>
    <x v="1"/>
    <x v="1"/>
    <x v="2"/>
    <x v="1"/>
    <x v="8"/>
    <x v="0"/>
    <x v="0"/>
    <x v="0"/>
    <x v="1"/>
  </r>
  <r>
    <x v="102"/>
    <x v="17"/>
    <x v="87"/>
    <x v="10"/>
    <x v="6"/>
    <x v="0"/>
    <x v="7"/>
    <x v="2"/>
    <x v="2"/>
    <x v="7"/>
    <x v="9"/>
    <x v="0"/>
    <x v="0"/>
    <x v="0"/>
    <x v="2"/>
  </r>
  <r>
    <x v="103"/>
    <x v="17"/>
    <x v="88"/>
    <x v="7"/>
    <x v="6"/>
    <x v="2"/>
    <x v="11"/>
    <x v="1"/>
    <x v="2"/>
    <x v="11"/>
    <x v="24"/>
    <x v="0"/>
    <x v="0"/>
    <x v="1"/>
    <x v="2"/>
  </r>
  <r>
    <x v="104"/>
    <x v="17"/>
    <x v="89"/>
    <x v="6"/>
    <x v="6"/>
    <x v="1"/>
    <x v="8"/>
    <x v="2"/>
    <x v="2"/>
    <x v="8"/>
    <x v="10"/>
    <x v="1"/>
    <x v="0"/>
    <x v="0"/>
    <x v="4"/>
  </r>
  <r>
    <x v="105"/>
    <x v="17"/>
    <x v="2"/>
    <x v="1"/>
    <x v="6"/>
    <x v="0"/>
    <x v="0"/>
    <x v="0"/>
    <x v="2"/>
    <x v="0"/>
    <x v="7"/>
    <x v="0"/>
    <x v="0"/>
    <x v="2"/>
    <x v="0"/>
  </r>
  <r>
    <x v="106"/>
    <x v="17"/>
    <x v="90"/>
    <x v="3"/>
    <x v="6"/>
    <x v="2"/>
    <x v="4"/>
    <x v="1"/>
    <x v="2"/>
    <x v="4"/>
    <x v="15"/>
    <x v="0"/>
    <x v="0"/>
    <x v="0"/>
    <x v="0"/>
  </r>
  <r>
    <x v="107"/>
    <x v="17"/>
    <x v="91"/>
    <x v="3"/>
    <x v="6"/>
    <x v="1"/>
    <x v="0"/>
    <x v="0"/>
    <x v="0"/>
    <x v="0"/>
    <x v="0"/>
    <x v="0"/>
    <x v="0"/>
    <x v="0"/>
    <x v="3"/>
  </r>
  <r>
    <x v="108"/>
    <x v="17"/>
    <x v="56"/>
    <x v="3"/>
    <x v="6"/>
    <x v="0"/>
    <x v="0"/>
    <x v="0"/>
    <x v="2"/>
    <x v="0"/>
    <x v="7"/>
    <x v="0"/>
    <x v="0"/>
    <x v="1"/>
    <x v="1"/>
  </r>
  <r>
    <x v="109"/>
    <x v="17"/>
    <x v="56"/>
    <x v="3"/>
    <x v="6"/>
    <x v="1"/>
    <x v="0"/>
    <x v="0"/>
    <x v="2"/>
    <x v="0"/>
    <x v="31"/>
    <x v="1"/>
    <x v="2"/>
    <x v="0"/>
    <x v="3"/>
  </r>
  <r>
    <x v="110"/>
    <x v="17"/>
    <x v="92"/>
    <x v="2"/>
    <x v="6"/>
    <x v="1"/>
    <x v="4"/>
    <x v="1"/>
    <x v="2"/>
    <x v="4"/>
    <x v="15"/>
    <x v="0"/>
    <x v="0"/>
    <x v="0"/>
    <x v="4"/>
  </r>
  <r>
    <x v="111"/>
    <x v="17"/>
    <x v="93"/>
    <x v="2"/>
    <x v="6"/>
    <x v="1"/>
    <x v="10"/>
    <x v="4"/>
    <x v="0"/>
    <x v="10"/>
    <x v="32"/>
    <x v="0"/>
    <x v="0"/>
    <x v="0"/>
    <x v="3"/>
  </r>
  <r>
    <x v="112"/>
    <x v="18"/>
    <x v="94"/>
    <x v="0"/>
    <x v="0"/>
    <x v="0"/>
    <x v="0"/>
    <x v="0"/>
    <x v="0"/>
    <x v="0"/>
    <x v="0"/>
    <x v="1"/>
    <x v="0"/>
    <x v="1"/>
    <x v="4"/>
  </r>
  <r>
    <x v="113"/>
    <x v="18"/>
    <x v="95"/>
    <x v="3"/>
    <x v="0"/>
    <x v="0"/>
    <x v="0"/>
    <x v="0"/>
    <x v="2"/>
    <x v="0"/>
    <x v="7"/>
    <x v="0"/>
    <x v="0"/>
    <x v="0"/>
    <x v="4"/>
  </r>
  <r>
    <x v="114"/>
    <x v="18"/>
    <x v="96"/>
    <x v="2"/>
    <x v="0"/>
    <x v="0"/>
    <x v="10"/>
    <x v="4"/>
    <x v="2"/>
    <x v="10"/>
    <x v="13"/>
    <x v="0"/>
    <x v="0"/>
    <x v="0"/>
    <x v="2"/>
  </r>
  <r>
    <x v="115"/>
    <x v="19"/>
    <x v="64"/>
    <x v="7"/>
    <x v="1"/>
    <x v="0"/>
    <x v="11"/>
    <x v="1"/>
    <x v="2"/>
    <x v="11"/>
    <x v="24"/>
    <x v="0"/>
    <x v="0"/>
    <x v="0"/>
    <x v="2"/>
  </r>
  <r>
    <x v="116"/>
    <x v="19"/>
    <x v="82"/>
    <x v="1"/>
    <x v="1"/>
    <x v="2"/>
    <x v="10"/>
    <x v="4"/>
    <x v="2"/>
    <x v="10"/>
    <x v="13"/>
    <x v="0"/>
    <x v="0"/>
    <x v="2"/>
    <x v="3"/>
  </r>
  <r>
    <x v="117"/>
    <x v="19"/>
    <x v="97"/>
    <x v="4"/>
    <x v="1"/>
    <x v="1"/>
    <x v="7"/>
    <x v="2"/>
    <x v="0"/>
    <x v="7"/>
    <x v="12"/>
    <x v="0"/>
    <x v="0"/>
    <x v="0"/>
    <x v="0"/>
  </r>
  <r>
    <x v="118"/>
    <x v="20"/>
    <x v="98"/>
    <x v="7"/>
    <x v="2"/>
    <x v="0"/>
    <x v="10"/>
    <x v="4"/>
    <x v="0"/>
    <x v="10"/>
    <x v="32"/>
    <x v="0"/>
    <x v="0"/>
    <x v="0"/>
    <x v="3"/>
  </r>
  <r>
    <x v="119"/>
    <x v="20"/>
    <x v="99"/>
    <x v="1"/>
    <x v="2"/>
    <x v="2"/>
    <x v="6"/>
    <x v="0"/>
    <x v="2"/>
    <x v="6"/>
    <x v="6"/>
    <x v="1"/>
    <x v="0"/>
    <x v="2"/>
    <x v="4"/>
  </r>
  <r>
    <x v="120"/>
    <x v="20"/>
    <x v="45"/>
    <x v="3"/>
    <x v="2"/>
    <x v="0"/>
    <x v="10"/>
    <x v="4"/>
    <x v="0"/>
    <x v="10"/>
    <x v="32"/>
    <x v="0"/>
    <x v="0"/>
    <x v="0"/>
    <x v="4"/>
  </r>
  <r>
    <x v="121"/>
    <x v="20"/>
    <x v="67"/>
    <x v="3"/>
    <x v="2"/>
    <x v="1"/>
    <x v="12"/>
    <x v="4"/>
    <x v="0"/>
    <x v="8"/>
    <x v="21"/>
    <x v="0"/>
    <x v="0"/>
    <x v="0"/>
    <x v="2"/>
  </r>
  <r>
    <x v="122"/>
    <x v="20"/>
    <x v="100"/>
    <x v="3"/>
    <x v="2"/>
    <x v="0"/>
    <x v="5"/>
    <x v="1"/>
    <x v="2"/>
    <x v="5"/>
    <x v="5"/>
    <x v="1"/>
    <x v="0"/>
    <x v="2"/>
    <x v="2"/>
  </r>
  <r>
    <x v="123"/>
    <x v="20"/>
    <x v="95"/>
    <x v="3"/>
    <x v="2"/>
    <x v="0"/>
    <x v="7"/>
    <x v="2"/>
    <x v="2"/>
    <x v="7"/>
    <x v="25"/>
    <x v="0"/>
    <x v="1"/>
    <x v="2"/>
    <x v="2"/>
  </r>
  <r>
    <x v="124"/>
    <x v="20"/>
    <x v="101"/>
    <x v="2"/>
    <x v="2"/>
    <x v="0"/>
    <x v="6"/>
    <x v="0"/>
    <x v="2"/>
    <x v="6"/>
    <x v="6"/>
    <x v="0"/>
    <x v="0"/>
    <x v="2"/>
    <x v="1"/>
  </r>
  <r>
    <x v="125"/>
    <x v="21"/>
    <x v="102"/>
    <x v="10"/>
    <x v="3"/>
    <x v="0"/>
    <x v="9"/>
    <x v="3"/>
    <x v="2"/>
    <x v="7"/>
    <x v="9"/>
    <x v="0"/>
    <x v="0"/>
    <x v="0"/>
    <x v="3"/>
  </r>
  <r>
    <x v="126"/>
    <x v="21"/>
    <x v="103"/>
    <x v="10"/>
    <x v="3"/>
    <x v="0"/>
    <x v="6"/>
    <x v="0"/>
    <x v="2"/>
    <x v="6"/>
    <x v="6"/>
    <x v="0"/>
    <x v="0"/>
    <x v="0"/>
    <x v="4"/>
  </r>
  <r>
    <x v="127"/>
    <x v="21"/>
    <x v="104"/>
    <x v="10"/>
    <x v="3"/>
    <x v="0"/>
    <x v="2"/>
    <x v="2"/>
    <x v="2"/>
    <x v="2"/>
    <x v="2"/>
    <x v="0"/>
    <x v="0"/>
    <x v="0"/>
    <x v="3"/>
  </r>
  <r>
    <x v="128"/>
    <x v="21"/>
    <x v="105"/>
    <x v="10"/>
    <x v="3"/>
    <x v="0"/>
    <x v="11"/>
    <x v="1"/>
    <x v="2"/>
    <x v="11"/>
    <x v="24"/>
    <x v="0"/>
    <x v="0"/>
    <x v="1"/>
    <x v="1"/>
  </r>
  <r>
    <x v="129"/>
    <x v="21"/>
    <x v="53"/>
    <x v="0"/>
    <x v="3"/>
    <x v="2"/>
    <x v="10"/>
    <x v="4"/>
    <x v="2"/>
    <x v="10"/>
    <x v="33"/>
    <x v="0"/>
    <x v="3"/>
    <x v="2"/>
    <x v="1"/>
  </r>
  <r>
    <x v="130"/>
    <x v="21"/>
    <x v="106"/>
    <x v="8"/>
    <x v="3"/>
    <x v="0"/>
    <x v="11"/>
    <x v="1"/>
    <x v="2"/>
    <x v="11"/>
    <x v="34"/>
    <x v="0"/>
    <x v="3"/>
    <x v="0"/>
    <x v="0"/>
  </r>
  <r>
    <x v="131"/>
    <x v="21"/>
    <x v="107"/>
    <x v="3"/>
    <x v="3"/>
    <x v="0"/>
    <x v="2"/>
    <x v="2"/>
    <x v="0"/>
    <x v="2"/>
    <x v="10"/>
    <x v="1"/>
    <x v="0"/>
    <x v="2"/>
    <x v="1"/>
  </r>
  <r>
    <x v="132"/>
    <x v="21"/>
    <x v="30"/>
    <x v="3"/>
    <x v="3"/>
    <x v="2"/>
    <x v="1"/>
    <x v="1"/>
    <x v="0"/>
    <x v="1"/>
    <x v="16"/>
    <x v="0"/>
    <x v="0"/>
    <x v="1"/>
    <x v="3"/>
  </r>
  <r>
    <x v="133"/>
    <x v="22"/>
    <x v="108"/>
    <x v="10"/>
    <x v="4"/>
    <x v="0"/>
    <x v="6"/>
    <x v="0"/>
    <x v="2"/>
    <x v="6"/>
    <x v="6"/>
    <x v="0"/>
    <x v="0"/>
    <x v="0"/>
    <x v="3"/>
  </r>
  <r>
    <x v="134"/>
    <x v="22"/>
    <x v="109"/>
    <x v="0"/>
    <x v="4"/>
    <x v="0"/>
    <x v="9"/>
    <x v="3"/>
    <x v="2"/>
    <x v="7"/>
    <x v="9"/>
    <x v="0"/>
    <x v="0"/>
    <x v="3"/>
    <x v="2"/>
  </r>
  <r>
    <x v="135"/>
    <x v="22"/>
    <x v="110"/>
    <x v="12"/>
    <x v="4"/>
    <x v="0"/>
    <x v="8"/>
    <x v="2"/>
    <x v="0"/>
    <x v="8"/>
    <x v="21"/>
    <x v="0"/>
    <x v="0"/>
    <x v="1"/>
    <x v="3"/>
  </r>
  <r>
    <x v="136"/>
    <x v="22"/>
    <x v="44"/>
    <x v="5"/>
    <x v="4"/>
    <x v="0"/>
    <x v="10"/>
    <x v="4"/>
    <x v="0"/>
    <x v="10"/>
    <x v="32"/>
    <x v="0"/>
    <x v="0"/>
    <x v="2"/>
    <x v="3"/>
  </r>
  <r>
    <x v="137"/>
    <x v="22"/>
    <x v="52"/>
    <x v="3"/>
    <x v="4"/>
    <x v="1"/>
    <x v="0"/>
    <x v="0"/>
    <x v="2"/>
    <x v="0"/>
    <x v="7"/>
    <x v="0"/>
    <x v="0"/>
    <x v="2"/>
    <x v="3"/>
  </r>
  <r>
    <x v="138"/>
    <x v="22"/>
    <x v="62"/>
    <x v="2"/>
    <x v="4"/>
    <x v="0"/>
    <x v="12"/>
    <x v="4"/>
    <x v="2"/>
    <x v="8"/>
    <x v="10"/>
    <x v="0"/>
    <x v="0"/>
    <x v="0"/>
    <x v="0"/>
  </r>
  <r>
    <x v="139"/>
    <x v="23"/>
    <x v="111"/>
    <x v="7"/>
    <x v="5"/>
    <x v="0"/>
    <x v="4"/>
    <x v="1"/>
    <x v="0"/>
    <x v="4"/>
    <x v="35"/>
    <x v="1"/>
    <x v="0"/>
    <x v="1"/>
    <x v="4"/>
  </r>
  <r>
    <x v="140"/>
    <x v="23"/>
    <x v="112"/>
    <x v="1"/>
    <x v="5"/>
    <x v="0"/>
    <x v="3"/>
    <x v="3"/>
    <x v="2"/>
    <x v="3"/>
    <x v="3"/>
    <x v="0"/>
    <x v="0"/>
    <x v="2"/>
    <x v="3"/>
  </r>
  <r>
    <x v="141"/>
    <x v="23"/>
    <x v="113"/>
    <x v="1"/>
    <x v="5"/>
    <x v="2"/>
    <x v="1"/>
    <x v="1"/>
    <x v="2"/>
    <x v="1"/>
    <x v="8"/>
    <x v="0"/>
    <x v="0"/>
    <x v="2"/>
    <x v="2"/>
  </r>
  <r>
    <x v="142"/>
    <x v="23"/>
    <x v="114"/>
    <x v="1"/>
    <x v="5"/>
    <x v="0"/>
    <x v="8"/>
    <x v="2"/>
    <x v="0"/>
    <x v="8"/>
    <x v="21"/>
    <x v="0"/>
    <x v="0"/>
    <x v="0"/>
    <x v="1"/>
  </r>
  <r>
    <x v="143"/>
    <x v="23"/>
    <x v="99"/>
    <x v="1"/>
    <x v="5"/>
    <x v="0"/>
    <x v="2"/>
    <x v="2"/>
    <x v="0"/>
    <x v="2"/>
    <x v="36"/>
    <x v="0"/>
    <x v="1"/>
    <x v="0"/>
    <x v="0"/>
  </r>
  <r>
    <x v="144"/>
    <x v="23"/>
    <x v="115"/>
    <x v="3"/>
    <x v="5"/>
    <x v="2"/>
    <x v="6"/>
    <x v="0"/>
    <x v="0"/>
    <x v="6"/>
    <x v="2"/>
    <x v="0"/>
    <x v="0"/>
    <x v="0"/>
    <x v="0"/>
  </r>
  <r>
    <x v="145"/>
    <x v="23"/>
    <x v="91"/>
    <x v="3"/>
    <x v="5"/>
    <x v="2"/>
    <x v="13"/>
    <x v="0"/>
    <x v="2"/>
    <x v="2"/>
    <x v="2"/>
    <x v="0"/>
    <x v="0"/>
    <x v="0"/>
    <x v="0"/>
  </r>
  <r>
    <x v="146"/>
    <x v="24"/>
    <x v="10"/>
    <x v="4"/>
    <x v="6"/>
    <x v="0"/>
    <x v="3"/>
    <x v="3"/>
    <x v="1"/>
    <x v="3"/>
    <x v="21"/>
    <x v="0"/>
    <x v="0"/>
    <x v="0"/>
    <x v="4"/>
  </r>
  <r>
    <x v="147"/>
    <x v="23"/>
    <x v="116"/>
    <x v="2"/>
    <x v="5"/>
    <x v="1"/>
    <x v="8"/>
    <x v="2"/>
    <x v="0"/>
    <x v="8"/>
    <x v="21"/>
    <x v="0"/>
    <x v="0"/>
    <x v="0"/>
    <x v="4"/>
  </r>
  <r>
    <x v="148"/>
    <x v="24"/>
    <x v="111"/>
    <x v="7"/>
    <x v="6"/>
    <x v="2"/>
    <x v="6"/>
    <x v="0"/>
    <x v="0"/>
    <x v="6"/>
    <x v="2"/>
    <x v="0"/>
    <x v="0"/>
    <x v="3"/>
    <x v="1"/>
  </r>
  <r>
    <x v="149"/>
    <x v="24"/>
    <x v="117"/>
    <x v="7"/>
    <x v="6"/>
    <x v="0"/>
    <x v="3"/>
    <x v="3"/>
    <x v="1"/>
    <x v="3"/>
    <x v="21"/>
    <x v="0"/>
    <x v="0"/>
    <x v="2"/>
    <x v="0"/>
  </r>
  <r>
    <x v="150"/>
    <x v="24"/>
    <x v="118"/>
    <x v="0"/>
    <x v="6"/>
    <x v="2"/>
    <x v="6"/>
    <x v="0"/>
    <x v="2"/>
    <x v="6"/>
    <x v="6"/>
    <x v="0"/>
    <x v="0"/>
    <x v="0"/>
    <x v="2"/>
  </r>
  <r>
    <x v="151"/>
    <x v="24"/>
    <x v="119"/>
    <x v="0"/>
    <x v="6"/>
    <x v="0"/>
    <x v="11"/>
    <x v="1"/>
    <x v="2"/>
    <x v="11"/>
    <x v="24"/>
    <x v="0"/>
    <x v="0"/>
    <x v="0"/>
    <x v="4"/>
  </r>
  <r>
    <x v="152"/>
    <x v="24"/>
    <x v="120"/>
    <x v="5"/>
    <x v="6"/>
    <x v="0"/>
    <x v="2"/>
    <x v="2"/>
    <x v="0"/>
    <x v="2"/>
    <x v="37"/>
    <x v="0"/>
    <x v="2"/>
    <x v="0"/>
    <x v="3"/>
  </r>
  <r>
    <x v="153"/>
    <x v="24"/>
    <x v="121"/>
    <x v="5"/>
    <x v="6"/>
    <x v="0"/>
    <x v="6"/>
    <x v="0"/>
    <x v="0"/>
    <x v="6"/>
    <x v="2"/>
    <x v="0"/>
    <x v="0"/>
    <x v="2"/>
    <x v="0"/>
  </r>
  <r>
    <x v="154"/>
    <x v="24"/>
    <x v="122"/>
    <x v="1"/>
    <x v="6"/>
    <x v="0"/>
    <x v="3"/>
    <x v="3"/>
    <x v="2"/>
    <x v="3"/>
    <x v="3"/>
    <x v="0"/>
    <x v="0"/>
    <x v="0"/>
    <x v="2"/>
  </r>
  <r>
    <x v="155"/>
    <x v="24"/>
    <x v="122"/>
    <x v="1"/>
    <x v="6"/>
    <x v="0"/>
    <x v="13"/>
    <x v="0"/>
    <x v="2"/>
    <x v="2"/>
    <x v="2"/>
    <x v="0"/>
    <x v="0"/>
    <x v="1"/>
    <x v="2"/>
  </r>
  <r>
    <x v="156"/>
    <x v="24"/>
    <x v="115"/>
    <x v="3"/>
    <x v="6"/>
    <x v="0"/>
    <x v="0"/>
    <x v="0"/>
    <x v="2"/>
    <x v="0"/>
    <x v="38"/>
    <x v="0"/>
    <x v="1"/>
    <x v="1"/>
    <x v="3"/>
  </r>
  <r>
    <x v="157"/>
    <x v="24"/>
    <x v="95"/>
    <x v="3"/>
    <x v="6"/>
    <x v="0"/>
    <x v="11"/>
    <x v="1"/>
    <x v="2"/>
    <x v="11"/>
    <x v="24"/>
    <x v="1"/>
    <x v="0"/>
    <x v="0"/>
    <x v="1"/>
  </r>
  <r>
    <x v="158"/>
    <x v="24"/>
    <x v="123"/>
    <x v="3"/>
    <x v="6"/>
    <x v="0"/>
    <x v="7"/>
    <x v="2"/>
    <x v="2"/>
    <x v="7"/>
    <x v="9"/>
    <x v="1"/>
    <x v="0"/>
    <x v="2"/>
    <x v="4"/>
  </r>
  <r>
    <x v="159"/>
    <x v="24"/>
    <x v="124"/>
    <x v="2"/>
    <x v="6"/>
    <x v="0"/>
    <x v="0"/>
    <x v="0"/>
    <x v="2"/>
    <x v="0"/>
    <x v="7"/>
    <x v="1"/>
    <x v="0"/>
    <x v="0"/>
    <x v="1"/>
  </r>
  <r>
    <x v="160"/>
    <x v="24"/>
    <x v="125"/>
    <x v="2"/>
    <x v="6"/>
    <x v="0"/>
    <x v="8"/>
    <x v="2"/>
    <x v="2"/>
    <x v="8"/>
    <x v="10"/>
    <x v="0"/>
    <x v="0"/>
    <x v="0"/>
    <x v="4"/>
  </r>
  <r>
    <x v="161"/>
    <x v="24"/>
    <x v="126"/>
    <x v="4"/>
    <x v="6"/>
    <x v="0"/>
    <x v="11"/>
    <x v="1"/>
    <x v="0"/>
    <x v="11"/>
    <x v="39"/>
    <x v="0"/>
    <x v="0"/>
    <x v="0"/>
    <x v="1"/>
  </r>
  <r>
    <x v="162"/>
    <x v="23"/>
    <x v="85"/>
    <x v="3"/>
    <x v="5"/>
    <x v="0"/>
    <x v="8"/>
    <x v="2"/>
    <x v="2"/>
    <x v="8"/>
    <x v="10"/>
    <x v="0"/>
    <x v="0"/>
    <x v="0"/>
    <x v="3"/>
  </r>
  <r>
    <x v="163"/>
    <x v="25"/>
    <x v="127"/>
    <x v="9"/>
    <x v="0"/>
    <x v="0"/>
    <x v="2"/>
    <x v="2"/>
    <x v="2"/>
    <x v="2"/>
    <x v="2"/>
    <x v="0"/>
    <x v="0"/>
    <x v="3"/>
    <x v="3"/>
  </r>
  <r>
    <x v="164"/>
    <x v="25"/>
    <x v="128"/>
    <x v="7"/>
    <x v="0"/>
    <x v="0"/>
    <x v="12"/>
    <x v="4"/>
    <x v="2"/>
    <x v="8"/>
    <x v="36"/>
    <x v="0"/>
    <x v="1"/>
    <x v="0"/>
    <x v="2"/>
  </r>
  <r>
    <x v="165"/>
    <x v="25"/>
    <x v="129"/>
    <x v="5"/>
    <x v="0"/>
    <x v="0"/>
    <x v="6"/>
    <x v="0"/>
    <x v="0"/>
    <x v="6"/>
    <x v="2"/>
    <x v="0"/>
    <x v="0"/>
    <x v="0"/>
    <x v="4"/>
  </r>
  <r>
    <x v="166"/>
    <x v="25"/>
    <x v="130"/>
    <x v="1"/>
    <x v="0"/>
    <x v="0"/>
    <x v="6"/>
    <x v="0"/>
    <x v="1"/>
    <x v="6"/>
    <x v="25"/>
    <x v="1"/>
    <x v="0"/>
    <x v="0"/>
    <x v="3"/>
  </r>
  <r>
    <x v="167"/>
    <x v="25"/>
    <x v="14"/>
    <x v="2"/>
    <x v="0"/>
    <x v="0"/>
    <x v="7"/>
    <x v="2"/>
    <x v="2"/>
    <x v="7"/>
    <x v="9"/>
    <x v="0"/>
    <x v="0"/>
    <x v="0"/>
    <x v="3"/>
  </r>
  <r>
    <x v="168"/>
    <x v="25"/>
    <x v="131"/>
    <x v="2"/>
    <x v="0"/>
    <x v="0"/>
    <x v="0"/>
    <x v="0"/>
    <x v="2"/>
    <x v="0"/>
    <x v="7"/>
    <x v="0"/>
    <x v="0"/>
    <x v="0"/>
    <x v="3"/>
  </r>
  <r>
    <x v="169"/>
    <x v="26"/>
    <x v="132"/>
    <x v="7"/>
    <x v="1"/>
    <x v="2"/>
    <x v="6"/>
    <x v="0"/>
    <x v="1"/>
    <x v="6"/>
    <x v="25"/>
    <x v="0"/>
    <x v="0"/>
    <x v="0"/>
    <x v="0"/>
  </r>
  <r>
    <x v="170"/>
    <x v="26"/>
    <x v="133"/>
    <x v="5"/>
    <x v="1"/>
    <x v="2"/>
    <x v="8"/>
    <x v="2"/>
    <x v="0"/>
    <x v="8"/>
    <x v="21"/>
    <x v="0"/>
    <x v="0"/>
    <x v="0"/>
    <x v="2"/>
  </r>
  <r>
    <x v="171"/>
    <x v="26"/>
    <x v="134"/>
    <x v="2"/>
    <x v="1"/>
    <x v="1"/>
    <x v="12"/>
    <x v="4"/>
    <x v="2"/>
    <x v="8"/>
    <x v="10"/>
    <x v="0"/>
    <x v="0"/>
    <x v="0"/>
    <x v="1"/>
  </r>
  <r>
    <x v="172"/>
    <x v="26"/>
    <x v="135"/>
    <x v="4"/>
    <x v="1"/>
    <x v="2"/>
    <x v="10"/>
    <x v="4"/>
    <x v="2"/>
    <x v="10"/>
    <x v="33"/>
    <x v="0"/>
    <x v="3"/>
    <x v="0"/>
    <x v="0"/>
  </r>
  <r>
    <x v="173"/>
    <x v="27"/>
    <x v="136"/>
    <x v="7"/>
    <x v="2"/>
    <x v="2"/>
    <x v="0"/>
    <x v="0"/>
    <x v="0"/>
    <x v="0"/>
    <x v="0"/>
    <x v="0"/>
    <x v="0"/>
    <x v="0"/>
    <x v="3"/>
  </r>
  <r>
    <x v="174"/>
    <x v="27"/>
    <x v="137"/>
    <x v="7"/>
    <x v="2"/>
    <x v="2"/>
    <x v="2"/>
    <x v="2"/>
    <x v="2"/>
    <x v="2"/>
    <x v="2"/>
    <x v="0"/>
    <x v="0"/>
    <x v="2"/>
    <x v="4"/>
  </r>
  <r>
    <x v="175"/>
    <x v="27"/>
    <x v="138"/>
    <x v="12"/>
    <x v="2"/>
    <x v="0"/>
    <x v="7"/>
    <x v="2"/>
    <x v="0"/>
    <x v="7"/>
    <x v="40"/>
    <x v="0"/>
    <x v="1"/>
    <x v="2"/>
    <x v="2"/>
  </r>
  <r>
    <x v="176"/>
    <x v="27"/>
    <x v="139"/>
    <x v="8"/>
    <x v="2"/>
    <x v="1"/>
    <x v="1"/>
    <x v="1"/>
    <x v="0"/>
    <x v="1"/>
    <x v="16"/>
    <x v="0"/>
    <x v="0"/>
    <x v="2"/>
    <x v="1"/>
  </r>
  <r>
    <x v="177"/>
    <x v="27"/>
    <x v="140"/>
    <x v="5"/>
    <x v="2"/>
    <x v="2"/>
    <x v="0"/>
    <x v="0"/>
    <x v="2"/>
    <x v="0"/>
    <x v="41"/>
    <x v="1"/>
    <x v="3"/>
    <x v="0"/>
    <x v="4"/>
  </r>
  <r>
    <x v="178"/>
    <x v="27"/>
    <x v="44"/>
    <x v="5"/>
    <x v="2"/>
    <x v="0"/>
    <x v="7"/>
    <x v="2"/>
    <x v="0"/>
    <x v="7"/>
    <x v="12"/>
    <x v="0"/>
    <x v="0"/>
    <x v="0"/>
    <x v="0"/>
  </r>
  <r>
    <x v="179"/>
    <x v="27"/>
    <x v="11"/>
    <x v="5"/>
    <x v="2"/>
    <x v="1"/>
    <x v="6"/>
    <x v="0"/>
    <x v="0"/>
    <x v="6"/>
    <x v="2"/>
    <x v="0"/>
    <x v="0"/>
    <x v="0"/>
    <x v="1"/>
  </r>
  <r>
    <x v="180"/>
    <x v="27"/>
    <x v="141"/>
    <x v="1"/>
    <x v="2"/>
    <x v="0"/>
    <x v="1"/>
    <x v="1"/>
    <x v="1"/>
    <x v="1"/>
    <x v="1"/>
    <x v="0"/>
    <x v="0"/>
    <x v="0"/>
    <x v="2"/>
  </r>
  <r>
    <x v="181"/>
    <x v="27"/>
    <x v="99"/>
    <x v="1"/>
    <x v="2"/>
    <x v="0"/>
    <x v="5"/>
    <x v="1"/>
    <x v="2"/>
    <x v="5"/>
    <x v="5"/>
    <x v="0"/>
    <x v="0"/>
    <x v="0"/>
    <x v="1"/>
  </r>
  <r>
    <x v="182"/>
    <x v="27"/>
    <x v="72"/>
    <x v="3"/>
    <x v="2"/>
    <x v="1"/>
    <x v="11"/>
    <x v="1"/>
    <x v="2"/>
    <x v="11"/>
    <x v="24"/>
    <x v="0"/>
    <x v="0"/>
    <x v="1"/>
    <x v="3"/>
  </r>
  <r>
    <x v="183"/>
    <x v="27"/>
    <x v="34"/>
    <x v="4"/>
    <x v="2"/>
    <x v="2"/>
    <x v="7"/>
    <x v="2"/>
    <x v="2"/>
    <x v="7"/>
    <x v="9"/>
    <x v="0"/>
    <x v="0"/>
    <x v="0"/>
    <x v="1"/>
  </r>
  <r>
    <x v="184"/>
    <x v="28"/>
    <x v="142"/>
    <x v="0"/>
    <x v="3"/>
    <x v="1"/>
    <x v="10"/>
    <x v="4"/>
    <x v="0"/>
    <x v="10"/>
    <x v="42"/>
    <x v="0"/>
    <x v="1"/>
    <x v="0"/>
    <x v="0"/>
  </r>
  <r>
    <x v="185"/>
    <x v="28"/>
    <x v="83"/>
    <x v="1"/>
    <x v="3"/>
    <x v="0"/>
    <x v="7"/>
    <x v="2"/>
    <x v="2"/>
    <x v="7"/>
    <x v="9"/>
    <x v="0"/>
    <x v="0"/>
    <x v="0"/>
    <x v="0"/>
  </r>
  <r>
    <x v="186"/>
    <x v="28"/>
    <x v="18"/>
    <x v="1"/>
    <x v="3"/>
    <x v="2"/>
    <x v="12"/>
    <x v="4"/>
    <x v="1"/>
    <x v="8"/>
    <x v="5"/>
    <x v="1"/>
    <x v="0"/>
    <x v="3"/>
    <x v="1"/>
  </r>
  <r>
    <x v="187"/>
    <x v="28"/>
    <x v="143"/>
    <x v="1"/>
    <x v="3"/>
    <x v="0"/>
    <x v="3"/>
    <x v="3"/>
    <x v="2"/>
    <x v="3"/>
    <x v="3"/>
    <x v="0"/>
    <x v="0"/>
    <x v="2"/>
    <x v="3"/>
  </r>
  <r>
    <x v="188"/>
    <x v="28"/>
    <x v="144"/>
    <x v="2"/>
    <x v="3"/>
    <x v="1"/>
    <x v="8"/>
    <x v="2"/>
    <x v="2"/>
    <x v="8"/>
    <x v="37"/>
    <x v="0"/>
    <x v="2"/>
    <x v="4"/>
    <x v="3"/>
  </r>
  <r>
    <x v="189"/>
    <x v="29"/>
    <x v="145"/>
    <x v="10"/>
    <x v="4"/>
    <x v="1"/>
    <x v="3"/>
    <x v="3"/>
    <x v="0"/>
    <x v="3"/>
    <x v="14"/>
    <x v="0"/>
    <x v="0"/>
    <x v="3"/>
    <x v="1"/>
  </r>
  <r>
    <x v="190"/>
    <x v="29"/>
    <x v="146"/>
    <x v="10"/>
    <x v="4"/>
    <x v="0"/>
    <x v="7"/>
    <x v="2"/>
    <x v="0"/>
    <x v="7"/>
    <x v="12"/>
    <x v="0"/>
    <x v="0"/>
    <x v="2"/>
    <x v="1"/>
  </r>
  <r>
    <x v="191"/>
    <x v="29"/>
    <x v="147"/>
    <x v="10"/>
    <x v="4"/>
    <x v="2"/>
    <x v="1"/>
    <x v="1"/>
    <x v="0"/>
    <x v="1"/>
    <x v="16"/>
    <x v="1"/>
    <x v="0"/>
    <x v="0"/>
    <x v="1"/>
  </r>
  <r>
    <x v="192"/>
    <x v="29"/>
    <x v="148"/>
    <x v="12"/>
    <x v="4"/>
    <x v="0"/>
    <x v="2"/>
    <x v="2"/>
    <x v="2"/>
    <x v="2"/>
    <x v="2"/>
    <x v="0"/>
    <x v="0"/>
    <x v="0"/>
    <x v="2"/>
  </r>
  <r>
    <x v="193"/>
    <x v="29"/>
    <x v="149"/>
    <x v="12"/>
    <x v="4"/>
    <x v="2"/>
    <x v="8"/>
    <x v="2"/>
    <x v="0"/>
    <x v="8"/>
    <x v="21"/>
    <x v="0"/>
    <x v="0"/>
    <x v="2"/>
    <x v="1"/>
  </r>
  <r>
    <x v="194"/>
    <x v="29"/>
    <x v="150"/>
    <x v="11"/>
    <x v="4"/>
    <x v="0"/>
    <x v="8"/>
    <x v="2"/>
    <x v="2"/>
    <x v="8"/>
    <x v="43"/>
    <x v="1"/>
    <x v="3"/>
    <x v="0"/>
    <x v="0"/>
  </r>
  <r>
    <x v="195"/>
    <x v="29"/>
    <x v="151"/>
    <x v="8"/>
    <x v="4"/>
    <x v="2"/>
    <x v="3"/>
    <x v="3"/>
    <x v="2"/>
    <x v="3"/>
    <x v="3"/>
    <x v="0"/>
    <x v="0"/>
    <x v="2"/>
    <x v="1"/>
  </r>
  <r>
    <x v="196"/>
    <x v="29"/>
    <x v="141"/>
    <x v="1"/>
    <x v="4"/>
    <x v="0"/>
    <x v="6"/>
    <x v="0"/>
    <x v="0"/>
    <x v="6"/>
    <x v="30"/>
    <x v="0"/>
    <x v="1"/>
    <x v="0"/>
    <x v="3"/>
  </r>
  <r>
    <x v="197"/>
    <x v="29"/>
    <x v="7"/>
    <x v="1"/>
    <x v="4"/>
    <x v="0"/>
    <x v="3"/>
    <x v="3"/>
    <x v="2"/>
    <x v="3"/>
    <x v="44"/>
    <x v="1"/>
    <x v="2"/>
    <x v="0"/>
    <x v="1"/>
  </r>
  <r>
    <x v="198"/>
    <x v="29"/>
    <x v="45"/>
    <x v="3"/>
    <x v="4"/>
    <x v="0"/>
    <x v="3"/>
    <x v="3"/>
    <x v="2"/>
    <x v="3"/>
    <x v="3"/>
    <x v="0"/>
    <x v="0"/>
    <x v="0"/>
    <x v="1"/>
  </r>
  <r>
    <x v="199"/>
    <x v="29"/>
    <x v="152"/>
    <x v="4"/>
    <x v="4"/>
    <x v="1"/>
    <x v="6"/>
    <x v="0"/>
    <x v="2"/>
    <x v="6"/>
    <x v="6"/>
    <x v="1"/>
    <x v="0"/>
    <x v="0"/>
    <x v="3"/>
  </r>
  <r>
    <x v="200"/>
    <x v="30"/>
    <x v="87"/>
    <x v="10"/>
    <x v="5"/>
    <x v="0"/>
    <x v="10"/>
    <x v="4"/>
    <x v="2"/>
    <x v="10"/>
    <x v="13"/>
    <x v="1"/>
    <x v="0"/>
    <x v="2"/>
    <x v="0"/>
  </r>
  <r>
    <x v="201"/>
    <x v="30"/>
    <x v="153"/>
    <x v="0"/>
    <x v="5"/>
    <x v="0"/>
    <x v="8"/>
    <x v="2"/>
    <x v="2"/>
    <x v="8"/>
    <x v="10"/>
    <x v="0"/>
    <x v="0"/>
    <x v="2"/>
    <x v="2"/>
  </r>
  <r>
    <x v="202"/>
    <x v="30"/>
    <x v="118"/>
    <x v="0"/>
    <x v="5"/>
    <x v="2"/>
    <x v="0"/>
    <x v="0"/>
    <x v="2"/>
    <x v="0"/>
    <x v="7"/>
    <x v="0"/>
    <x v="0"/>
    <x v="2"/>
    <x v="3"/>
  </r>
  <r>
    <x v="203"/>
    <x v="30"/>
    <x v="154"/>
    <x v="0"/>
    <x v="5"/>
    <x v="0"/>
    <x v="9"/>
    <x v="3"/>
    <x v="2"/>
    <x v="7"/>
    <x v="9"/>
    <x v="0"/>
    <x v="0"/>
    <x v="0"/>
    <x v="4"/>
  </r>
  <r>
    <x v="204"/>
    <x v="30"/>
    <x v="155"/>
    <x v="11"/>
    <x v="5"/>
    <x v="0"/>
    <x v="12"/>
    <x v="4"/>
    <x v="2"/>
    <x v="8"/>
    <x v="10"/>
    <x v="0"/>
    <x v="0"/>
    <x v="2"/>
    <x v="2"/>
  </r>
  <r>
    <x v="205"/>
    <x v="30"/>
    <x v="81"/>
    <x v="5"/>
    <x v="5"/>
    <x v="0"/>
    <x v="4"/>
    <x v="1"/>
    <x v="2"/>
    <x v="4"/>
    <x v="15"/>
    <x v="0"/>
    <x v="0"/>
    <x v="0"/>
    <x v="0"/>
  </r>
  <r>
    <x v="206"/>
    <x v="30"/>
    <x v="156"/>
    <x v="5"/>
    <x v="5"/>
    <x v="2"/>
    <x v="9"/>
    <x v="3"/>
    <x v="2"/>
    <x v="7"/>
    <x v="9"/>
    <x v="1"/>
    <x v="0"/>
    <x v="1"/>
    <x v="3"/>
  </r>
  <r>
    <x v="207"/>
    <x v="30"/>
    <x v="54"/>
    <x v="1"/>
    <x v="5"/>
    <x v="2"/>
    <x v="6"/>
    <x v="0"/>
    <x v="2"/>
    <x v="6"/>
    <x v="6"/>
    <x v="1"/>
    <x v="0"/>
    <x v="2"/>
    <x v="1"/>
  </r>
  <r>
    <x v="208"/>
    <x v="30"/>
    <x v="157"/>
    <x v="1"/>
    <x v="5"/>
    <x v="2"/>
    <x v="5"/>
    <x v="1"/>
    <x v="2"/>
    <x v="5"/>
    <x v="5"/>
    <x v="0"/>
    <x v="0"/>
    <x v="2"/>
    <x v="2"/>
  </r>
  <r>
    <x v="209"/>
    <x v="30"/>
    <x v="158"/>
    <x v="1"/>
    <x v="5"/>
    <x v="2"/>
    <x v="6"/>
    <x v="0"/>
    <x v="2"/>
    <x v="6"/>
    <x v="6"/>
    <x v="1"/>
    <x v="0"/>
    <x v="0"/>
    <x v="3"/>
  </r>
  <r>
    <x v="210"/>
    <x v="30"/>
    <x v="99"/>
    <x v="1"/>
    <x v="5"/>
    <x v="0"/>
    <x v="1"/>
    <x v="1"/>
    <x v="0"/>
    <x v="1"/>
    <x v="16"/>
    <x v="1"/>
    <x v="0"/>
    <x v="1"/>
    <x v="4"/>
  </r>
  <r>
    <x v="211"/>
    <x v="30"/>
    <x v="159"/>
    <x v="3"/>
    <x v="5"/>
    <x v="0"/>
    <x v="4"/>
    <x v="1"/>
    <x v="0"/>
    <x v="4"/>
    <x v="35"/>
    <x v="0"/>
    <x v="0"/>
    <x v="0"/>
    <x v="0"/>
  </r>
  <r>
    <x v="212"/>
    <x v="30"/>
    <x v="160"/>
    <x v="3"/>
    <x v="5"/>
    <x v="0"/>
    <x v="10"/>
    <x v="4"/>
    <x v="0"/>
    <x v="10"/>
    <x v="32"/>
    <x v="0"/>
    <x v="0"/>
    <x v="1"/>
    <x v="3"/>
  </r>
  <r>
    <x v="213"/>
    <x v="30"/>
    <x v="161"/>
    <x v="3"/>
    <x v="5"/>
    <x v="0"/>
    <x v="8"/>
    <x v="2"/>
    <x v="2"/>
    <x v="8"/>
    <x v="10"/>
    <x v="0"/>
    <x v="0"/>
    <x v="0"/>
    <x v="4"/>
  </r>
  <r>
    <x v="214"/>
    <x v="30"/>
    <x v="162"/>
    <x v="3"/>
    <x v="5"/>
    <x v="2"/>
    <x v="9"/>
    <x v="3"/>
    <x v="0"/>
    <x v="7"/>
    <x v="12"/>
    <x v="0"/>
    <x v="0"/>
    <x v="0"/>
    <x v="1"/>
  </r>
  <r>
    <x v="215"/>
    <x v="30"/>
    <x v="163"/>
    <x v="3"/>
    <x v="5"/>
    <x v="2"/>
    <x v="2"/>
    <x v="2"/>
    <x v="2"/>
    <x v="2"/>
    <x v="2"/>
    <x v="0"/>
    <x v="0"/>
    <x v="0"/>
    <x v="4"/>
  </r>
  <r>
    <x v="216"/>
    <x v="30"/>
    <x v="124"/>
    <x v="2"/>
    <x v="5"/>
    <x v="0"/>
    <x v="5"/>
    <x v="1"/>
    <x v="2"/>
    <x v="5"/>
    <x v="45"/>
    <x v="0"/>
    <x v="2"/>
    <x v="0"/>
    <x v="3"/>
  </r>
  <r>
    <x v="217"/>
    <x v="30"/>
    <x v="164"/>
    <x v="2"/>
    <x v="5"/>
    <x v="0"/>
    <x v="6"/>
    <x v="0"/>
    <x v="2"/>
    <x v="6"/>
    <x v="6"/>
    <x v="0"/>
    <x v="0"/>
    <x v="0"/>
    <x v="0"/>
  </r>
  <r>
    <x v="218"/>
    <x v="31"/>
    <x v="165"/>
    <x v="10"/>
    <x v="6"/>
    <x v="0"/>
    <x v="7"/>
    <x v="2"/>
    <x v="2"/>
    <x v="7"/>
    <x v="46"/>
    <x v="0"/>
    <x v="3"/>
    <x v="2"/>
    <x v="4"/>
  </r>
  <r>
    <x v="219"/>
    <x v="31"/>
    <x v="166"/>
    <x v="10"/>
    <x v="6"/>
    <x v="0"/>
    <x v="10"/>
    <x v="4"/>
    <x v="2"/>
    <x v="10"/>
    <x v="13"/>
    <x v="0"/>
    <x v="0"/>
    <x v="0"/>
    <x v="4"/>
  </r>
  <r>
    <x v="220"/>
    <x v="31"/>
    <x v="167"/>
    <x v="5"/>
    <x v="6"/>
    <x v="0"/>
    <x v="4"/>
    <x v="1"/>
    <x v="0"/>
    <x v="4"/>
    <x v="35"/>
    <x v="1"/>
    <x v="0"/>
    <x v="0"/>
    <x v="4"/>
  </r>
  <r>
    <x v="221"/>
    <x v="31"/>
    <x v="168"/>
    <x v="3"/>
    <x v="6"/>
    <x v="0"/>
    <x v="0"/>
    <x v="0"/>
    <x v="2"/>
    <x v="0"/>
    <x v="7"/>
    <x v="0"/>
    <x v="0"/>
    <x v="2"/>
    <x v="0"/>
  </r>
  <r>
    <x v="222"/>
    <x v="31"/>
    <x v="169"/>
    <x v="3"/>
    <x v="6"/>
    <x v="1"/>
    <x v="11"/>
    <x v="1"/>
    <x v="2"/>
    <x v="11"/>
    <x v="24"/>
    <x v="0"/>
    <x v="0"/>
    <x v="0"/>
    <x v="1"/>
  </r>
  <r>
    <x v="223"/>
    <x v="31"/>
    <x v="162"/>
    <x v="3"/>
    <x v="6"/>
    <x v="0"/>
    <x v="12"/>
    <x v="4"/>
    <x v="0"/>
    <x v="8"/>
    <x v="21"/>
    <x v="0"/>
    <x v="0"/>
    <x v="0"/>
    <x v="4"/>
  </r>
  <r>
    <x v="224"/>
    <x v="31"/>
    <x v="170"/>
    <x v="2"/>
    <x v="6"/>
    <x v="2"/>
    <x v="8"/>
    <x v="2"/>
    <x v="1"/>
    <x v="8"/>
    <x v="5"/>
    <x v="0"/>
    <x v="0"/>
    <x v="0"/>
    <x v="2"/>
  </r>
  <r>
    <x v="225"/>
    <x v="32"/>
    <x v="25"/>
    <x v="8"/>
    <x v="0"/>
    <x v="0"/>
    <x v="0"/>
    <x v="0"/>
    <x v="2"/>
    <x v="0"/>
    <x v="7"/>
    <x v="1"/>
    <x v="0"/>
    <x v="0"/>
    <x v="1"/>
  </r>
  <r>
    <x v="226"/>
    <x v="32"/>
    <x v="171"/>
    <x v="1"/>
    <x v="0"/>
    <x v="0"/>
    <x v="6"/>
    <x v="0"/>
    <x v="0"/>
    <x v="6"/>
    <x v="2"/>
    <x v="0"/>
    <x v="0"/>
    <x v="3"/>
    <x v="2"/>
  </r>
  <r>
    <x v="227"/>
    <x v="32"/>
    <x v="172"/>
    <x v="3"/>
    <x v="0"/>
    <x v="2"/>
    <x v="1"/>
    <x v="1"/>
    <x v="2"/>
    <x v="1"/>
    <x v="8"/>
    <x v="0"/>
    <x v="0"/>
    <x v="2"/>
    <x v="0"/>
  </r>
  <r>
    <x v="228"/>
    <x v="32"/>
    <x v="124"/>
    <x v="2"/>
    <x v="0"/>
    <x v="0"/>
    <x v="5"/>
    <x v="1"/>
    <x v="0"/>
    <x v="5"/>
    <x v="47"/>
    <x v="0"/>
    <x v="1"/>
    <x v="0"/>
    <x v="1"/>
  </r>
  <r>
    <x v="229"/>
    <x v="32"/>
    <x v="14"/>
    <x v="2"/>
    <x v="0"/>
    <x v="1"/>
    <x v="9"/>
    <x v="3"/>
    <x v="2"/>
    <x v="7"/>
    <x v="9"/>
    <x v="0"/>
    <x v="0"/>
    <x v="0"/>
    <x v="4"/>
  </r>
  <r>
    <x v="230"/>
    <x v="33"/>
    <x v="105"/>
    <x v="10"/>
    <x v="1"/>
    <x v="2"/>
    <x v="6"/>
    <x v="0"/>
    <x v="2"/>
    <x v="6"/>
    <x v="6"/>
    <x v="0"/>
    <x v="0"/>
    <x v="0"/>
    <x v="1"/>
  </r>
  <r>
    <x v="231"/>
    <x v="2"/>
    <x v="173"/>
    <x v="7"/>
    <x v="2"/>
    <x v="2"/>
    <x v="11"/>
    <x v="1"/>
    <x v="2"/>
    <x v="11"/>
    <x v="24"/>
    <x v="0"/>
    <x v="0"/>
    <x v="0"/>
    <x v="4"/>
  </r>
  <r>
    <x v="232"/>
    <x v="33"/>
    <x v="174"/>
    <x v="11"/>
    <x v="1"/>
    <x v="2"/>
    <x v="7"/>
    <x v="2"/>
    <x v="0"/>
    <x v="7"/>
    <x v="12"/>
    <x v="0"/>
    <x v="0"/>
    <x v="0"/>
    <x v="1"/>
  </r>
  <r>
    <x v="233"/>
    <x v="33"/>
    <x v="175"/>
    <x v="5"/>
    <x v="1"/>
    <x v="2"/>
    <x v="3"/>
    <x v="3"/>
    <x v="0"/>
    <x v="3"/>
    <x v="14"/>
    <x v="0"/>
    <x v="0"/>
    <x v="1"/>
    <x v="3"/>
  </r>
  <r>
    <x v="234"/>
    <x v="33"/>
    <x v="60"/>
    <x v="1"/>
    <x v="1"/>
    <x v="0"/>
    <x v="11"/>
    <x v="1"/>
    <x v="2"/>
    <x v="11"/>
    <x v="24"/>
    <x v="0"/>
    <x v="0"/>
    <x v="2"/>
    <x v="3"/>
  </r>
  <r>
    <x v="235"/>
    <x v="33"/>
    <x v="69"/>
    <x v="1"/>
    <x v="1"/>
    <x v="1"/>
    <x v="8"/>
    <x v="2"/>
    <x v="2"/>
    <x v="8"/>
    <x v="10"/>
    <x v="0"/>
    <x v="0"/>
    <x v="0"/>
    <x v="4"/>
  </r>
  <r>
    <x v="236"/>
    <x v="33"/>
    <x v="130"/>
    <x v="1"/>
    <x v="1"/>
    <x v="2"/>
    <x v="0"/>
    <x v="0"/>
    <x v="2"/>
    <x v="0"/>
    <x v="7"/>
    <x v="0"/>
    <x v="0"/>
    <x v="0"/>
    <x v="4"/>
  </r>
  <r>
    <x v="237"/>
    <x v="2"/>
    <x v="143"/>
    <x v="1"/>
    <x v="2"/>
    <x v="0"/>
    <x v="3"/>
    <x v="3"/>
    <x v="2"/>
    <x v="3"/>
    <x v="48"/>
    <x v="0"/>
    <x v="3"/>
    <x v="2"/>
    <x v="3"/>
  </r>
  <r>
    <x v="238"/>
    <x v="33"/>
    <x v="176"/>
    <x v="3"/>
    <x v="1"/>
    <x v="0"/>
    <x v="2"/>
    <x v="2"/>
    <x v="2"/>
    <x v="2"/>
    <x v="2"/>
    <x v="0"/>
    <x v="0"/>
    <x v="2"/>
    <x v="1"/>
  </r>
  <r>
    <x v="239"/>
    <x v="33"/>
    <x v="177"/>
    <x v="3"/>
    <x v="1"/>
    <x v="1"/>
    <x v="10"/>
    <x v="4"/>
    <x v="1"/>
    <x v="10"/>
    <x v="49"/>
    <x v="0"/>
    <x v="0"/>
    <x v="2"/>
    <x v="4"/>
  </r>
  <r>
    <x v="240"/>
    <x v="33"/>
    <x v="72"/>
    <x v="3"/>
    <x v="1"/>
    <x v="1"/>
    <x v="5"/>
    <x v="1"/>
    <x v="2"/>
    <x v="5"/>
    <x v="5"/>
    <x v="0"/>
    <x v="0"/>
    <x v="0"/>
    <x v="3"/>
  </r>
  <r>
    <x v="241"/>
    <x v="34"/>
    <x v="158"/>
    <x v="1"/>
    <x v="2"/>
    <x v="2"/>
    <x v="2"/>
    <x v="2"/>
    <x v="2"/>
    <x v="2"/>
    <x v="2"/>
    <x v="0"/>
    <x v="0"/>
    <x v="0"/>
    <x v="3"/>
  </r>
  <r>
    <x v="242"/>
    <x v="34"/>
    <x v="178"/>
    <x v="1"/>
    <x v="2"/>
    <x v="0"/>
    <x v="6"/>
    <x v="0"/>
    <x v="2"/>
    <x v="6"/>
    <x v="6"/>
    <x v="0"/>
    <x v="0"/>
    <x v="3"/>
    <x v="3"/>
  </r>
  <r>
    <x v="243"/>
    <x v="34"/>
    <x v="179"/>
    <x v="3"/>
    <x v="2"/>
    <x v="0"/>
    <x v="14"/>
    <x v="3"/>
    <x v="2"/>
    <x v="14"/>
    <x v="50"/>
    <x v="1"/>
    <x v="3"/>
    <x v="4"/>
    <x v="2"/>
  </r>
  <r>
    <x v="244"/>
    <x v="35"/>
    <x v="180"/>
    <x v="10"/>
    <x v="4"/>
    <x v="0"/>
    <x v="5"/>
    <x v="1"/>
    <x v="2"/>
    <x v="5"/>
    <x v="5"/>
    <x v="0"/>
    <x v="0"/>
    <x v="1"/>
    <x v="4"/>
  </r>
  <r>
    <x v="245"/>
    <x v="35"/>
    <x v="181"/>
    <x v="7"/>
    <x v="4"/>
    <x v="2"/>
    <x v="6"/>
    <x v="0"/>
    <x v="0"/>
    <x v="6"/>
    <x v="2"/>
    <x v="0"/>
    <x v="0"/>
    <x v="0"/>
    <x v="1"/>
  </r>
  <r>
    <x v="246"/>
    <x v="35"/>
    <x v="182"/>
    <x v="7"/>
    <x v="4"/>
    <x v="2"/>
    <x v="7"/>
    <x v="2"/>
    <x v="2"/>
    <x v="7"/>
    <x v="9"/>
    <x v="0"/>
    <x v="0"/>
    <x v="0"/>
    <x v="4"/>
  </r>
  <r>
    <x v="247"/>
    <x v="35"/>
    <x v="137"/>
    <x v="7"/>
    <x v="4"/>
    <x v="0"/>
    <x v="11"/>
    <x v="1"/>
    <x v="0"/>
    <x v="11"/>
    <x v="51"/>
    <x v="0"/>
    <x v="1"/>
    <x v="2"/>
    <x v="4"/>
  </r>
  <r>
    <x v="248"/>
    <x v="35"/>
    <x v="183"/>
    <x v="0"/>
    <x v="4"/>
    <x v="0"/>
    <x v="0"/>
    <x v="0"/>
    <x v="2"/>
    <x v="0"/>
    <x v="41"/>
    <x v="0"/>
    <x v="3"/>
    <x v="0"/>
    <x v="1"/>
  </r>
  <r>
    <x v="249"/>
    <x v="36"/>
    <x v="95"/>
    <x v="3"/>
    <x v="6"/>
    <x v="0"/>
    <x v="6"/>
    <x v="0"/>
    <x v="0"/>
    <x v="6"/>
    <x v="2"/>
    <x v="1"/>
    <x v="0"/>
    <x v="1"/>
    <x v="3"/>
  </r>
  <r>
    <x v="250"/>
    <x v="35"/>
    <x v="121"/>
    <x v="5"/>
    <x v="4"/>
    <x v="0"/>
    <x v="6"/>
    <x v="0"/>
    <x v="2"/>
    <x v="6"/>
    <x v="6"/>
    <x v="0"/>
    <x v="0"/>
    <x v="0"/>
    <x v="3"/>
  </r>
  <r>
    <x v="251"/>
    <x v="35"/>
    <x v="54"/>
    <x v="1"/>
    <x v="4"/>
    <x v="0"/>
    <x v="0"/>
    <x v="0"/>
    <x v="2"/>
    <x v="0"/>
    <x v="7"/>
    <x v="0"/>
    <x v="0"/>
    <x v="0"/>
    <x v="1"/>
  </r>
  <r>
    <x v="252"/>
    <x v="35"/>
    <x v="184"/>
    <x v="1"/>
    <x v="4"/>
    <x v="0"/>
    <x v="7"/>
    <x v="2"/>
    <x v="2"/>
    <x v="7"/>
    <x v="25"/>
    <x v="0"/>
    <x v="1"/>
    <x v="2"/>
    <x v="3"/>
  </r>
  <r>
    <x v="253"/>
    <x v="35"/>
    <x v="185"/>
    <x v="1"/>
    <x v="4"/>
    <x v="0"/>
    <x v="4"/>
    <x v="1"/>
    <x v="2"/>
    <x v="4"/>
    <x v="15"/>
    <x v="1"/>
    <x v="0"/>
    <x v="0"/>
    <x v="3"/>
  </r>
  <r>
    <x v="254"/>
    <x v="35"/>
    <x v="186"/>
    <x v="3"/>
    <x v="4"/>
    <x v="0"/>
    <x v="6"/>
    <x v="0"/>
    <x v="2"/>
    <x v="6"/>
    <x v="6"/>
    <x v="0"/>
    <x v="0"/>
    <x v="0"/>
    <x v="3"/>
  </r>
  <r>
    <x v="255"/>
    <x v="35"/>
    <x v="187"/>
    <x v="2"/>
    <x v="4"/>
    <x v="1"/>
    <x v="4"/>
    <x v="1"/>
    <x v="2"/>
    <x v="4"/>
    <x v="15"/>
    <x v="1"/>
    <x v="0"/>
    <x v="0"/>
    <x v="2"/>
  </r>
  <r>
    <x v="256"/>
    <x v="35"/>
    <x v="135"/>
    <x v="4"/>
    <x v="4"/>
    <x v="0"/>
    <x v="4"/>
    <x v="1"/>
    <x v="2"/>
    <x v="4"/>
    <x v="15"/>
    <x v="0"/>
    <x v="0"/>
    <x v="2"/>
    <x v="2"/>
  </r>
  <r>
    <x v="257"/>
    <x v="35"/>
    <x v="188"/>
    <x v="4"/>
    <x v="4"/>
    <x v="1"/>
    <x v="7"/>
    <x v="2"/>
    <x v="2"/>
    <x v="7"/>
    <x v="9"/>
    <x v="0"/>
    <x v="0"/>
    <x v="1"/>
    <x v="4"/>
  </r>
  <r>
    <x v="258"/>
    <x v="35"/>
    <x v="189"/>
    <x v="4"/>
    <x v="4"/>
    <x v="0"/>
    <x v="8"/>
    <x v="2"/>
    <x v="2"/>
    <x v="8"/>
    <x v="43"/>
    <x v="0"/>
    <x v="3"/>
    <x v="3"/>
    <x v="4"/>
  </r>
  <r>
    <x v="259"/>
    <x v="37"/>
    <x v="104"/>
    <x v="10"/>
    <x v="5"/>
    <x v="1"/>
    <x v="7"/>
    <x v="2"/>
    <x v="2"/>
    <x v="7"/>
    <x v="9"/>
    <x v="1"/>
    <x v="0"/>
    <x v="0"/>
    <x v="3"/>
  </r>
  <r>
    <x v="260"/>
    <x v="37"/>
    <x v="190"/>
    <x v="7"/>
    <x v="5"/>
    <x v="0"/>
    <x v="3"/>
    <x v="3"/>
    <x v="2"/>
    <x v="3"/>
    <x v="3"/>
    <x v="1"/>
    <x v="0"/>
    <x v="1"/>
    <x v="2"/>
  </r>
  <r>
    <x v="261"/>
    <x v="37"/>
    <x v="183"/>
    <x v="0"/>
    <x v="5"/>
    <x v="2"/>
    <x v="8"/>
    <x v="2"/>
    <x v="2"/>
    <x v="8"/>
    <x v="10"/>
    <x v="0"/>
    <x v="0"/>
    <x v="3"/>
    <x v="1"/>
  </r>
  <r>
    <x v="262"/>
    <x v="37"/>
    <x v="191"/>
    <x v="12"/>
    <x v="5"/>
    <x v="0"/>
    <x v="0"/>
    <x v="0"/>
    <x v="0"/>
    <x v="0"/>
    <x v="0"/>
    <x v="1"/>
    <x v="0"/>
    <x v="1"/>
    <x v="2"/>
  </r>
  <r>
    <x v="263"/>
    <x v="37"/>
    <x v="191"/>
    <x v="12"/>
    <x v="5"/>
    <x v="0"/>
    <x v="7"/>
    <x v="2"/>
    <x v="2"/>
    <x v="7"/>
    <x v="9"/>
    <x v="0"/>
    <x v="0"/>
    <x v="0"/>
    <x v="2"/>
  </r>
  <r>
    <x v="264"/>
    <x v="37"/>
    <x v="192"/>
    <x v="12"/>
    <x v="5"/>
    <x v="0"/>
    <x v="6"/>
    <x v="0"/>
    <x v="2"/>
    <x v="6"/>
    <x v="6"/>
    <x v="0"/>
    <x v="0"/>
    <x v="0"/>
    <x v="3"/>
  </r>
  <r>
    <x v="265"/>
    <x v="37"/>
    <x v="193"/>
    <x v="6"/>
    <x v="5"/>
    <x v="0"/>
    <x v="0"/>
    <x v="0"/>
    <x v="2"/>
    <x v="0"/>
    <x v="7"/>
    <x v="1"/>
    <x v="0"/>
    <x v="1"/>
    <x v="0"/>
  </r>
  <r>
    <x v="266"/>
    <x v="37"/>
    <x v="194"/>
    <x v="8"/>
    <x v="5"/>
    <x v="0"/>
    <x v="6"/>
    <x v="0"/>
    <x v="2"/>
    <x v="6"/>
    <x v="6"/>
    <x v="0"/>
    <x v="0"/>
    <x v="0"/>
    <x v="0"/>
  </r>
  <r>
    <x v="267"/>
    <x v="37"/>
    <x v="133"/>
    <x v="5"/>
    <x v="5"/>
    <x v="2"/>
    <x v="7"/>
    <x v="2"/>
    <x v="2"/>
    <x v="7"/>
    <x v="9"/>
    <x v="0"/>
    <x v="0"/>
    <x v="2"/>
    <x v="1"/>
  </r>
  <r>
    <x v="268"/>
    <x v="37"/>
    <x v="195"/>
    <x v="5"/>
    <x v="5"/>
    <x v="0"/>
    <x v="0"/>
    <x v="0"/>
    <x v="2"/>
    <x v="0"/>
    <x v="7"/>
    <x v="0"/>
    <x v="0"/>
    <x v="0"/>
    <x v="2"/>
  </r>
  <r>
    <x v="269"/>
    <x v="37"/>
    <x v="82"/>
    <x v="1"/>
    <x v="5"/>
    <x v="0"/>
    <x v="6"/>
    <x v="0"/>
    <x v="2"/>
    <x v="6"/>
    <x v="6"/>
    <x v="0"/>
    <x v="0"/>
    <x v="2"/>
    <x v="2"/>
  </r>
  <r>
    <x v="270"/>
    <x v="37"/>
    <x v="196"/>
    <x v="1"/>
    <x v="5"/>
    <x v="0"/>
    <x v="2"/>
    <x v="2"/>
    <x v="0"/>
    <x v="2"/>
    <x v="10"/>
    <x v="0"/>
    <x v="0"/>
    <x v="0"/>
    <x v="0"/>
  </r>
  <r>
    <x v="271"/>
    <x v="37"/>
    <x v="197"/>
    <x v="2"/>
    <x v="5"/>
    <x v="1"/>
    <x v="0"/>
    <x v="0"/>
    <x v="2"/>
    <x v="0"/>
    <x v="41"/>
    <x v="0"/>
    <x v="3"/>
    <x v="0"/>
    <x v="0"/>
  </r>
  <r>
    <x v="272"/>
    <x v="37"/>
    <x v="86"/>
    <x v="2"/>
    <x v="5"/>
    <x v="0"/>
    <x v="0"/>
    <x v="0"/>
    <x v="2"/>
    <x v="0"/>
    <x v="7"/>
    <x v="0"/>
    <x v="0"/>
    <x v="0"/>
    <x v="4"/>
  </r>
  <r>
    <x v="273"/>
    <x v="37"/>
    <x v="198"/>
    <x v="4"/>
    <x v="5"/>
    <x v="0"/>
    <x v="1"/>
    <x v="1"/>
    <x v="2"/>
    <x v="1"/>
    <x v="8"/>
    <x v="0"/>
    <x v="0"/>
    <x v="0"/>
    <x v="1"/>
  </r>
  <r>
    <x v="274"/>
    <x v="37"/>
    <x v="199"/>
    <x v="4"/>
    <x v="5"/>
    <x v="0"/>
    <x v="8"/>
    <x v="2"/>
    <x v="2"/>
    <x v="8"/>
    <x v="10"/>
    <x v="1"/>
    <x v="0"/>
    <x v="1"/>
    <x v="3"/>
  </r>
  <r>
    <x v="275"/>
    <x v="36"/>
    <x v="200"/>
    <x v="10"/>
    <x v="6"/>
    <x v="0"/>
    <x v="4"/>
    <x v="1"/>
    <x v="0"/>
    <x v="4"/>
    <x v="35"/>
    <x v="1"/>
    <x v="0"/>
    <x v="0"/>
    <x v="4"/>
  </r>
  <r>
    <x v="276"/>
    <x v="36"/>
    <x v="109"/>
    <x v="0"/>
    <x v="6"/>
    <x v="0"/>
    <x v="7"/>
    <x v="2"/>
    <x v="2"/>
    <x v="7"/>
    <x v="46"/>
    <x v="0"/>
    <x v="3"/>
    <x v="0"/>
    <x v="0"/>
  </r>
  <r>
    <x v="277"/>
    <x v="36"/>
    <x v="201"/>
    <x v="6"/>
    <x v="6"/>
    <x v="2"/>
    <x v="7"/>
    <x v="2"/>
    <x v="2"/>
    <x v="7"/>
    <x v="9"/>
    <x v="0"/>
    <x v="0"/>
    <x v="0"/>
    <x v="3"/>
  </r>
  <r>
    <x v="278"/>
    <x v="36"/>
    <x v="26"/>
    <x v="5"/>
    <x v="6"/>
    <x v="0"/>
    <x v="8"/>
    <x v="2"/>
    <x v="0"/>
    <x v="8"/>
    <x v="21"/>
    <x v="0"/>
    <x v="0"/>
    <x v="3"/>
    <x v="0"/>
  </r>
  <r>
    <x v="279"/>
    <x v="36"/>
    <x v="129"/>
    <x v="5"/>
    <x v="6"/>
    <x v="0"/>
    <x v="6"/>
    <x v="0"/>
    <x v="2"/>
    <x v="6"/>
    <x v="6"/>
    <x v="0"/>
    <x v="0"/>
    <x v="1"/>
    <x v="0"/>
  </r>
  <r>
    <x v="280"/>
    <x v="36"/>
    <x v="66"/>
    <x v="1"/>
    <x v="6"/>
    <x v="1"/>
    <x v="2"/>
    <x v="2"/>
    <x v="0"/>
    <x v="2"/>
    <x v="10"/>
    <x v="0"/>
    <x v="0"/>
    <x v="1"/>
    <x v="1"/>
  </r>
  <r>
    <x v="281"/>
    <x v="36"/>
    <x v="202"/>
    <x v="1"/>
    <x v="6"/>
    <x v="0"/>
    <x v="8"/>
    <x v="2"/>
    <x v="2"/>
    <x v="8"/>
    <x v="10"/>
    <x v="0"/>
    <x v="0"/>
    <x v="1"/>
    <x v="0"/>
  </r>
  <r>
    <x v="282"/>
    <x v="38"/>
    <x v="203"/>
    <x v="5"/>
    <x v="0"/>
    <x v="0"/>
    <x v="4"/>
    <x v="1"/>
    <x v="2"/>
    <x v="4"/>
    <x v="52"/>
    <x v="0"/>
    <x v="3"/>
    <x v="1"/>
    <x v="3"/>
  </r>
  <r>
    <x v="283"/>
    <x v="36"/>
    <x v="204"/>
    <x v="2"/>
    <x v="6"/>
    <x v="0"/>
    <x v="4"/>
    <x v="1"/>
    <x v="2"/>
    <x v="4"/>
    <x v="15"/>
    <x v="0"/>
    <x v="0"/>
    <x v="0"/>
    <x v="0"/>
  </r>
  <r>
    <x v="284"/>
    <x v="36"/>
    <x v="205"/>
    <x v="4"/>
    <x v="6"/>
    <x v="0"/>
    <x v="7"/>
    <x v="2"/>
    <x v="2"/>
    <x v="7"/>
    <x v="9"/>
    <x v="0"/>
    <x v="0"/>
    <x v="0"/>
    <x v="1"/>
  </r>
  <r>
    <x v="285"/>
    <x v="39"/>
    <x v="206"/>
    <x v="6"/>
    <x v="0"/>
    <x v="1"/>
    <x v="6"/>
    <x v="0"/>
    <x v="2"/>
    <x v="6"/>
    <x v="6"/>
    <x v="0"/>
    <x v="0"/>
    <x v="0"/>
    <x v="2"/>
  </r>
  <r>
    <x v="286"/>
    <x v="39"/>
    <x v="112"/>
    <x v="1"/>
    <x v="0"/>
    <x v="0"/>
    <x v="6"/>
    <x v="0"/>
    <x v="2"/>
    <x v="6"/>
    <x v="6"/>
    <x v="0"/>
    <x v="0"/>
    <x v="0"/>
    <x v="4"/>
  </r>
  <r>
    <x v="287"/>
    <x v="39"/>
    <x v="66"/>
    <x v="1"/>
    <x v="0"/>
    <x v="1"/>
    <x v="0"/>
    <x v="0"/>
    <x v="0"/>
    <x v="0"/>
    <x v="53"/>
    <x v="0"/>
    <x v="1"/>
    <x v="2"/>
    <x v="0"/>
  </r>
  <r>
    <x v="288"/>
    <x v="39"/>
    <x v="70"/>
    <x v="1"/>
    <x v="0"/>
    <x v="2"/>
    <x v="0"/>
    <x v="0"/>
    <x v="0"/>
    <x v="0"/>
    <x v="0"/>
    <x v="1"/>
    <x v="0"/>
    <x v="0"/>
    <x v="4"/>
  </r>
  <r>
    <x v="289"/>
    <x v="39"/>
    <x v="207"/>
    <x v="4"/>
    <x v="0"/>
    <x v="0"/>
    <x v="9"/>
    <x v="3"/>
    <x v="2"/>
    <x v="7"/>
    <x v="9"/>
    <x v="0"/>
    <x v="0"/>
    <x v="0"/>
    <x v="0"/>
  </r>
  <r>
    <x v="290"/>
    <x v="40"/>
    <x v="208"/>
    <x v="5"/>
    <x v="1"/>
    <x v="0"/>
    <x v="2"/>
    <x v="2"/>
    <x v="2"/>
    <x v="2"/>
    <x v="2"/>
    <x v="0"/>
    <x v="0"/>
    <x v="0"/>
    <x v="0"/>
  </r>
  <r>
    <x v="291"/>
    <x v="40"/>
    <x v="209"/>
    <x v="1"/>
    <x v="1"/>
    <x v="0"/>
    <x v="6"/>
    <x v="0"/>
    <x v="2"/>
    <x v="6"/>
    <x v="6"/>
    <x v="0"/>
    <x v="0"/>
    <x v="0"/>
    <x v="0"/>
  </r>
  <r>
    <x v="292"/>
    <x v="40"/>
    <x v="210"/>
    <x v="1"/>
    <x v="1"/>
    <x v="2"/>
    <x v="8"/>
    <x v="2"/>
    <x v="2"/>
    <x v="8"/>
    <x v="10"/>
    <x v="0"/>
    <x v="0"/>
    <x v="0"/>
    <x v="4"/>
  </r>
  <r>
    <x v="293"/>
    <x v="40"/>
    <x v="211"/>
    <x v="2"/>
    <x v="1"/>
    <x v="1"/>
    <x v="10"/>
    <x v="4"/>
    <x v="2"/>
    <x v="10"/>
    <x v="13"/>
    <x v="0"/>
    <x v="0"/>
    <x v="0"/>
    <x v="1"/>
  </r>
  <r>
    <x v="294"/>
    <x v="41"/>
    <x v="212"/>
    <x v="12"/>
    <x v="2"/>
    <x v="0"/>
    <x v="14"/>
    <x v="3"/>
    <x v="0"/>
    <x v="14"/>
    <x v="40"/>
    <x v="0"/>
    <x v="0"/>
    <x v="0"/>
    <x v="1"/>
  </r>
  <r>
    <x v="295"/>
    <x v="41"/>
    <x v="161"/>
    <x v="3"/>
    <x v="2"/>
    <x v="0"/>
    <x v="0"/>
    <x v="0"/>
    <x v="0"/>
    <x v="0"/>
    <x v="0"/>
    <x v="0"/>
    <x v="0"/>
    <x v="0"/>
    <x v="1"/>
  </r>
  <r>
    <x v="296"/>
    <x v="41"/>
    <x v="213"/>
    <x v="2"/>
    <x v="2"/>
    <x v="2"/>
    <x v="6"/>
    <x v="0"/>
    <x v="2"/>
    <x v="6"/>
    <x v="6"/>
    <x v="0"/>
    <x v="0"/>
    <x v="2"/>
    <x v="3"/>
  </r>
  <r>
    <x v="297"/>
    <x v="42"/>
    <x v="214"/>
    <x v="9"/>
    <x v="3"/>
    <x v="0"/>
    <x v="12"/>
    <x v="4"/>
    <x v="2"/>
    <x v="8"/>
    <x v="10"/>
    <x v="1"/>
    <x v="0"/>
    <x v="0"/>
    <x v="1"/>
  </r>
  <r>
    <x v="298"/>
    <x v="42"/>
    <x v="215"/>
    <x v="9"/>
    <x v="3"/>
    <x v="0"/>
    <x v="11"/>
    <x v="1"/>
    <x v="2"/>
    <x v="11"/>
    <x v="24"/>
    <x v="1"/>
    <x v="0"/>
    <x v="2"/>
    <x v="4"/>
  </r>
  <r>
    <x v="299"/>
    <x v="42"/>
    <x v="122"/>
    <x v="1"/>
    <x v="3"/>
    <x v="0"/>
    <x v="12"/>
    <x v="4"/>
    <x v="0"/>
    <x v="8"/>
    <x v="21"/>
    <x v="0"/>
    <x v="0"/>
    <x v="2"/>
    <x v="2"/>
  </r>
  <r>
    <x v="300"/>
    <x v="42"/>
    <x v="216"/>
    <x v="4"/>
    <x v="3"/>
    <x v="0"/>
    <x v="7"/>
    <x v="2"/>
    <x v="2"/>
    <x v="7"/>
    <x v="9"/>
    <x v="1"/>
    <x v="0"/>
    <x v="0"/>
    <x v="0"/>
  </r>
  <r>
    <x v="301"/>
    <x v="43"/>
    <x v="217"/>
    <x v="10"/>
    <x v="4"/>
    <x v="2"/>
    <x v="0"/>
    <x v="0"/>
    <x v="1"/>
    <x v="0"/>
    <x v="2"/>
    <x v="1"/>
    <x v="0"/>
    <x v="0"/>
    <x v="0"/>
  </r>
  <r>
    <x v="302"/>
    <x v="43"/>
    <x v="218"/>
    <x v="7"/>
    <x v="4"/>
    <x v="0"/>
    <x v="3"/>
    <x v="3"/>
    <x v="0"/>
    <x v="3"/>
    <x v="14"/>
    <x v="0"/>
    <x v="0"/>
    <x v="3"/>
    <x v="1"/>
  </r>
  <r>
    <x v="303"/>
    <x v="43"/>
    <x v="219"/>
    <x v="6"/>
    <x v="4"/>
    <x v="1"/>
    <x v="0"/>
    <x v="0"/>
    <x v="1"/>
    <x v="0"/>
    <x v="2"/>
    <x v="1"/>
    <x v="0"/>
    <x v="1"/>
    <x v="4"/>
  </r>
  <r>
    <x v="304"/>
    <x v="43"/>
    <x v="220"/>
    <x v="6"/>
    <x v="4"/>
    <x v="1"/>
    <x v="8"/>
    <x v="2"/>
    <x v="2"/>
    <x v="8"/>
    <x v="10"/>
    <x v="0"/>
    <x v="0"/>
    <x v="0"/>
    <x v="4"/>
  </r>
  <r>
    <x v="305"/>
    <x v="43"/>
    <x v="159"/>
    <x v="3"/>
    <x v="4"/>
    <x v="0"/>
    <x v="4"/>
    <x v="1"/>
    <x v="0"/>
    <x v="4"/>
    <x v="35"/>
    <x v="0"/>
    <x v="0"/>
    <x v="1"/>
    <x v="4"/>
  </r>
  <r>
    <x v="306"/>
    <x v="44"/>
    <x v="221"/>
    <x v="0"/>
    <x v="5"/>
    <x v="0"/>
    <x v="9"/>
    <x v="3"/>
    <x v="0"/>
    <x v="7"/>
    <x v="22"/>
    <x v="1"/>
    <x v="3"/>
    <x v="0"/>
    <x v="1"/>
  </r>
  <r>
    <x v="307"/>
    <x v="44"/>
    <x v="222"/>
    <x v="0"/>
    <x v="5"/>
    <x v="0"/>
    <x v="6"/>
    <x v="0"/>
    <x v="2"/>
    <x v="6"/>
    <x v="6"/>
    <x v="0"/>
    <x v="0"/>
    <x v="1"/>
    <x v="4"/>
  </r>
  <r>
    <x v="308"/>
    <x v="44"/>
    <x v="223"/>
    <x v="8"/>
    <x v="5"/>
    <x v="0"/>
    <x v="0"/>
    <x v="0"/>
    <x v="2"/>
    <x v="0"/>
    <x v="7"/>
    <x v="0"/>
    <x v="0"/>
    <x v="3"/>
    <x v="3"/>
  </r>
  <r>
    <x v="309"/>
    <x v="44"/>
    <x v="224"/>
    <x v="8"/>
    <x v="5"/>
    <x v="0"/>
    <x v="0"/>
    <x v="0"/>
    <x v="2"/>
    <x v="0"/>
    <x v="31"/>
    <x v="0"/>
    <x v="2"/>
    <x v="3"/>
    <x v="1"/>
  </r>
  <r>
    <x v="310"/>
    <x v="44"/>
    <x v="225"/>
    <x v="8"/>
    <x v="5"/>
    <x v="1"/>
    <x v="0"/>
    <x v="0"/>
    <x v="2"/>
    <x v="0"/>
    <x v="7"/>
    <x v="0"/>
    <x v="0"/>
    <x v="0"/>
    <x v="0"/>
  </r>
  <r>
    <x v="311"/>
    <x v="44"/>
    <x v="65"/>
    <x v="5"/>
    <x v="5"/>
    <x v="2"/>
    <x v="0"/>
    <x v="0"/>
    <x v="0"/>
    <x v="0"/>
    <x v="0"/>
    <x v="0"/>
    <x v="0"/>
    <x v="0"/>
    <x v="1"/>
  </r>
  <r>
    <x v="312"/>
    <x v="44"/>
    <x v="226"/>
    <x v="5"/>
    <x v="5"/>
    <x v="1"/>
    <x v="6"/>
    <x v="0"/>
    <x v="2"/>
    <x v="6"/>
    <x v="6"/>
    <x v="0"/>
    <x v="0"/>
    <x v="3"/>
    <x v="1"/>
  </r>
  <r>
    <x v="313"/>
    <x v="44"/>
    <x v="227"/>
    <x v="5"/>
    <x v="5"/>
    <x v="0"/>
    <x v="1"/>
    <x v="1"/>
    <x v="2"/>
    <x v="1"/>
    <x v="8"/>
    <x v="0"/>
    <x v="0"/>
    <x v="0"/>
    <x v="1"/>
  </r>
  <r>
    <x v="314"/>
    <x v="44"/>
    <x v="202"/>
    <x v="1"/>
    <x v="5"/>
    <x v="0"/>
    <x v="7"/>
    <x v="2"/>
    <x v="2"/>
    <x v="7"/>
    <x v="9"/>
    <x v="0"/>
    <x v="0"/>
    <x v="0"/>
    <x v="3"/>
  </r>
  <r>
    <x v="315"/>
    <x v="44"/>
    <x v="228"/>
    <x v="3"/>
    <x v="5"/>
    <x v="0"/>
    <x v="10"/>
    <x v="4"/>
    <x v="0"/>
    <x v="10"/>
    <x v="32"/>
    <x v="0"/>
    <x v="0"/>
    <x v="2"/>
    <x v="2"/>
  </r>
  <r>
    <x v="316"/>
    <x v="44"/>
    <x v="229"/>
    <x v="3"/>
    <x v="5"/>
    <x v="0"/>
    <x v="14"/>
    <x v="3"/>
    <x v="2"/>
    <x v="14"/>
    <x v="25"/>
    <x v="1"/>
    <x v="0"/>
    <x v="4"/>
    <x v="3"/>
  </r>
  <r>
    <x v="317"/>
    <x v="44"/>
    <x v="230"/>
    <x v="2"/>
    <x v="5"/>
    <x v="2"/>
    <x v="7"/>
    <x v="2"/>
    <x v="2"/>
    <x v="7"/>
    <x v="25"/>
    <x v="0"/>
    <x v="1"/>
    <x v="2"/>
    <x v="3"/>
  </r>
  <r>
    <x v="318"/>
    <x v="44"/>
    <x v="92"/>
    <x v="2"/>
    <x v="5"/>
    <x v="2"/>
    <x v="4"/>
    <x v="1"/>
    <x v="0"/>
    <x v="4"/>
    <x v="35"/>
    <x v="0"/>
    <x v="0"/>
    <x v="3"/>
    <x v="2"/>
  </r>
  <r>
    <x v="319"/>
    <x v="45"/>
    <x v="231"/>
    <x v="9"/>
    <x v="6"/>
    <x v="0"/>
    <x v="6"/>
    <x v="0"/>
    <x v="2"/>
    <x v="6"/>
    <x v="6"/>
    <x v="0"/>
    <x v="0"/>
    <x v="0"/>
    <x v="2"/>
  </r>
  <r>
    <x v="320"/>
    <x v="45"/>
    <x v="0"/>
    <x v="0"/>
    <x v="6"/>
    <x v="0"/>
    <x v="11"/>
    <x v="1"/>
    <x v="2"/>
    <x v="11"/>
    <x v="24"/>
    <x v="0"/>
    <x v="0"/>
    <x v="0"/>
    <x v="2"/>
  </r>
  <r>
    <x v="321"/>
    <x v="45"/>
    <x v="232"/>
    <x v="11"/>
    <x v="6"/>
    <x v="0"/>
    <x v="7"/>
    <x v="2"/>
    <x v="2"/>
    <x v="7"/>
    <x v="9"/>
    <x v="1"/>
    <x v="0"/>
    <x v="1"/>
    <x v="4"/>
  </r>
  <r>
    <x v="322"/>
    <x v="45"/>
    <x v="233"/>
    <x v="5"/>
    <x v="6"/>
    <x v="0"/>
    <x v="8"/>
    <x v="2"/>
    <x v="2"/>
    <x v="8"/>
    <x v="10"/>
    <x v="0"/>
    <x v="0"/>
    <x v="0"/>
    <x v="0"/>
  </r>
  <r>
    <x v="323"/>
    <x v="45"/>
    <x v="234"/>
    <x v="5"/>
    <x v="6"/>
    <x v="0"/>
    <x v="6"/>
    <x v="0"/>
    <x v="0"/>
    <x v="6"/>
    <x v="2"/>
    <x v="0"/>
    <x v="0"/>
    <x v="2"/>
    <x v="2"/>
  </r>
  <r>
    <x v="324"/>
    <x v="45"/>
    <x v="235"/>
    <x v="1"/>
    <x v="6"/>
    <x v="1"/>
    <x v="0"/>
    <x v="0"/>
    <x v="2"/>
    <x v="0"/>
    <x v="38"/>
    <x v="0"/>
    <x v="1"/>
    <x v="3"/>
    <x v="1"/>
  </r>
  <r>
    <x v="325"/>
    <x v="45"/>
    <x v="158"/>
    <x v="1"/>
    <x v="6"/>
    <x v="0"/>
    <x v="7"/>
    <x v="2"/>
    <x v="0"/>
    <x v="7"/>
    <x v="12"/>
    <x v="1"/>
    <x v="0"/>
    <x v="0"/>
    <x v="0"/>
  </r>
  <r>
    <x v="326"/>
    <x v="45"/>
    <x v="236"/>
    <x v="1"/>
    <x v="6"/>
    <x v="1"/>
    <x v="7"/>
    <x v="2"/>
    <x v="2"/>
    <x v="7"/>
    <x v="9"/>
    <x v="0"/>
    <x v="0"/>
    <x v="2"/>
    <x v="4"/>
  </r>
  <r>
    <x v="327"/>
    <x v="45"/>
    <x v="237"/>
    <x v="1"/>
    <x v="6"/>
    <x v="0"/>
    <x v="6"/>
    <x v="0"/>
    <x v="2"/>
    <x v="6"/>
    <x v="6"/>
    <x v="0"/>
    <x v="0"/>
    <x v="0"/>
    <x v="3"/>
  </r>
  <r>
    <x v="328"/>
    <x v="45"/>
    <x v="168"/>
    <x v="3"/>
    <x v="6"/>
    <x v="1"/>
    <x v="11"/>
    <x v="1"/>
    <x v="2"/>
    <x v="11"/>
    <x v="24"/>
    <x v="0"/>
    <x v="0"/>
    <x v="2"/>
    <x v="4"/>
  </r>
  <r>
    <x v="329"/>
    <x v="45"/>
    <x v="238"/>
    <x v="3"/>
    <x v="6"/>
    <x v="0"/>
    <x v="12"/>
    <x v="4"/>
    <x v="0"/>
    <x v="8"/>
    <x v="21"/>
    <x v="0"/>
    <x v="0"/>
    <x v="0"/>
    <x v="2"/>
  </r>
  <r>
    <x v="330"/>
    <x v="45"/>
    <x v="239"/>
    <x v="3"/>
    <x v="6"/>
    <x v="0"/>
    <x v="8"/>
    <x v="2"/>
    <x v="2"/>
    <x v="8"/>
    <x v="10"/>
    <x v="0"/>
    <x v="0"/>
    <x v="2"/>
    <x v="4"/>
  </r>
  <r>
    <x v="331"/>
    <x v="45"/>
    <x v="86"/>
    <x v="2"/>
    <x v="6"/>
    <x v="0"/>
    <x v="6"/>
    <x v="0"/>
    <x v="2"/>
    <x v="6"/>
    <x v="6"/>
    <x v="0"/>
    <x v="0"/>
    <x v="2"/>
    <x v="2"/>
  </r>
  <r>
    <x v="332"/>
    <x v="46"/>
    <x v="240"/>
    <x v="10"/>
    <x v="0"/>
    <x v="2"/>
    <x v="2"/>
    <x v="2"/>
    <x v="1"/>
    <x v="2"/>
    <x v="54"/>
    <x v="0"/>
    <x v="1"/>
    <x v="3"/>
    <x v="0"/>
  </r>
  <r>
    <x v="333"/>
    <x v="46"/>
    <x v="109"/>
    <x v="0"/>
    <x v="0"/>
    <x v="2"/>
    <x v="2"/>
    <x v="2"/>
    <x v="2"/>
    <x v="2"/>
    <x v="55"/>
    <x v="0"/>
    <x v="3"/>
    <x v="0"/>
    <x v="4"/>
  </r>
  <r>
    <x v="334"/>
    <x v="46"/>
    <x v="81"/>
    <x v="5"/>
    <x v="0"/>
    <x v="2"/>
    <x v="2"/>
    <x v="2"/>
    <x v="2"/>
    <x v="2"/>
    <x v="2"/>
    <x v="0"/>
    <x v="0"/>
    <x v="0"/>
    <x v="0"/>
  </r>
  <r>
    <x v="335"/>
    <x v="46"/>
    <x v="171"/>
    <x v="1"/>
    <x v="0"/>
    <x v="1"/>
    <x v="0"/>
    <x v="0"/>
    <x v="1"/>
    <x v="0"/>
    <x v="2"/>
    <x v="0"/>
    <x v="0"/>
    <x v="0"/>
    <x v="2"/>
  </r>
  <r>
    <x v="336"/>
    <x v="46"/>
    <x v="241"/>
    <x v="3"/>
    <x v="0"/>
    <x v="1"/>
    <x v="11"/>
    <x v="1"/>
    <x v="2"/>
    <x v="11"/>
    <x v="24"/>
    <x v="0"/>
    <x v="0"/>
    <x v="3"/>
    <x v="3"/>
  </r>
  <r>
    <x v="337"/>
    <x v="47"/>
    <x v="141"/>
    <x v="1"/>
    <x v="1"/>
    <x v="1"/>
    <x v="9"/>
    <x v="3"/>
    <x v="2"/>
    <x v="7"/>
    <x v="9"/>
    <x v="0"/>
    <x v="0"/>
    <x v="2"/>
    <x v="1"/>
  </r>
  <r>
    <x v="338"/>
    <x v="47"/>
    <x v="210"/>
    <x v="1"/>
    <x v="1"/>
    <x v="0"/>
    <x v="2"/>
    <x v="2"/>
    <x v="0"/>
    <x v="2"/>
    <x v="10"/>
    <x v="0"/>
    <x v="0"/>
    <x v="0"/>
    <x v="1"/>
  </r>
  <r>
    <x v="339"/>
    <x v="47"/>
    <x v="242"/>
    <x v="1"/>
    <x v="1"/>
    <x v="0"/>
    <x v="9"/>
    <x v="3"/>
    <x v="1"/>
    <x v="7"/>
    <x v="8"/>
    <x v="0"/>
    <x v="0"/>
    <x v="0"/>
    <x v="0"/>
  </r>
  <r>
    <x v="340"/>
    <x v="48"/>
    <x v="243"/>
    <x v="12"/>
    <x v="2"/>
    <x v="2"/>
    <x v="3"/>
    <x v="3"/>
    <x v="2"/>
    <x v="3"/>
    <x v="3"/>
    <x v="1"/>
    <x v="0"/>
    <x v="1"/>
    <x v="2"/>
  </r>
  <r>
    <x v="341"/>
    <x v="48"/>
    <x v="244"/>
    <x v="12"/>
    <x v="2"/>
    <x v="2"/>
    <x v="8"/>
    <x v="2"/>
    <x v="2"/>
    <x v="8"/>
    <x v="10"/>
    <x v="1"/>
    <x v="0"/>
    <x v="0"/>
    <x v="0"/>
  </r>
  <r>
    <x v="342"/>
    <x v="48"/>
    <x v="245"/>
    <x v="2"/>
    <x v="2"/>
    <x v="1"/>
    <x v="0"/>
    <x v="0"/>
    <x v="0"/>
    <x v="0"/>
    <x v="0"/>
    <x v="0"/>
    <x v="0"/>
    <x v="0"/>
    <x v="2"/>
  </r>
  <r>
    <x v="343"/>
    <x v="49"/>
    <x v="246"/>
    <x v="0"/>
    <x v="3"/>
    <x v="0"/>
    <x v="6"/>
    <x v="0"/>
    <x v="0"/>
    <x v="6"/>
    <x v="2"/>
    <x v="1"/>
    <x v="0"/>
    <x v="2"/>
    <x v="1"/>
  </r>
  <r>
    <x v="344"/>
    <x v="49"/>
    <x v="0"/>
    <x v="0"/>
    <x v="3"/>
    <x v="0"/>
    <x v="12"/>
    <x v="4"/>
    <x v="2"/>
    <x v="8"/>
    <x v="10"/>
    <x v="0"/>
    <x v="0"/>
    <x v="0"/>
    <x v="3"/>
  </r>
  <r>
    <x v="345"/>
    <x v="49"/>
    <x v="110"/>
    <x v="12"/>
    <x v="3"/>
    <x v="2"/>
    <x v="10"/>
    <x v="4"/>
    <x v="2"/>
    <x v="10"/>
    <x v="13"/>
    <x v="1"/>
    <x v="0"/>
    <x v="0"/>
    <x v="4"/>
  </r>
  <r>
    <x v="346"/>
    <x v="49"/>
    <x v="247"/>
    <x v="12"/>
    <x v="3"/>
    <x v="0"/>
    <x v="9"/>
    <x v="3"/>
    <x v="2"/>
    <x v="7"/>
    <x v="9"/>
    <x v="0"/>
    <x v="0"/>
    <x v="0"/>
    <x v="2"/>
  </r>
  <r>
    <x v="347"/>
    <x v="49"/>
    <x v="196"/>
    <x v="1"/>
    <x v="3"/>
    <x v="0"/>
    <x v="9"/>
    <x v="3"/>
    <x v="2"/>
    <x v="7"/>
    <x v="9"/>
    <x v="0"/>
    <x v="0"/>
    <x v="1"/>
    <x v="4"/>
  </r>
  <r>
    <x v="348"/>
    <x v="49"/>
    <x v="61"/>
    <x v="1"/>
    <x v="3"/>
    <x v="0"/>
    <x v="11"/>
    <x v="1"/>
    <x v="2"/>
    <x v="11"/>
    <x v="24"/>
    <x v="0"/>
    <x v="0"/>
    <x v="1"/>
    <x v="1"/>
  </r>
  <r>
    <x v="349"/>
    <x v="49"/>
    <x v="52"/>
    <x v="3"/>
    <x v="3"/>
    <x v="0"/>
    <x v="0"/>
    <x v="0"/>
    <x v="2"/>
    <x v="0"/>
    <x v="7"/>
    <x v="1"/>
    <x v="0"/>
    <x v="0"/>
    <x v="1"/>
  </r>
  <r>
    <x v="350"/>
    <x v="49"/>
    <x v="248"/>
    <x v="3"/>
    <x v="3"/>
    <x v="2"/>
    <x v="0"/>
    <x v="0"/>
    <x v="0"/>
    <x v="0"/>
    <x v="0"/>
    <x v="1"/>
    <x v="0"/>
    <x v="0"/>
    <x v="4"/>
  </r>
  <r>
    <x v="351"/>
    <x v="49"/>
    <x v="249"/>
    <x v="3"/>
    <x v="3"/>
    <x v="0"/>
    <x v="7"/>
    <x v="2"/>
    <x v="2"/>
    <x v="7"/>
    <x v="9"/>
    <x v="0"/>
    <x v="0"/>
    <x v="0"/>
    <x v="1"/>
  </r>
  <r>
    <x v="352"/>
    <x v="50"/>
    <x v="64"/>
    <x v="7"/>
    <x v="4"/>
    <x v="0"/>
    <x v="5"/>
    <x v="1"/>
    <x v="0"/>
    <x v="5"/>
    <x v="47"/>
    <x v="0"/>
    <x v="1"/>
    <x v="0"/>
    <x v="0"/>
  </r>
  <r>
    <x v="353"/>
    <x v="50"/>
    <x v="250"/>
    <x v="11"/>
    <x v="4"/>
    <x v="2"/>
    <x v="2"/>
    <x v="2"/>
    <x v="2"/>
    <x v="2"/>
    <x v="2"/>
    <x v="0"/>
    <x v="0"/>
    <x v="0"/>
    <x v="0"/>
  </r>
  <r>
    <x v="354"/>
    <x v="50"/>
    <x v="251"/>
    <x v="6"/>
    <x v="4"/>
    <x v="1"/>
    <x v="7"/>
    <x v="2"/>
    <x v="2"/>
    <x v="7"/>
    <x v="9"/>
    <x v="0"/>
    <x v="0"/>
    <x v="0"/>
    <x v="1"/>
  </r>
  <r>
    <x v="355"/>
    <x v="50"/>
    <x v="252"/>
    <x v="8"/>
    <x v="4"/>
    <x v="0"/>
    <x v="8"/>
    <x v="2"/>
    <x v="1"/>
    <x v="8"/>
    <x v="5"/>
    <x v="1"/>
    <x v="0"/>
    <x v="1"/>
    <x v="1"/>
  </r>
  <r>
    <x v="356"/>
    <x v="50"/>
    <x v="253"/>
    <x v="1"/>
    <x v="4"/>
    <x v="0"/>
    <x v="8"/>
    <x v="2"/>
    <x v="2"/>
    <x v="8"/>
    <x v="10"/>
    <x v="0"/>
    <x v="0"/>
    <x v="0"/>
    <x v="2"/>
  </r>
  <r>
    <x v="357"/>
    <x v="51"/>
    <x v="254"/>
    <x v="7"/>
    <x v="5"/>
    <x v="0"/>
    <x v="7"/>
    <x v="2"/>
    <x v="0"/>
    <x v="7"/>
    <x v="12"/>
    <x v="0"/>
    <x v="0"/>
    <x v="2"/>
    <x v="1"/>
  </r>
  <r>
    <x v="358"/>
    <x v="51"/>
    <x v="255"/>
    <x v="7"/>
    <x v="5"/>
    <x v="2"/>
    <x v="4"/>
    <x v="1"/>
    <x v="2"/>
    <x v="4"/>
    <x v="15"/>
    <x v="0"/>
    <x v="0"/>
    <x v="0"/>
    <x v="2"/>
  </r>
  <r>
    <x v="359"/>
    <x v="51"/>
    <x v="256"/>
    <x v="7"/>
    <x v="5"/>
    <x v="2"/>
    <x v="6"/>
    <x v="0"/>
    <x v="2"/>
    <x v="6"/>
    <x v="56"/>
    <x v="0"/>
    <x v="1"/>
    <x v="0"/>
    <x v="2"/>
  </r>
  <r>
    <x v="360"/>
    <x v="51"/>
    <x v="257"/>
    <x v="0"/>
    <x v="5"/>
    <x v="2"/>
    <x v="4"/>
    <x v="1"/>
    <x v="2"/>
    <x v="4"/>
    <x v="15"/>
    <x v="0"/>
    <x v="0"/>
    <x v="0"/>
    <x v="3"/>
  </r>
  <r>
    <x v="361"/>
    <x v="51"/>
    <x v="258"/>
    <x v="1"/>
    <x v="5"/>
    <x v="1"/>
    <x v="7"/>
    <x v="2"/>
    <x v="1"/>
    <x v="7"/>
    <x v="8"/>
    <x v="0"/>
    <x v="0"/>
    <x v="1"/>
    <x v="3"/>
  </r>
  <r>
    <x v="362"/>
    <x v="51"/>
    <x v="143"/>
    <x v="1"/>
    <x v="5"/>
    <x v="2"/>
    <x v="3"/>
    <x v="3"/>
    <x v="2"/>
    <x v="3"/>
    <x v="3"/>
    <x v="0"/>
    <x v="0"/>
    <x v="0"/>
    <x v="0"/>
  </r>
  <r>
    <x v="363"/>
    <x v="51"/>
    <x v="259"/>
    <x v="1"/>
    <x v="5"/>
    <x v="2"/>
    <x v="2"/>
    <x v="2"/>
    <x v="2"/>
    <x v="2"/>
    <x v="2"/>
    <x v="0"/>
    <x v="0"/>
    <x v="0"/>
    <x v="3"/>
  </r>
  <r>
    <x v="364"/>
    <x v="51"/>
    <x v="242"/>
    <x v="1"/>
    <x v="5"/>
    <x v="0"/>
    <x v="3"/>
    <x v="3"/>
    <x v="0"/>
    <x v="3"/>
    <x v="14"/>
    <x v="0"/>
    <x v="0"/>
    <x v="0"/>
    <x v="3"/>
  </r>
  <r>
    <x v="365"/>
    <x v="51"/>
    <x v="260"/>
    <x v="3"/>
    <x v="5"/>
    <x v="1"/>
    <x v="5"/>
    <x v="1"/>
    <x v="1"/>
    <x v="5"/>
    <x v="28"/>
    <x v="0"/>
    <x v="0"/>
    <x v="0"/>
    <x v="1"/>
  </r>
  <r>
    <x v="366"/>
    <x v="51"/>
    <x v="9"/>
    <x v="3"/>
    <x v="5"/>
    <x v="0"/>
    <x v="4"/>
    <x v="1"/>
    <x v="2"/>
    <x v="4"/>
    <x v="15"/>
    <x v="0"/>
    <x v="0"/>
    <x v="0"/>
    <x v="2"/>
  </r>
  <r>
    <x v="367"/>
    <x v="51"/>
    <x v="56"/>
    <x v="3"/>
    <x v="5"/>
    <x v="1"/>
    <x v="1"/>
    <x v="1"/>
    <x v="0"/>
    <x v="1"/>
    <x v="16"/>
    <x v="0"/>
    <x v="0"/>
    <x v="0"/>
    <x v="0"/>
  </r>
  <r>
    <x v="368"/>
    <x v="52"/>
    <x v="36"/>
    <x v="10"/>
    <x v="6"/>
    <x v="0"/>
    <x v="7"/>
    <x v="2"/>
    <x v="2"/>
    <x v="7"/>
    <x v="9"/>
    <x v="1"/>
    <x v="0"/>
    <x v="1"/>
    <x v="4"/>
  </r>
  <r>
    <x v="369"/>
    <x v="52"/>
    <x v="87"/>
    <x v="10"/>
    <x v="6"/>
    <x v="2"/>
    <x v="14"/>
    <x v="3"/>
    <x v="2"/>
    <x v="14"/>
    <x v="25"/>
    <x v="1"/>
    <x v="0"/>
    <x v="0"/>
    <x v="0"/>
  </r>
  <r>
    <x v="370"/>
    <x v="52"/>
    <x v="190"/>
    <x v="7"/>
    <x v="6"/>
    <x v="0"/>
    <x v="7"/>
    <x v="2"/>
    <x v="2"/>
    <x v="7"/>
    <x v="46"/>
    <x v="0"/>
    <x v="3"/>
    <x v="0"/>
    <x v="0"/>
  </r>
  <r>
    <x v="371"/>
    <x v="52"/>
    <x v="261"/>
    <x v="0"/>
    <x v="6"/>
    <x v="0"/>
    <x v="3"/>
    <x v="3"/>
    <x v="2"/>
    <x v="3"/>
    <x v="3"/>
    <x v="0"/>
    <x v="0"/>
    <x v="0"/>
    <x v="1"/>
  </r>
  <r>
    <x v="372"/>
    <x v="52"/>
    <x v="262"/>
    <x v="0"/>
    <x v="6"/>
    <x v="0"/>
    <x v="13"/>
    <x v="0"/>
    <x v="1"/>
    <x v="2"/>
    <x v="40"/>
    <x v="0"/>
    <x v="0"/>
    <x v="0"/>
    <x v="3"/>
  </r>
  <r>
    <x v="373"/>
    <x v="52"/>
    <x v="263"/>
    <x v="12"/>
    <x v="6"/>
    <x v="2"/>
    <x v="7"/>
    <x v="2"/>
    <x v="2"/>
    <x v="7"/>
    <x v="9"/>
    <x v="0"/>
    <x v="0"/>
    <x v="0"/>
    <x v="3"/>
  </r>
  <r>
    <x v="374"/>
    <x v="52"/>
    <x v="194"/>
    <x v="8"/>
    <x v="6"/>
    <x v="1"/>
    <x v="4"/>
    <x v="1"/>
    <x v="2"/>
    <x v="4"/>
    <x v="15"/>
    <x v="0"/>
    <x v="0"/>
    <x v="0"/>
    <x v="3"/>
  </r>
  <r>
    <x v="375"/>
    <x v="52"/>
    <x v="264"/>
    <x v="5"/>
    <x v="6"/>
    <x v="0"/>
    <x v="0"/>
    <x v="0"/>
    <x v="0"/>
    <x v="0"/>
    <x v="0"/>
    <x v="0"/>
    <x v="0"/>
    <x v="3"/>
    <x v="2"/>
  </r>
  <r>
    <x v="376"/>
    <x v="52"/>
    <x v="265"/>
    <x v="1"/>
    <x v="6"/>
    <x v="0"/>
    <x v="11"/>
    <x v="1"/>
    <x v="2"/>
    <x v="11"/>
    <x v="45"/>
    <x v="0"/>
    <x v="1"/>
    <x v="3"/>
    <x v="0"/>
  </r>
  <r>
    <x v="377"/>
    <x v="52"/>
    <x v="266"/>
    <x v="1"/>
    <x v="6"/>
    <x v="2"/>
    <x v="10"/>
    <x v="4"/>
    <x v="2"/>
    <x v="10"/>
    <x v="13"/>
    <x v="0"/>
    <x v="0"/>
    <x v="0"/>
    <x v="3"/>
  </r>
  <r>
    <x v="378"/>
    <x v="52"/>
    <x v="30"/>
    <x v="3"/>
    <x v="6"/>
    <x v="2"/>
    <x v="6"/>
    <x v="0"/>
    <x v="2"/>
    <x v="6"/>
    <x v="6"/>
    <x v="0"/>
    <x v="0"/>
    <x v="0"/>
    <x v="1"/>
  </r>
  <r>
    <x v="379"/>
    <x v="52"/>
    <x v="267"/>
    <x v="3"/>
    <x v="6"/>
    <x v="2"/>
    <x v="6"/>
    <x v="0"/>
    <x v="2"/>
    <x v="6"/>
    <x v="6"/>
    <x v="0"/>
    <x v="0"/>
    <x v="0"/>
    <x v="3"/>
  </r>
  <r>
    <x v="380"/>
    <x v="52"/>
    <x v="144"/>
    <x v="2"/>
    <x v="6"/>
    <x v="0"/>
    <x v="0"/>
    <x v="0"/>
    <x v="2"/>
    <x v="0"/>
    <x v="38"/>
    <x v="0"/>
    <x v="1"/>
    <x v="0"/>
    <x v="0"/>
  </r>
  <r>
    <x v="381"/>
    <x v="52"/>
    <x v="268"/>
    <x v="4"/>
    <x v="6"/>
    <x v="1"/>
    <x v="6"/>
    <x v="0"/>
    <x v="2"/>
    <x v="6"/>
    <x v="6"/>
    <x v="1"/>
    <x v="0"/>
    <x v="0"/>
    <x v="0"/>
  </r>
  <r>
    <x v="382"/>
    <x v="53"/>
    <x v="269"/>
    <x v="8"/>
    <x v="0"/>
    <x v="0"/>
    <x v="7"/>
    <x v="2"/>
    <x v="2"/>
    <x v="7"/>
    <x v="46"/>
    <x v="0"/>
    <x v="3"/>
    <x v="0"/>
    <x v="4"/>
  </r>
  <r>
    <x v="383"/>
    <x v="53"/>
    <x v="270"/>
    <x v="4"/>
    <x v="0"/>
    <x v="0"/>
    <x v="0"/>
    <x v="0"/>
    <x v="2"/>
    <x v="0"/>
    <x v="7"/>
    <x v="1"/>
    <x v="0"/>
    <x v="0"/>
    <x v="1"/>
  </r>
  <r>
    <x v="384"/>
    <x v="54"/>
    <x v="271"/>
    <x v="9"/>
    <x v="1"/>
    <x v="0"/>
    <x v="6"/>
    <x v="0"/>
    <x v="2"/>
    <x v="6"/>
    <x v="6"/>
    <x v="0"/>
    <x v="0"/>
    <x v="2"/>
    <x v="2"/>
  </r>
  <r>
    <x v="385"/>
    <x v="54"/>
    <x v="272"/>
    <x v="7"/>
    <x v="1"/>
    <x v="0"/>
    <x v="0"/>
    <x v="0"/>
    <x v="2"/>
    <x v="0"/>
    <x v="7"/>
    <x v="0"/>
    <x v="0"/>
    <x v="2"/>
    <x v="3"/>
  </r>
  <r>
    <x v="386"/>
    <x v="54"/>
    <x v="273"/>
    <x v="6"/>
    <x v="1"/>
    <x v="2"/>
    <x v="0"/>
    <x v="0"/>
    <x v="2"/>
    <x v="0"/>
    <x v="7"/>
    <x v="0"/>
    <x v="0"/>
    <x v="0"/>
    <x v="4"/>
  </r>
  <r>
    <x v="387"/>
    <x v="54"/>
    <x v="203"/>
    <x v="5"/>
    <x v="1"/>
    <x v="2"/>
    <x v="7"/>
    <x v="2"/>
    <x v="0"/>
    <x v="7"/>
    <x v="22"/>
    <x v="0"/>
    <x v="3"/>
    <x v="0"/>
    <x v="4"/>
  </r>
  <r>
    <x v="388"/>
    <x v="54"/>
    <x v="274"/>
    <x v="5"/>
    <x v="1"/>
    <x v="1"/>
    <x v="11"/>
    <x v="1"/>
    <x v="0"/>
    <x v="11"/>
    <x v="39"/>
    <x v="0"/>
    <x v="0"/>
    <x v="0"/>
    <x v="1"/>
  </r>
  <r>
    <x v="389"/>
    <x v="54"/>
    <x v="167"/>
    <x v="5"/>
    <x v="1"/>
    <x v="0"/>
    <x v="6"/>
    <x v="0"/>
    <x v="2"/>
    <x v="6"/>
    <x v="6"/>
    <x v="1"/>
    <x v="0"/>
    <x v="0"/>
    <x v="1"/>
  </r>
  <r>
    <x v="390"/>
    <x v="54"/>
    <x v="275"/>
    <x v="1"/>
    <x v="1"/>
    <x v="2"/>
    <x v="4"/>
    <x v="1"/>
    <x v="2"/>
    <x v="4"/>
    <x v="15"/>
    <x v="1"/>
    <x v="0"/>
    <x v="0"/>
    <x v="0"/>
  </r>
  <r>
    <x v="391"/>
    <x v="54"/>
    <x v="7"/>
    <x v="1"/>
    <x v="1"/>
    <x v="0"/>
    <x v="3"/>
    <x v="3"/>
    <x v="2"/>
    <x v="3"/>
    <x v="3"/>
    <x v="0"/>
    <x v="0"/>
    <x v="0"/>
    <x v="3"/>
  </r>
  <r>
    <x v="392"/>
    <x v="54"/>
    <x v="2"/>
    <x v="1"/>
    <x v="1"/>
    <x v="0"/>
    <x v="12"/>
    <x v="4"/>
    <x v="0"/>
    <x v="8"/>
    <x v="21"/>
    <x v="1"/>
    <x v="0"/>
    <x v="0"/>
    <x v="3"/>
  </r>
  <r>
    <x v="393"/>
    <x v="54"/>
    <x v="276"/>
    <x v="1"/>
    <x v="1"/>
    <x v="0"/>
    <x v="7"/>
    <x v="2"/>
    <x v="2"/>
    <x v="7"/>
    <x v="9"/>
    <x v="0"/>
    <x v="0"/>
    <x v="0"/>
    <x v="3"/>
  </r>
  <r>
    <x v="394"/>
    <x v="54"/>
    <x v="196"/>
    <x v="1"/>
    <x v="1"/>
    <x v="1"/>
    <x v="0"/>
    <x v="0"/>
    <x v="2"/>
    <x v="0"/>
    <x v="7"/>
    <x v="0"/>
    <x v="0"/>
    <x v="0"/>
    <x v="3"/>
  </r>
  <r>
    <x v="395"/>
    <x v="54"/>
    <x v="277"/>
    <x v="3"/>
    <x v="1"/>
    <x v="2"/>
    <x v="9"/>
    <x v="3"/>
    <x v="2"/>
    <x v="7"/>
    <x v="9"/>
    <x v="0"/>
    <x v="0"/>
    <x v="0"/>
    <x v="0"/>
  </r>
  <r>
    <x v="396"/>
    <x v="54"/>
    <x v="46"/>
    <x v="3"/>
    <x v="1"/>
    <x v="0"/>
    <x v="8"/>
    <x v="2"/>
    <x v="2"/>
    <x v="8"/>
    <x v="10"/>
    <x v="0"/>
    <x v="0"/>
    <x v="0"/>
    <x v="1"/>
  </r>
  <r>
    <x v="397"/>
    <x v="54"/>
    <x v="278"/>
    <x v="3"/>
    <x v="1"/>
    <x v="0"/>
    <x v="10"/>
    <x v="4"/>
    <x v="2"/>
    <x v="10"/>
    <x v="13"/>
    <x v="1"/>
    <x v="0"/>
    <x v="0"/>
    <x v="2"/>
  </r>
  <r>
    <x v="398"/>
    <x v="55"/>
    <x v="279"/>
    <x v="8"/>
    <x v="2"/>
    <x v="0"/>
    <x v="9"/>
    <x v="3"/>
    <x v="2"/>
    <x v="7"/>
    <x v="9"/>
    <x v="1"/>
    <x v="0"/>
    <x v="0"/>
    <x v="1"/>
  </r>
  <r>
    <x v="399"/>
    <x v="55"/>
    <x v="237"/>
    <x v="1"/>
    <x v="2"/>
    <x v="0"/>
    <x v="9"/>
    <x v="3"/>
    <x v="2"/>
    <x v="7"/>
    <x v="3"/>
    <x v="1"/>
    <x v="2"/>
    <x v="0"/>
    <x v="0"/>
  </r>
  <r>
    <x v="400"/>
    <x v="55"/>
    <x v="202"/>
    <x v="1"/>
    <x v="2"/>
    <x v="0"/>
    <x v="9"/>
    <x v="3"/>
    <x v="2"/>
    <x v="7"/>
    <x v="9"/>
    <x v="0"/>
    <x v="0"/>
    <x v="1"/>
    <x v="1"/>
  </r>
  <r>
    <x v="401"/>
    <x v="55"/>
    <x v="242"/>
    <x v="1"/>
    <x v="2"/>
    <x v="0"/>
    <x v="13"/>
    <x v="0"/>
    <x v="2"/>
    <x v="2"/>
    <x v="2"/>
    <x v="0"/>
    <x v="0"/>
    <x v="0"/>
    <x v="2"/>
  </r>
  <r>
    <x v="402"/>
    <x v="56"/>
    <x v="280"/>
    <x v="7"/>
    <x v="3"/>
    <x v="0"/>
    <x v="7"/>
    <x v="2"/>
    <x v="0"/>
    <x v="7"/>
    <x v="12"/>
    <x v="0"/>
    <x v="0"/>
    <x v="0"/>
    <x v="4"/>
  </r>
  <r>
    <x v="403"/>
    <x v="56"/>
    <x v="98"/>
    <x v="7"/>
    <x v="3"/>
    <x v="0"/>
    <x v="3"/>
    <x v="3"/>
    <x v="2"/>
    <x v="3"/>
    <x v="3"/>
    <x v="1"/>
    <x v="0"/>
    <x v="0"/>
    <x v="0"/>
  </r>
  <r>
    <x v="404"/>
    <x v="56"/>
    <x v="281"/>
    <x v="1"/>
    <x v="3"/>
    <x v="0"/>
    <x v="2"/>
    <x v="2"/>
    <x v="2"/>
    <x v="2"/>
    <x v="57"/>
    <x v="1"/>
    <x v="2"/>
    <x v="0"/>
    <x v="1"/>
  </r>
  <r>
    <x v="405"/>
    <x v="56"/>
    <x v="143"/>
    <x v="1"/>
    <x v="3"/>
    <x v="0"/>
    <x v="6"/>
    <x v="0"/>
    <x v="2"/>
    <x v="6"/>
    <x v="6"/>
    <x v="0"/>
    <x v="0"/>
    <x v="0"/>
    <x v="0"/>
  </r>
  <r>
    <x v="406"/>
    <x v="56"/>
    <x v="282"/>
    <x v="1"/>
    <x v="3"/>
    <x v="2"/>
    <x v="12"/>
    <x v="4"/>
    <x v="2"/>
    <x v="8"/>
    <x v="10"/>
    <x v="1"/>
    <x v="0"/>
    <x v="0"/>
    <x v="2"/>
  </r>
  <r>
    <x v="407"/>
    <x v="57"/>
    <x v="283"/>
    <x v="10"/>
    <x v="4"/>
    <x v="2"/>
    <x v="8"/>
    <x v="2"/>
    <x v="2"/>
    <x v="8"/>
    <x v="10"/>
    <x v="0"/>
    <x v="0"/>
    <x v="2"/>
    <x v="4"/>
  </r>
  <r>
    <x v="408"/>
    <x v="57"/>
    <x v="284"/>
    <x v="10"/>
    <x v="4"/>
    <x v="0"/>
    <x v="4"/>
    <x v="1"/>
    <x v="2"/>
    <x v="4"/>
    <x v="15"/>
    <x v="1"/>
    <x v="0"/>
    <x v="2"/>
    <x v="0"/>
  </r>
  <r>
    <x v="409"/>
    <x v="57"/>
    <x v="147"/>
    <x v="10"/>
    <x v="4"/>
    <x v="0"/>
    <x v="0"/>
    <x v="0"/>
    <x v="0"/>
    <x v="0"/>
    <x v="0"/>
    <x v="0"/>
    <x v="0"/>
    <x v="1"/>
    <x v="1"/>
  </r>
  <r>
    <x v="410"/>
    <x v="57"/>
    <x v="285"/>
    <x v="0"/>
    <x v="4"/>
    <x v="0"/>
    <x v="8"/>
    <x v="2"/>
    <x v="2"/>
    <x v="8"/>
    <x v="10"/>
    <x v="0"/>
    <x v="0"/>
    <x v="0"/>
    <x v="2"/>
  </r>
  <r>
    <x v="411"/>
    <x v="57"/>
    <x v="286"/>
    <x v="0"/>
    <x v="4"/>
    <x v="2"/>
    <x v="6"/>
    <x v="0"/>
    <x v="2"/>
    <x v="6"/>
    <x v="6"/>
    <x v="0"/>
    <x v="0"/>
    <x v="1"/>
    <x v="3"/>
  </r>
  <r>
    <x v="412"/>
    <x v="57"/>
    <x v="287"/>
    <x v="12"/>
    <x v="4"/>
    <x v="2"/>
    <x v="2"/>
    <x v="2"/>
    <x v="2"/>
    <x v="2"/>
    <x v="2"/>
    <x v="1"/>
    <x v="0"/>
    <x v="2"/>
    <x v="4"/>
  </r>
  <r>
    <x v="413"/>
    <x v="57"/>
    <x v="50"/>
    <x v="5"/>
    <x v="4"/>
    <x v="0"/>
    <x v="1"/>
    <x v="1"/>
    <x v="0"/>
    <x v="1"/>
    <x v="16"/>
    <x v="0"/>
    <x v="0"/>
    <x v="0"/>
    <x v="1"/>
  </r>
  <r>
    <x v="414"/>
    <x v="57"/>
    <x v="54"/>
    <x v="1"/>
    <x v="4"/>
    <x v="2"/>
    <x v="4"/>
    <x v="1"/>
    <x v="0"/>
    <x v="4"/>
    <x v="35"/>
    <x v="0"/>
    <x v="0"/>
    <x v="2"/>
    <x v="0"/>
  </r>
  <r>
    <x v="415"/>
    <x v="57"/>
    <x v="122"/>
    <x v="1"/>
    <x v="4"/>
    <x v="0"/>
    <x v="6"/>
    <x v="0"/>
    <x v="2"/>
    <x v="6"/>
    <x v="56"/>
    <x v="0"/>
    <x v="1"/>
    <x v="0"/>
    <x v="4"/>
  </r>
  <r>
    <x v="416"/>
    <x v="57"/>
    <x v="71"/>
    <x v="3"/>
    <x v="4"/>
    <x v="2"/>
    <x v="6"/>
    <x v="0"/>
    <x v="2"/>
    <x v="6"/>
    <x v="6"/>
    <x v="0"/>
    <x v="0"/>
    <x v="0"/>
    <x v="2"/>
  </r>
  <r>
    <x v="417"/>
    <x v="57"/>
    <x v="288"/>
    <x v="2"/>
    <x v="4"/>
    <x v="0"/>
    <x v="0"/>
    <x v="0"/>
    <x v="2"/>
    <x v="0"/>
    <x v="31"/>
    <x v="1"/>
    <x v="2"/>
    <x v="3"/>
    <x v="2"/>
  </r>
  <r>
    <x v="418"/>
    <x v="57"/>
    <x v="289"/>
    <x v="2"/>
    <x v="4"/>
    <x v="1"/>
    <x v="4"/>
    <x v="1"/>
    <x v="2"/>
    <x v="4"/>
    <x v="15"/>
    <x v="0"/>
    <x v="0"/>
    <x v="0"/>
    <x v="3"/>
  </r>
  <r>
    <x v="419"/>
    <x v="57"/>
    <x v="207"/>
    <x v="4"/>
    <x v="4"/>
    <x v="0"/>
    <x v="5"/>
    <x v="1"/>
    <x v="0"/>
    <x v="5"/>
    <x v="17"/>
    <x v="1"/>
    <x v="0"/>
    <x v="2"/>
    <x v="3"/>
  </r>
  <r>
    <x v="420"/>
    <x v="57"/>
    <x v="74"/>
    <x v="4"/>
    <x v="4"/>
    <x v="2"/>
    <x v="0"/>
    <x v="0"/>
    <x v="0"/>
    <x v="0"/>
    <x v="0"/>
    <x v="0"/>
    <x v="0"/>
    <x v="2"/>
    <x v="3"/>
  </r>
  <r>
    <x v="421"/>
    <x v="57"/>
    <x v="290"/>
    <x v="4"/>
    <x v="4"/>
    <x v="0"/>
    <x v="10"/>
    <x v="4"/>
    <x v="2"/>
    <x v="10"/>
    <x v="13"/>
    <x v="1"/>
    <x v="0"/>
    <x v="2"/>
    <x v="0"/>
  </r>
  <r>
    <x v="422"/>
    <x v="58"/>
    <x v="291"/>
    <x v="12"/>
    <x v="5"/>
    <x v="1"/>
    <x v="7"/>
    <x v="2"/>
    <x v="2"/>
    <x v="7"/>
    <x v="9"/>
    <x v="0"/>
    <x v="0"/>
    <x v="0"/>
    <x v="0"/>
  </r>
  <r>
    <x v="423"/>
    <x v="58"/>
    <x v="292"/>
    <x v="8"/>
    <x v="5"/>
    <x v="2"/>
    <x v="5"/>
    <x v="1"/>
    <x v="0"/>
    <x v="5"/>
    <x v="17"/>
    <x v="0"/>
    <x v="0"/>
    <x v="1"/>
    <x v="0"/>
  </r>
  <r>
    <x v="424"/>
    <x v="58"/>
    <x v="293"/>
    <x v="5"/>
    <x v="5"/>
    <x v="1"/>
    <x v="3"/>
    <x v="3"/>
    <x v="2"/>
    <x v="3"/>
    <x v="48"/>
    <x v="1"/>
    <x v="3"/>
    <x v="2"/>
    <x v="1"/>
  </r>
  <r>
    <x v="425"/>
    <x v="58"/>
    <x v="294"/>
    <x v="5"/>
    <x v="5"/>
    <x v="0"/>
    <x v="1"/>
    <x v="1"/>
    <x v="2"/>
    <x v="1"/>
    <x v="8"/>
    <x v="0"/>
    <x v="0"/>
    <x v="0"/>
    <x v="4"/>
  </r>
  <r>
    <x v="426"/>
    <x v="58"/>
    <x v="56"/>
    <x v="3"/>
    <x v="5"/>
    <x v="0"/>
    <x v="0"/>
    <x v="0"/>
    <x v="2"/>
    <x v="0"/>
    <x v="7"/>
    <x v="0"/>
    <x v="0"/>
    <x v="0"/>
    <x v="0"/>
  </r>
  <r>
    <x v="427"/>
    <x v="58"/>
    <x v="162"/>
    <x v="3"/>
    <x v="5"/>
    <x v="1"/>
    <x v="6"/>
    <x v="0"/>
    <x v="2"/>
    <x v="6"/>
    <x v="6"/>
    <x v="0"/>
    <x v="0"/>
    <x v="0"/>
    <x v="1"/>
  </r>
  <r>
    <x v="428"/>
    <x v="58"/>
    <x v="278"/>
    <x v="3"/>
    <x v="5"/>
    <x v="2"/>
    <x v="7"/>
    <x v="2"/>
    <x v="2"/>
    <x v="7"/>
    <x v="25"/>
    <x v="0"/>
    <x v="1"/>
    <x v="0"/>
    <x v="2"/>
  </r>
  <r>
    <x v="429"/>
    <x v="58"/>
    <x v="239"/>
    <x v="3"/>
    <x v="5"/>
    <x v="1"/>
    <x v="6"/>
    <x v="0"/>
    <x v="0"/>
    <x v="6"/>
    <x v="2"/>
    <x v="0"/>
    <x v="0"/>
    <x v="0"/>
    <x v="1"/>
  </r>
  <r>
    <x v="430"/>
    <x v="58"/>
    <x v="295"/>
    <x v="2"/>
    <x v="5"/>
    <x v="0"/>
    <x v="11"/>
    <x v="1"/>
    <x v="2"/>
    <x v="11"/>
    <x v="24"/>
    <x v="0"/>
    <x v="0"/>
    <x v="1"/>
    <x v="1"/>
  </r>
  <r>
    <x v="431"/>
    <x v="58"/>
    <x v="296"/>
    <x v="2"/>
    <x v="5"/>
    <x v="0"/>
    <x v="10"/>
    <x v="4"/>
    <x v="2"/>
    <x v="10"/>
    <x v="13"/>
    <x v="0"/>
    <x v="0"/>
    <x v="0"/>
    <x v="3"/>
  </r>
  <r>
    <x v="432"/>
    <x v="58"/>
    <x v="14"/>
    <x v="2"/>
    <x v="5"/>
    <x v="1"/>
    <x v="4"/>
    <x v="1"/>
    <x v="0"/>
    <x v="4"/>
    <x v="35"/>
    <x v="0"/>
    <x v="0"/>
    <x v="0"/>
    <x v="1"/>
  </r>
  <r>
    <x v="433"/>
    <x v="58"/>
    <x v="297"/>
    <x v="2"/>
    <x v="5"/>
    <x v="0"/>
    <x v="7"/>
    <x v="2"/>
    <x v="2"/>
    <x v="14"/>
    <x v="58"/>
    <x v="1"/>
    <x v="1"/>
    <x v="2"/>
    <x v="1"/>
  </r>
  <r>
    <x v="434"/>
    <x v="59"/>
    <x v="147"/>
    <x v="10"/>
    <x v="6"/>
    <x v="0"/>
    <x v="7"/>
    <x v="2"/>
    <x v="2"/>
    <x v="7"/>
    <x v="9"/>
    <x v="0"/>
    <x v="0"/>
    <x v="3"/>
    <x v="0"/>
  </r>
  <r>
    <x v="435"/>
    <x v="59"/>
    <x v="298"/>
    <x v="12"/>
    <x v="6"/>
    <x v="2"/>
    <x v="6"/>
    <x v="0"/>
    <x v="2"/>
    <x v="6"/>
    <x v="6"/>
    <x v="0"/>
    <x v="0"/>
    <x v="0"/>
    <x v="2"/>
  </r>
  <r>
    <x v="436"/>
    <x v="59"/>
    <x v="299"/>
    <x v="8"/>
    <x v="6"/>
    <x v="2"/>
    <x v="11"/>
    <x v="1"/>
    <x v="2"/>
    <x v="11"/>
    <x v="24"/>
    <x v="0"/>
    <x v="0"/>
    <x v="0"/>
    <x v="1"/>
  </r>
  <r>
    <x v="437"/>
    <x v="59"/>
    <x v="195"/>
    <x v="5"/>
    <x v="6"/>
    <x v="1"/>
    <x v="8"/>
    <x v="2"/>
    <x v="0"/>
    <x v="8"/>
    <x v="59"/>
    <x v="0"/>
    <x v="2"/>
    <x v="0"/>
    <x v="2"/>
  </r>
  <r>
    <x v="438"/>
    <x v="59"/>
    <x v="300"/>
    <x v="5"/>
    <x v="6"/>
    <x v="2"/>
    <x v="4"/>
    <x v="1"/>
    <x v="0"/>
    <x v="4"/>
    <x v="35"/>
    <x v="0"/>
    <x v="0"/>
    <x v="2"/>
    <x v="2"/>
  </r>
  <r>
    <x v="439"/>
    <x v="59"/>
    <x v="258"/>
    <x v="1"/>
    <x v="6"/>
    <x v="2"/>
    <x v="2"/>
    <x v="2"/>
    <x v="0"/>
    <x v="2"/>
    <x v="10"/>
    <x v="1"/>
    <x v="0"/>
    <x v="0"/>
    <x v="1"/>
  </r>
  <r>
    <x v="440"/>
    <x v="59"/>
    <x v="114"/>
    <x v="1"/>
    <x v="6"/>
    <x v="0"/>
    <x v="8"/>
    <x v="2"/>
    <x v="2"/>
    <x v="8"/>
    <x v="10"/>
    <x v="0"/>
    <x v="0"/>
    <x v="0"/>
    <x v="0"/>
  </r>
  <r>
    <x v="441"/>
    <x v="59"/>
    <x v="301"/>
    <x v="3"/>
    <x v="6"/>
    <x v="0"/>
    <x v="2"/>
    <x v="2"/>
    <x v="0"/>
    <x v="2"/>
    <x v="10"/>
    <x v="1"/>
    <x v="0"/>
    <x v="0"/>
    <x v="4"/>
  </r>
  <r>
    <x v="442"/>
    <x v="59"/>
    <x v="163"/>
    <x v="3"/>
    <x v="6"/>
    <x v="0"/>
    <x v="7"/>
    <x v="2"/>
    <x v="2"/>
    <x v="7"/>
    <x v="9"/>
    <x v="1"/>
    <x v="0"/>
    <x v="0"/>
    <x v="3"/>
  </r>
  <r>
    <x v="443"/>
    <x v="59"/>
    <x v="278"/>
    <x v="3"/>
    <x v="6"/>
    <x v="0"/>
    <x v="6"/>
    <x v="0"/>
    <x v="2"/>
    <x v="6"/>
    <x v="6"/>
    <x v="0"/>
    <x v="0"/>
    <x v="2"/>
    <x v="2"/>
  </r>
  <r>
    <x v="444"/>
    <x v="59"/>
    <x v="230"/>
    <x v="2"/>
    <x v="6"/>
    <x v="1"/>
    <x v="7"/>
    <x v="2"/>
    <x v="2"/>
    <x v="7"/>
    <x v="9"/>
    <x v="0"/>
    <x v="0"/>
    <x v="0"/>
    <x v="1"/>
  </r>
  <r>
    <x v="445"/>
    <x v="59"/>
    <x v="302"/>
    <x v="4"/>
    <x v="6"/>
    <x v="2"/>
    <x v="4"/>
    <x v="1"/>
    <x v="2"/>
    <x v="4"/>
    <x v="15"/>
    <x v="0"/>
    <x v="0"/>
    <x v="1"/>
    <x v="2"/>
  </r>
  <r>
    <x v="446"/>
    <x v="59"/>
    <x v="303"/>
    <x v="4"/>
    <x v="6"/>
    <x v="2"/>
    <x v="11"/>
    <x v="1"/>
    <x v="0"/>
    <x v="11"/>
    <x v="39"/>
    <x v="1"/>
    <x v="0"/>
    <x v="0"/>
    <x v="4"/>
  </r>
  <r>
    <x v="447"/>
    <x v="60"/>
    <x v="276"/>
    <x v="1"/>
    <x v="0"/>
    <x v="1"/>
    <x v="8"/>
    <x v="2"/>
    <x v="0"/>
    <x v="8"/>
    <x v="21"/>
    <x v="0"/>
    <x v="0"/>
    <x v="0"/>
    <x v="3"/>
  </r>
  <r>
    <x v="448"/>
    <x v="60"/>
    <x v="184"/>
    <x v="1"/>
    <x v="0"/>
    <x v="0"/>
    <x v="3"/>
    <x v="3"/>
    <x v="2"/>
    <x v="3"/>
    <x v="3"/>
    <x v="1"/>
    <x v="0"/>
    <x v="0"/>
    <x v="3"/>
  </r>
  <r>
    <x v="449"/>
    <x v="60"/>
    <x v="99"/>
    <x v="1"/>
    <x v="0"/>
    <x v="0"/>
    <x v="7"/>
    <x v="2"/>
    <x v="1"/>
    <x v="7"/>
    <x v="8"/>
    <x v="0"/>
    <x v="0"/>
    <x v="2"/>
    <x v="2"/>
  </r>
  <r>
    <x v="450"/>
    <x v="60"/>
    <x v="100"/>
    <x v="3"/>
    <x v="0"/>
    <x v="1"/>
    <x v="11"/>
    <x v="1"/>
    <x v="2"/>
    <x v="11"/>
    <x v="24"/>
    <x v="0"/>
    <x v="0"/>
    <x v="1"/>
    <x v="1"/>
  </r>
  <r>
    <x v="451"/>
    <x v="60"/>
    <x v="277"/>
    <x v="3"/>
    <x v="0"/>
    <x v="1"/>
    <x v="11"/>
    <x v="1"/>
    <x v="2"/>
    <x v="11"/>
    <x v="24"/>
    <x v="0"/>
    <x v="0"/>
    <x v="0"/>
    <x v="2"/>
  </r>
  <r>
    <x v="452"/>
    <x v="60"/>
    <x v="304"/>
    <x v="2"/>
    <x v="0"/>
    <x v="2"/>
    <x v="13"/>
    <x v="0"/>
    <x v="2"/>
    <x v="2"/>
    <x v="2"/>
    <x v="0"/>
    <x v="0"/>
    <x v="2"/>
    <x v="3"/>
  </r>
  <r>
    <x v="453"/>
    <x v="60"/>
    <x v="305"/>
    <x v="4"/>
    <x v="0"/>
    <x v="1"/>
    <x v="6"/>
    <x v="0"/>
    <x v="2"/>
    <x v="6"/>
    <x v="60"/>
    <x v="0"/>
    <x v="3"/>
    <x v="0"/>
    <x v="4"/>
  </r>
  <r>
    <x v="454"/>
    <x v="61"/>
    <x v="137"/>
    <x v="7"/>
    <x v="1"/>
    <x v="0"/>
    <x v="1"/>
    <x v="1"/>
    <x v="2"/>
    <x v="1"/>
    <x v="8"/>
    <x v="1"/>
    <x v="0"/>
    <x v="0"/>
    <x v="3"/>
  </r>
  <r>
    <x v="455"/>
    <x v="61"/>
    <x v="306"/>
    <x v="0"/>
    <x v="1"/>
    <x v="0"/>
    <x v="0"/>
    <x v="0"/>
    <x v="0"/>
    <x v="0"/>
    <x v="0"/>
    <x v="1"/>
    <x v="0"/>
    <x v="0"/>
    <x v="3"/>
  </r>
  <r>
    <x v="456"/>
    <x v="61"/>
    <x v="307"/>
    <x v="3"/>
    <x v="1"/>
    <x v="1"/>
    <x v="4"/>
    <x v="1"/>
    <x v="2"/>
    <x v="4"/>
    <x v="15"/>
    <x v="0"/>
    <x v="0"/>
    <x v="0"/>
    <x v="3"/>
  </r>
  <r>
    <x v="457"/>
    <x v="61"/>
    <x v="62"/>
    <x v="2"/>
    <x v="1"/>
    <x v="1"/>
    <x v="5"/>
    <x v="1"/>
    <x v="2"/>
    <x v="5"/>
    <x v="5"/>
    <x v="1"/>
    <x v="0"/>
    <x v="0"/>
    <x v="0"/>
  </r>
  <r>
    <x v="458"/>
    <x v="62"/>
    <x v="77"/>
    <x v="7"/>
    <x v="2"/>
    <x v="0"/>
    <x v="0"/>
    <x v="0"/>
    <x v="2"/>
    <x v="0"/>
    <x v="7"/>
    <x v="0"/>
    <x v="0"/>
    <x v="0"/>
    <x v="0"/>
  </r>
  <r>
    <x v="459"/>
    <x v="62"/>
    <x v="308"/>
    <x v="0"/>
    <x v="2"/>
    <x v="0"/>
    <x v="8"/>
    <x v="2"/>
    <x v="2"/>
    <x v="8"/>
    <x v="10"/>
    <x v="0"/>
    <x v="0"/>
    <x v="0"/>
    <x v="4"/>
  </r>
  <r>
    <x v="460"/>
    <x v="62"/>
    <x v="309"/>
    <x v="0"/>
    <x v="2"/>
    <x v="2"/>
    <x v="0"/>
    <x v="0"/>
    <x v="0"/>
    <x v="0"/>
    <x v="0"/>
    <x v="0"/>
    <x v="0"/>
    <x v="0"/>
    <x v="3"/>
  </r>
  <r>
    <x v="461"/>
    <x v="62"/>
    <x v="310"/>
    <x v="12"/>
    <x v="2"/>
    <x v="2"/>
    <x v="8"/>
    <x v="2"/>
    <x v="2"/>
    <x v="8"/>
    <x v="10"/>
    <x v="0"/>
    <x v="0"/>
    <x v="0"/>
    <x v="2"/>
  </r>
  <r>
    <x v="462"/>
    <x v="62"/>
    <x v="311"/>
    <x v="11"/>
    <x v="2"/>
    <x v="0"/>
    <x v="11"/>
    <x v="1"/>
    <x v="1"/>
    <x v="11"/>
    <x v="19"/>
    <x v="0"/>
    <x v="0"/>
    <x v="0"/>
    <x v="3"/>
  </r>
  <r>
    <x v="463"/>
    <x v="62"/>
    <x v="312"/>
    <x v="5"/>
    <x v="2"/>
    <x v="0"/>
    <x v="6"/>
    <x v="0"/>
    <x v="2"/>
    <x v="6"/>
    <x v="6"/>
    <x v="1"/>
    <x v="0"/>
    <x v="0"/>
    <x v="2"/>
  </r>
  <r>
    <x v="464"/>
    <x v="62"/>
    <x v="187"/>
    <x v="2"/>
    <x v="2"/>
    <x v="2"/>
    <x v="14"/>
    <x v="3"/>
    <x v="2"/>
    <x v="14"/>
    <x v="25"/>
    <x v="0"/>
    <x v="0"/>
    <x v="0"/>
    <x v="0"/>
  </r>
  <r>
    <x v="465"/>
    <x v="63"/>
    <x v="154"/>
    <x v="0"/>
    <x v="3"/>
    <x v="0"/>
    <x v="9"/>
    <x v="3"/>
    <x v="2"/>
    <x v="7"/>
    <x v="9"/>
    <x v="0"/>
    <x v="0"/>
    <x v="3"/>
    <x v="3"/>
  </r>
  <r>
    <x v="466"/>
    <x v="63"/>
    <x v="313"/>
    <x v="11"/>
    <x v="3"/>
    <x v="0"/>
    <x v="11"/>
    <x v="1"/>
    <x v="0"/>
    <x v="11"/>
    <x v="51"/>
    <x v="0"/>
    <x v="1"/>
    <x v="0"/>
    <x v="2"/>
  </r>
  <r>
    <x v="467"/>
    <x v="63"/>
    <x v="314"/>
    <x v="6"/>
    <x v="3"/>
    <x v="0"/>
    <x v="7"/>
    <x v="2"/>
    <x v="2"/>
    <x v="7"/>
    <x v="9"/>
    <x v="0"/>
    <x v="0"/>
    <x v="2"/>
    <x v="1"/>
  </r>
  <r>
    <x v="468"/>
    <x v="63"/>
    <x v="99"/>
    <x v="1"/>
    <x v="3"/>
    <x v="1"/>
    <x v="6"/>
    <x v="0"/>
    <x v="2"/>
    <x v="6"/>
    <x v="60"/>
    <x v="1"/>
    <x v="3"/>
    <x v="2"/>
    <x v="0"/>
  </r>
  <r>
    <x v="469"/>
    <x v="63"/>
    <x v="202"/>
    <x v="1"/>
    <x v="3"/>
    <x v="2"/>
    <x v="6"/>
    <x v="0"/>
    <x v="2"/>
    <x v="6"/>
    <x v="6"/>
    <x v="0"/>
    <x v="0"/>
    <x v="2"/>
    <x v="2"/>
  </r>
  <r>
    <x v="470"/>
    <x v="64"/>
    <x v="315"/>
    <x v="4"/>
    <x v="0"/>
    <x v="1"/>
    <x v="9"/>
    <x v="3"/>
    <x v="2"/>
    <x v="7"/>
    <x v="9"/>
    <x v="1"/>
    <x v="0"/>
    <x v="0"/>
    <x v="2"/>
  </r>
  <r>
    <x v="471"/>
    <x v="65"/>
    <x v="316"/>
    <x v="7"/>
    <x v="4"/>
    <x v="1"/>
    <x v="13"/>
    <x v="0"/>
    <x v="2"/>
    <x v="2"/>
    <x v="2"/>
    <x v="0"/>
    <x v="0"/>
    <x v="0"/>
    <x v="2"/>
  </r>
  <r>
    <x v="472"/>
    <x v="65"/>
    <x v="317"/>
    <x v="12"/>
    <x v="4"/>
    <x v="2"/>
    <x v="10"/>
    <x v="4"/>
    <x v="2"/>
    <x v="10"/>
    <x v="13"/>
    <x v="0"/>
    <x v="0"/>
    <x v="1"/>
    <x v="2"/>
  </r>
  <r>
    <x v="473"/>
    <x v="65"/>
    <x v="156"/>
    <x v="5"/>
    <x v="4"/>
    <x v="1"/>
    <x v="8"/>
    <x v="2"/>
    <x v="2"/>
    <x v="8"/>
    <x v="10"/>
    <x v="0"/>
    <x v="0"/>
    <x v="0"/>
    <x v="1"/>
  </r>
  <r>
    <x v="474"/>
    <x v="3"/>
    <x v="115"/>
    <x v="3"/>
    <x v="3"/>
    <x v="2"/>
    <x v="8"/>
    <x v="2"/>
    <x v="2"/>
    <x v="8"/>
    <x v="10"/>
    <x v="1"/>
    <x v="0"/>
    <x v="1"/>
    <x v="4"/>
  </r>
  <r>
    <x v="475"/>
    <x v="3"/>
    <x v="186"/>
    <x v="3"/>
    <x v="3"/>
    <x v="0"/>
    <x v="5"/>
    <x v="1"/>
    <x v="2"/>
    <x v="5"/>
    <x v="5"/>
    <x v="0"/>
    <x v="0"/>
    <x v="1"/>
    <x v="2"/>
  </r>
  <r>
    <x v="476"/>
    <x v="3"/>
    <x v="179"/>
    <x v="3"/>
    <x v="3"/>
    <x v="0"/>
    <x v="4"/>
    <x v="1"/>
    <x v="0"/>
    <x v="4"/>
    <x v="35"/>
    <x v="1"/>
    <x v="0"/>
    <x v="0"/>
    <x v="3"/>
  </r>
  <r>
    <x v="477"/>
    <x v="65"/>
    <x v="318"/>
    <x v="2"/>
    <x v="4"/>
    <x v="2"/>
    <x v="6"/>
    <x v="0"/>
    <x v="2"/>
    <x v="6"/>
    <x v="6"/>
    <x v="0"/>
    <x v="0"/>
    <x v="0"/>
    <x v="1"/>
  </r>
  <r>
    <x v="478"/>
    <x v="65"/>
    <x v="101"/>
    <x v="2"/>
    <x v="4"/>
    <x v="1"/>
    <x v="11"/>
    <x v="1"/>
    <x v="2"/>
    <x v="11"/>
    <x v="24"/>
    <x v="0"/>
    <x v="0"/>
    <x v="0"/>
    <x v="0"/>
  </r>
  <r>
    <x v="479"/>
    <x v="65"/>
    <x v="93"/>
    <x v="2"/>
    <x v="4"/>
    <x v="0"/>
    <x v="7"/>
    <x v="2"/>
    <x v="2"/>
    <x v="7"/>
    <x v="9"/>
    <x v="1"/>
    <x v="0"/>
    <x v="0"/>
    <x v="1"/>
  </r>
  <r>
    <x v="480"/>
    <x v="65"/>
    <x v="319"/>
    <x v="4"/>
    <x v="4"/>
    <x v="1"/>
    <x v="3"/>
    <x v="3"/>
    <x v="0"/>
    <x v="3"/>
    <x v="14"/>
    <x v="0"/>
    <x v="0"/>
    <x v="0"/>
    <x v="0"/>
  </r>
  <r>
    <x v="481"/>
    <x v="66"/>
    <x v="320"/>
    <x v="12"/>
    <x v="5"/>
    <x v="1"/>
    <x v="1"/>
    <x v="1"/>
    <x v="2"/>
    <x v="1"/>
    <x v="8"/>
    <x v="1"/>
    <x v="0"/>
    <x v="2"/>
    <x v="0"/>
  </r>
  <r>
    <x v="482"/>
    <x v="66"/>
    <x v="321"/>
    <x v="11"/>
    <x v="5"/>
    <x v="0"/>
    <x v="4"/>
    <x v="1"/>
    <x v="0"/>
    <x v="4"/>
    <x v="61"/>
    <x v="0"/>
    <x v="3"/>
    <x v="0"/>
    <x v="3"/>
  </r>
  <r>
    <x v="483"/>
    <x v="66"/>
    <x v="322"/>
    <x v="8"/>
    <x v="5"/>
    <x v="0"/>
    <x v="2"/>
    <x v="2"/>
    <x v="2"/>
    <x v="2"/>
    <x v="2"/>
    <x v="0"/>
    <x v="0"/>
    <x v="3"/>
    <x v="0"/>
  </r>
  <r>
    <x v="484"/>
    <x v="66"/>
    <x v="323"/>
    <x v="5"/>
    <x v="5"/>
    <x v="0"/>
    <x v="1"/>
    <x v="1"/>
    <x v="2"/>
    <x v="1"/>
    <x v="8"/>
    <x v="0"/>
    <x v="0"/>
    <x v="0"/>
    <x v="0"/>
  </r>
  <r>
    <x v="485"/>
    <x v="66"/>
    <x v="324"/>
    <x v="5"/>
    <x v="5"/>
    <x v="1"/>
    <x v="1"/>
    <x v="1"/>
    <x v="2"/>
    <x v="1"/>
    <x v="8"/>
    <x v="0"/>
    <x v="0"/>
    <x v="0"/>
    <x v="3"/>
  </r>
  <r>
    <x v="486"/>
    <x v="67"/>
    <x v="202"/>
    <x v="1"/>
    <x v="3"/>
    <x v="0"/>
    <x v="12"/>
    <x v="4"/>
    <x v="2"/>
    <x v="8"/>
    <x v="36"/>
    <x v="0"/>
    <x v="1"/>
    <x v="2"/>
    <x v="2"/>
  </r>
  <r>
    <x v="487"/>
    <x v="66"/>
    <x v="325"/>
    <x v="1"/>
    <x v="5"/>
    <x v="2"/>
    <x v="1"/>
    <x v="1"/>
    <x v="2"/>
    <x v="1"/>
    <x v="8"/>
    <x v="0"/>
    <x v="0"/>
    <x v="2"/>
    <x v="1"/>
  </r>
  <r>
    <x v="488"/>
    <x v="67"/>
    <x v="326"/>
    <x v="3"/>
    <x v="3"/>
    <x v="0"/>
    <x v="7"/>
    <x v="2"/>
    <x v="0"/>
    <x v="7"/>
    <x v="12"/>
    <x v="0"/>
    <x v="0"/>
    <x v="1"/>
    <x v="3"/>
  </r>
  <r>
    <x v="489"/>
    <x v="67"/>
    <x v="248"/>
    <x v="3"/>
    <x v="3"/>
    <x v="0"/>
    <x v="1"/>
    <x v="1"/>
    <x v="2"/>
    <x v="1"/>
    <x v="21"/>
    <x v="0"/>
    <x v="2"/>
    <x v="0"/>
    <x v="2"/>
  </r>
  <r>
    <x v="490"/>
    <x v="66"/>
    <x v="241"/>
    <x v="3"/>
    <x v="5"/>
    <x v="2"/>
    <x v="6"/>
    <x v="0"/>
    <x v="2"/>
    <x v="6"/>
    <x v="6"/>
    <x v="1"/>
    <x v="0"/>
    <x v="3"/>
    <x v="1"/>
  </r>
  <r>
    <x v="491"/>
    <x v="66"/>
    <x v="85"/>
    <x v="3"/>
    <x v="5"/>
    <x v="0"/>
    <x v="11"/>
    <x v="1"/>
    <x v="2"/>
    <x v="11"/>
    <x v="24"/>
    <x v="0"/>
    <x v="0"/>
    <x v="0"/>
    <x v="4"/>
  </r>
  <r>
    <x v="492"/>
    <x v="66"/>
    <x v="57"/>
    <x v="2"/>
    <x v="5"/>
    <x v="0"/>
    <x v="1"/>
    <x v="1"/>
    <x v="2"/>
    <x v="1"/>
    <x v="8"/>
    <x v="0"/>
    <x v="0"/>
    <x v="0"/>
    <x v="1"/>
  </r>
  <r>
    <x v="493"/>
    <x v="66"/>
    <x v="327"/>
    <x v="2"/>
    <x v="5"/>
    <x v="2"/>
    <x v="6"/>
    <x v="0"/>
    <x v="2"/>
    <x v="6"/>
    <x v="6"/>
    <x v="0"/>
    <x v="0"/>
    <x v="1"/>
    <x v="2"/>
  </r>
  <r>
    <x v="494"/>
    <x v="66"/>
    <x v="58"/>
    <x v="2"/>
    <x v="5"/>
    <x v="0"/>
    <x v="1"/>
    <x v="1"/>
    <x v="2"/>
    <x v="1"/>
    <x v="8"/>
    <x v="1"/>
    <x v="0"/>
    <x v="2"/>
    <x v="4"/>
  </r>
  <r>
    <x v="495"/>
    <x v="68"/>
    <x v="328"/>
    <x v="10"/>
    <x v="6"/>
    <x v="0"/>
    <x v="7"/>
    <x v="2"/>
    <x v="2"/>
    <x v="7"/>
    <x v="46"/>
    <x v="0"/>
    <x v="3"/>
    <x v="0"/>
    <x v="3"/>
  </r>
  <r>
    <x v="496"/>
    <x v="68"/>
    <x v="329"/>
    <x v="7"/>
    <x v="6"/>
    <x v="2"/>
    <x v="2"/>
    <x v="2"/>
    <x v="2"/>
    <x v="2"/>
    <x v="2"/>
    <x v="1"/>
    <x v="0"/>
    <x v="0"/>
    <x v="2"/>
  </r>
  <r>
    <x v="497"/>
    <x v="68"/>
    <x v="330"/>
    <x v="7"/>
    <x v="6"/>
    <x v="0"/>
    <x v="3"/>
    <x v="3"/>
    <x v="0"/>
    <x v="3"/>
    <x v="14"/>
    <x v="0"/>
    <x v="0"/>
    <x v="2"/>
    <x v="2"/>
  </r>
  <r>
    <x v="498"/>
    <x v="68"/>
    <x v="308"/>
    <x v="0"/>
    <x v="6"/>
    <x v="0"/>
    <x v="0"/>
    <x v="0"/>
    <x v="0"/>
    <x v="0"/>
    <x v="0"/>
    <x v="0"/>
    <x v="0"/>
    <x v="0"/>
    <x v="4"/>
  </r>
  <r>
    <x v="499"/>
    <x v="68"/>
    <x v="331"/>
    <x v="5"/>
    <x v="6"/>
    <x v="0"/>
    <x v="1"/>
    <x v="1"/>
    <x v="2"/>
    <x v="1"/>
    <x v="8"/>
    <x v="0"/>
    <x v="0"/>
    <x v="0"/>
    <x v="0"/>
  </r>
  <r>
    <x v="500"/>
    <x v="68"/>
    <x v="113"/>
    <x v="1"/>
    <x v="6"/>
    <x v="0"/>
    <x v="1"/>
    <x v="1"/>
    <x v="0"/>
    <x v="1"/>
    <x v="16"/>
    <x v="0"/>
    <x v="0"/>
    <x v="0"/>
    <x v="1"/>
  </r>
  <r>
    <x v="501"/>
    <x v="68"/>
    <x v="282"/>
    <x v="1"/>
    <x v="6"/>
    <x v="0"/>
    <x v="6"/>
    <x v="0"/>
    <x v="1"/>
    <x v="6"/>
    <x v="25"/>
    <x v="0"/>
    <x v="0"/>
    <x v="0"/>
    <x v="2"/>
  </r>
  <r>
    <x v="502"/>
    <x v="68"/>
    <x v="266"/>
    <x v="1"/>
    <x v="6"/>
    <x v="0"/>
    <x v="8"/>
    <x v="2"/>
    <x v="2"/>
    <x v="8"/>
    <x v="10"/>
    <x v="0"/>
    <x v="0"/>
    <x v="0"/>
    <x v="4"/>
  </r>
  <r>
    <x v="503"/>
    <x v="68"/>
    <x v="61"/>
    <x v="1"/>
    <x v="6"/>
    <x v="1"/>
    <x v="3"/>
    <x v="3"/>
    <x v="0"/>
    <x v="3"/>
    <x v="14"/>
    <x v="0"/>
    <x v="0"/>
    <x v="0"/>
    <x v="0"/>
  </r>
  <r>
    <x v="504"/>
    <x v="68"/>
    <x v="297"/>
    <x v="2"/>
    <x v="6"/>
    <x v="1"/>
    <x v="7"/>
    <x v="2"/>
    <x v="0"/>
    <x v="7"/>
    <x v="12"/>
    <x v="1"/>
    <x v="0"/>
    <x v="0"/>
    <x v="4"/>
  </r>
  <r>
    <x v="505"/>
    <x v="68"/>
    <x v="49"/>
    <x v="2"/>
    <x v="6"/>
    <x v="0"/>
    <x v="7"/>
    <x v="2"/>
    <x v="2"/>
    <x v="7"/>
    <x v="9"/>
    <x v="0"/>
    <x v="0"/>
    <x v="1"/>
    <x v="4"/>
  </r>
  <r>
    <x v="506"/>
    <x v="68"/>
    <x v="5"/>
    <x v="2"/>
    <x v="6"/>
    <x v="1"/>
    <x v="1"/>
    <x v="1"/>
    <x v="2"/>
    <x v="1"/>
    <x v="8"/>
    <x v="0"/>
    <x v="0"/>
    <x v="3"/>
    <x v="3"/>
  </r>
  <r>
    <x v="507"/>
    <x v="68"/>
    <x v="199"/>
    <x v="4"/>
    <x v="6"/>
    <x v="1"/>
    <x v="0"/>
    <x v="0"/>
    <x v="2"/>
    <x v="0"/>
    <x v="7"/>
    <x v="0"/>
    <x v="0"/>
    <x v="2"/>
    <x v="1"/>
  </r>
  <r>
    <x v="508"/>
    <x v="69"/>
    <x v="332"/>
    <x v="7"/>
    <x v="0"/>
    <x v="0"/>
    <x v="0"/>
    <x v="0"/>
    <x v="2"/>
    <x v="0"/>
    <x v="7"/>
    <x v="0"/>
    <x v="0"/>
    <x v="0"/>
    <x v="2"/>
  </r>
  <r>
    <x v="509"/>
    <x v="69"/>
    <x v="273"/>
    <x v="6"/>
    <x v="0"/>
    <x v="2"/>
    <x v="1"/>
    <x v="1"/>
    <x v="0"/>
    <x v="1"/>
    <x v="16"/>
    <x v="0"/>
    <x v="0"/>
    <x v="2"/>
    <x v="4"/>
  </r>
  <r>
    <x v="510"/>
    <x v="69"/>
    <x v="233"/>
    <x v="5"/>
    <x v="0"/>
    <x v="2"/>
    <x v="11"/>
    <x v="1"/>
    <x v="2"/>
    <x v="15"/>
    <x v="62"/>
    <x v="0"/>
    <x v="3"/>
    <x v="0"/>
    <x v="2"/>
  </r>
  <r>
    <x v="511"/>
    <x v="69"/>
    <x v="69"/>
    <x v="1"/>
    <x v="0"/>
    <x v="1"/>
    <x v="2"/>
    <x v="2"/>
    <x v="2"/>
    <x v="2"/>
    <x v="2"/>
    <x v="0"/>
    <x v="0"/>
    <x v="1"/>
    <x v="1"/>
  </r>
  <r>
    <x v="512"/>
    <x v="69"/>
    <x v="29"/>
    <x v="3"/>
    <x v="0"/>
    <x v="2"/>
    <x v="10"/>
    <x v="4"/>
    <x v="2"/>
    <x v="10"/>
    <x v="13"/>
    <x v="0"/>
    <x v="0"/>
    <x v="0"/>
    <x v="2"/>
  </r>
  <r>
    <x v="513"/>
    <x v="69"/>
    <x v="333"/>
    <x v="3"/>
    <x v="0"/>
    <x v="0"/>
    <x v="2"/>
    <x v="2"/>
    <x v="2"/>
    <x v="2"/>
    <x v="2"/>
    <x v="1"/>
    <x v="0"/>
    <x v="2"/>
    <x v="1"/>
  </r>
  <r>
    <x v="514"/>
    <x v="69"/>
    <x v="334"/>
    <x v="2"/>
    <x v="0"/>
    <x v="0"/>
    <x v="12"/>
    <x v="4"/>
    <x v="2"/>
    <x v="8"/>
    <x v="10"/>
    <x v="0"/>
    <x v="0"/>
    <x v="2"/>
    <x v="0"/>
  </r>
  <r>
    <x v="515"/>
    <x v="70"/>
    <x v="335"/>
    <x v="7"/>
    <x v="1"/>
    <x v="0"/>
    <x v="6"/>
    <x v="0"/>
    <x v="2"/>
    <x v="6"/>
    <x v="6"/>
    <x v="0"/>
    <x v="0"/>
    <x v="1"/>
    <x v="2"/>
  </r>
  <r>
    <x v="516"/>
    <x v="70"/>
    <x v="336"/>
    <x v="12"/>
    <x v="1"/>
    <x v="0"/>
    <x v="14"/>
    <x v="3"/>
    <x v="2"/>
    <x v="14"/>
    <x v="25"/>
    <x v="1"/>
    <x v="0"/>
    <x v="0"/>
    <x v="4"/>
  </r>
  <r>
    <x v="517"/>
    <x v="70"/>
    <x v="337"/>
    <x v="12"/>
    <x v="1"/>
    <x v="0"/>
    <x v="3"/>
    <x v="3"/>
    <x v="0"/>
    <x v="3"/>
    <x v="14"/>
    <x v="0"/>
    <x v="0"/>
    <x v="0"/>
    <x v="2"/>
  </r>
  <r>
    <x v="518"/>
    <x v="70"/>
    <x v="212"/>
    <x v="12"/>
    <x v="1"/>
    <x v="0"/>
    <x v="5"/>
    <x v="1"/>
    <x v="2"/>
    <x v="5"/>
    <x v="5"/>
    <x v="0"/>
    <x v="0"/>
    <x v="1"/>
    <x v="3"/>
  </r>
  <r>
    <x v="519"/>
    <x v="70"/>
    <x v="338"/>
    <x v="5"/>
    <x v="1"/>
    <x v="0"/>
    <x v="5"/>
    <x v="1"/>
    <x v="2"/>
    <x v="5"/>
    <x v="5"/>
    <x v="1"/>
    <x v="0"/>
    <x v="0"/>
    <x v="2"/>
  </r>
  <r>
    <x v="520"/>
    <x v="70"/>
    <x v="236"/>
    <x v="1"/>
    <x v="1"/>
    <x v="0"/>
    <x v="10"/>
    <x v="4"/>
    <x v="0"/>
    <x v="10"/>
    <x v="32"/>
    <x v="0"/>
    <x v="0"/>
    <x v="2"/>
    <x v="3"/>
  </r>
  <r>
    <x v="521"/>
    <x v="70"/>
    <x v="209"/>
    <x v="1"/>
    <x v="1"/>
    <x v="1"/>
    <x v="1"/>
    <x v="1"/>
    <x v="2"/>
    <x v="1"/>
    <x v="8"/>
    <x v="1"/>
    <x v="0"/>
    <x v="0"/>
    <x v="1"/>
  </r>
  <r>
    <x v="522"/>
    <x v="70"/>
    <x v="228"/>
    <x v="3"/>
    <x v="1"/>
    <x v="2"/>
    <x v="3"/>
    <x v="3"/>
    <x v="2"/>
    <x v="3"/>
    <x v="3"/>
    <x v="0"/>
    <x v="0"/>
    <x v="0"/>
    <x v="4"/>
  </r>
  <r>
    <x v="523"/>
    <x v="71"/>
    <x v="137"/>
    <x v="7"/>
    <x v="2"/>
    <x v="0"/>
    <x v="8"/>
    <x v="2"/>
    <x v="2"/>
    <x v="8"/>
    <x v="10"/>
    <x v="0"/>
    <x v="0"/>
    <x v="2"/>
    <x v="0"/>
  </r>
  <r>
    <x v="524"/>
    <x v="71"/>
    <x v="339"/>
    <x v="12"/>
    <x v="2"/>
    <x v="2"/>
    <x v="4"/>
    <x v="1"/>
    <x v="0"/>
    <x v="4"/>
    <x v="35"/>
    <x v="0"/>
    <x v="0"/>
    <x v="0"/>
    <x v="0"/>
  </r>
  <r>
    <x v="525"/>
    <x v="71"/>
    <x v="340"/>
    <x v="5"/>
    <x v="2"/>
    <x v="2"/>
    <x v="11"/>
    <x v="1"/>
    <x v="2"/>
    <x v="11"/>
    <x v="24"/>
    <x v="1"/>
    <x v="0"/>
    <x v="0"/>
    <x v="3"/>
  </r>
  <r>
    <x v="526"/>
    <x v="71"/>
    <x v="341"/>
    <x v="5"/>
    <x v="2"/>
    <x v="2"/>
    <x v="6"/>
    <x v="0"/>
    <x v="1"/>
    <x v="6"/>
    <x v="25"/>
    <x v="1"/>
    <x v="0"/>
    <x v="0"/>
    <x v="2"/>
  </r>
  <r>
    <x v="527"/>
    <x v="71"/>
    <x v="235"/>
    <x v="1"/>
    <x v="2"/>
    <x v="0"/>
    <x v="2"/>
    <x v="2"/>
    <x v="2"/>
    <x v="2"/>
    <x v="55"/>
    <x v="0"/>
    <x v="3"/>
    <x v="0"/>
    <x v="1"/>
  </r>
  <r>
    <x v="528"/>
    <x v="71"/>
    <x v="236"/>
    <x v="1"/>
    <x v="2"/>
    <x v="2"/>
    <x v="7"/>
    <x v="2"/>
    <x v="2"/>
    <x v="7"/>
    <x v="9"/>
    <x v="0"/>
    <x v="0"/>
    <x v="0"/>
    <x v="3"/>
  </r>
  <r>
    <x v="529"/>
    <x v="71"/>
    <x v="342"/>
    <x v="4"/>
    <x v="2"/>
    <x v="1"/>
    <x v="6"/>
    <x v="0"/>
    <x v="1"/>
    <x v="6"/>
    <x v="25"/>
    <x v="0"/>
    <x v="0"/>
    <x v="0"/>
    <x v="3"/>
  </r>
  <r>
    <x v="530"/>
    <x v="72"/>
    <x v="53"/>
    <x v="0"/>
    <x v="3"/>
    <x v="1"/>
    <x v="5"/>
    <x v="1"/>
    <x v="2"/>
    <x v="5"/>
    <x v="5"/>
    <x v="0"/>
    <x v="0"/>
    <x v="2"/>
    <x v="3"/>
  </r>
  <r>
    <x v="531"/>
    <x v="72"/>
    <x v="343"/>
    <x v="12"/>
    <x v="3"/>
    <x v="1"/>
    <x v="5"/>
    <x v="1"/>
    <x v="2"/>
    <x v="5"/>
    <x v="5"/>
    <x v="0"/>
    <x v="0"/>
    <x v="0"/>
    <x v="4"/>
  </r>
  <r>
    <x v="532"/>
    <x v="72"/>
    <x v="344"/>
    <x v="8"/>
    <x v="3"/>
    <x v="0"/>
    <x v="0"/>
    <x v="0"/>
    <x v="0"/>
    <x v="0"/>
    <x v="0"/>
    <x v="0"/>
    <x v="0"/>
    <x v="3"/>
    <x v="0"/>
  </r>
  <r>
    <x v="533"/>
    <x v="72"/>
    <x v="345"/>
    <x v="5"/>
    <x v="3"/>
    <x v="0"/>
    <x v="8"/>
    <x v="2"/>
    <x v="2"/>
    <x v="8"/>
    <x v="10"/>
    <x v="0"/>
    <x v="0"/>
    <x v="1"/>
    <x v="4"/>
  </r>
  <r>
    <x v="534"/>
    <x v="72"/>
    <x v="55"/>
    <x v="3"/>
    <x v="3"/>
    <x v="1"/>
    <x v="7"/>
    <x v="2"/>
    <x v="2"/>
    <x v="7"/>
    <x v="9"/>
    <x v="1"/>
    <x v="0"/>
    <x v="0"/>
    <x v="3"/>
  </r>
  <r>
    <x v="535"/>
    <x v="72"/>
    <x v="57"/>
    <x v="2"/>
    <x v="3"/>
    <x v="0"/>
    <x v="8"/>
    <x v="2"/>
    <x v="2"/>
    <x v="8"/>
    <x v="10"/>
    <x v="1"/>
    <x v="0"/>
    <x v="3"/>
    <x v="0"/>
  </r>
  <r>
    <x v="536"/>
    <x v="72"/>
    <x v="290"/>
    <x v="4"/>
    <x v="3"/>
    <x v="1"/>
    <x v="7"/>
    <x v="2"/>
    <x v="2"/>
    <x v="7"/>
    <x v="9"/>
    <x v="0"/>
    <x v="0"/>
    <x v="0"/>
    <x v="2"/>
  </r>
  <r>
    <x v="537"/>
    <x v="73"/>
    <x v="102"/>
    <x v="10"/>
    <x v="4"/>
    <x v="2"/>
    <x v="1"/>
    <x v="1"/>
    <x v="0"/>
    <x v="1"/>
    <x v="16"/>
    <x v="0"/>
    <x v="0"/>
    <x v="3"/>
    <x v="4"/>
  </r>
  <r>
    <x v="538"/>
    <x v="73"/>
    <x v="218"/>
    <x v="7"/>
    <x v="4"/>
    <x v="0"/>
    <x v="8"/>
    <x v="2"/>
    <x v="0"/>
    <x v="8"/>
    <x v="21"/>
    <x v="0"/>
    <x v="0"/>
    <x v="0"/>
    <x v="1"/>
  </r>
  <r>
    <x v="539"/>
    <x v="73"/>
    <x v="346"/>
    <x v="7"/>
    <x v="4"/>
    <x v="1"/>
    <x v="4"/>
    <x v="1"/>
    <x v="2"/>
    <x v="4"/>
    <x v="15"/>
    <x v="1"/>
    <x v="0"/>
    <x v="0"/>
    <x v="3"/>
  </r>
  <r>
    <x v="540"/>
    <x v="73"/>
    <x v="347"/>
    <x v="12"/>
    <x v="4"/>
    <x v="2"/>
    <x v="8"/>
    <x v="2"/>
    <x v="2"/>
    <x v="8"/>
    <x v="10"/>
    <x v="1"/>
    <x v="0"/>
    <x v="0"/>
    <x v="0"/>
  </r>
  <r>
    <x v="541"/>
    <x v="73"/>
    <x v="331"/>
    <x v="5"/>
    <x v="4"/>
    <x v="0"/>
    <x v="4"/>
    <x v="1"/>
    <x v="0"/>
    <x v="4"/>
    <x v="35"/>
    <x v="1"/>
    <x v="0"/>
    <x v="0"/>
    <x v="0"/>
  </r>
  <r>
    <x v="542"/>
    <x v="73"/>
    <x v="348"/>
    <x v="5"/>
    <x v="4"/>
    <x v="1"/>
    <x v="4"/>
    <x v="1"/>
    <x v="2"/>
    <x v="4"/>
    <x v="52"/>
    <x v="0"/>
    <x v="3"/>
    <x v="0"/>
    <x v="2"/>
  </r>
  <r>
    <x v="543"/>
    <x v="73"/>
    <x v="260"/>
    <x v="3"/>
    <x v="4"/>
    <x v="0"/>
    <x v="10"/>
    <x v="4"/>
    <x v="2"/>
    <x v="10"/>
    <x v="13"/>
    <x v="0"/>
    <x v="0"/>
    <x v="0"/>
    <x v="3"/>
  </r>
  <r>
    <x v="544"/>
    <x v="73"/>
    <x v="349"/>
    <x v="4"/>
    <x v="4"/>
    <x v="1"/>
    <x v="1"/>
    <x v="1"/>
    <x v="0"/>
    <x v="1"/>
    <x v="16"/>
    <x v="0"/>
    <x v="0"/>
    <x v="0"/>
    <x v="3"/>
  </r>
  <r>
    <x v="545"/>
    <x v="74"/>
    <x v="350"/>
    <x v="7"/>
    <x v="5"/>
    <x v="2"/>
    <x v="7"/>
    <x v="2"/>
    <x v="0"/>
    <x v="7"/>
    <x v="14"/>
    <x v="0"/>
    <x v="2"/>
    <x v="0"/>
    <x v="1"/>
  </r>
  <r>
    <x v="546"/>
    <x v="74"/>
    <x v="350"/>
    <x v="7"/>
    <x v="5"/>
    <x v="2"/>
    <x v="0"/>
    <x v="0"/>
    <x v="2"/>
    <x v="0"/>
    <x v="7"/>
    <x v="1"/>
    <x v="0"/>
    <x v="0"/>
    <x v="0"/>
  </r>
  <r>
    <x v="547"/>
    <x v="74"/>
    <x v="247"/>
    <x v="12"/>
    <x v="5"/>
    <x v="0"/>
    <x v="3"/>
    <x v="3"/>
    <x v="2"/>
    <x v="3"/>
    <x v="3"/>
    <x v="0"/>
    <x v="0"/>
    <x v="0"/>
    <x v="1"/>
  </r>
  <r>
    <x v="548"/>
    <x v="74"/>
    <x v="351"/>
    <x v="11"/>
    <x v="5"/>
    <x v="2"/>
    <x v="1"/>
    <x v="1"/>
    <x v="0"/>
    <x v="1"/>
    <x v="16"/>
    <x v="1"/>
    <x v="0"/>
    <x v="0"/>
    <x v="0"/>
  </r>
  <r>
    <x v="549"/>
    <x v="74"/>
    <x v="293"/>
    <x v="5"/>
    <x v="5"/>
    <x v="1"/>
    <x v="6"/>
    <x v="0"/>
    <x v="2"/>
    <x v="6"/>
    <x v="56"/>
    <x v="0"/>
    <x v="1"/>
    <x v="0"/>
    <x v="3"/>
  </r>
  <r>
    <x v="550"/>
    <x v="74"/>
    <x v="81"/>
    <x v="5"/>
    <x v="5"/>
    <x v="0"/>
    <x v="7"/>
    <x v="2"/>
    <x v="0"/>
    <x v="7"/>
    <x v="12"/>
    <x v="1"/>
    <x v="0"/>
    <x v="2"/>
    <x v="1"/>
  </r>
  <r>
    <x v="551"/>
    <x v="75"/>
    <x v="331"/>
    <x v="5"/>
    <x v="0"/>
    <x v="0"/>
    <x v="5"/>
    <x v="1"/>
    <x v="2"/>
    <x v="5"/>
    <x v="5"/>
    <x v="1"/>
    <x v="0"/>
    <x v="2"/>
    <x v="1"/>
  </r>
  <r>
    <x v="552"/>
    <x v="74"/>
    <x v="352"/>
    <x v="5"/>
    <x v="5"/>
    <x v="1"/>
    <x v="10"/>
    <x v="4"/>
    <x v="2"/>
    <x v="10"/>
    <x v="13"/>
    <x v="0"/>
    <x v="0"/>
    <x v="0"/>
    <x v="0"/>
  </r>
  <r>
    <x v="553"/>
    <x v="74"/>
    <x v="353"/>
    <x v="1"/>
    <x v="5"/>
    <x v="1"/>
    <x v="5"/>
    <x v="1"/>
    <x v="2"/>
    <x v="5"/>
    <x v="5"/>
    <x v="0"/>
    <x v="0"/>
    <x v="2"/>
    <x v="1"/>
  </r>
  <r>
    <x v="554"/>
    <x v="74"/>
    <x v="112"/>
    <x v="1"/>
    <x v="5"/>
    <x v="2"/>
    <x v="4"/>
    <x v="1"/>
    <x v="2"/>
    <x v="4"/>
    <x v="15"/>
    <x v="0"/>
    <x v="0"/>
    <x v="2"/>
    <x v="4"/>
  </r>
  <r>
    <x v="555"/>
    <x v="74"/>
    <x v="253"/>
    <x v="1"/>
    <x v="5"/>
    <x v="1"/>
    <x v="0"/>
    <x v="0"/>
    <x v="0"/>
    <x v="0"/>
    <x v="0"/>
    <x v="0"/>
    <x v="0"/>
    <x v="2"/>
    <x v="1"/>
  </r>
  <r>
    <x v="556"/>
    <x v="74"/>
    <x v="248"/>
    <x v="3"/>
    <x v="5"/>
    <x v="0"/>
    <x v="6"/>
    <x v="0"/>
    <x v="2"/>
    <x v="6"/>
    <x v="6"/>
    <x v="1"/>
    <x v="0"/>
    <x v="0"/>
    <x v="3"/>
  </r>
  <r>
    <x v="557"/>
    <x v="74"/>
    <x v="95"/>
    <x v="3"/>
    <x v="5"/>
    <x v="1"/>
    <x v="0"/>
    <x v="0"/>
    <x v="0"/>
    <x v="0"/>
    <x v="0"/>
    <x v="0"/>
    <x v="0"/>
    <x v="0"/>
    <x v="1"/>
  </r>
  <r>
    <x v="558"/>
    <x v="74"/>
    <x v="327"/>
    <x v="2"/>
    <x v="5"/>
    <x v="1"/>
    <x v="5"/>
    <x v="1"/>
    <x v="2"/>
    <x v="5"/>
    <x v="5"/>
    <x v="0"/>
    <x v="0"/>
    <x v="0"/>
    <x v="3"/>
  </r>
  <r>
    <x v="559"/>
    <x v="76"/>
    <x v="181"/>
    <x v="7"/>
    <x v="6"/>
    <x v="1"/>
    <x v="1"/>
    <x v="1"/>
    <x v="0"/>
    <x v="1"/>
    <x v="63"/>
    <x v="0"/>
    <x v="3"/>
    <x v="2"/>
    <x v="3"/>
  </r>
  <r>
    <x v="560"/>
    <x v="76"/>
    <x v="354"/>
    <x v="7"/>
    <x v="6"/>
    <x v="0"/>
    <x v="1"/>
    <x v="1"/>
    <x v="2"/>
    <x v="1"/>
    <x v="8"/>
    <x v="0"/>
    <x v="0"/>
    <x v="2"/>
    <x v="2"/>
  </r>
  <r>
    <x v="561"/>
    <x v="76"/>
    <x v="355"/>
    <x v="0"/>
    <x v="6"/>
    <x v="2"/>
    <x v="0"/>
    <x v="0"/>
    <x v="0"/>
    <x v="0"/>
    <x v="0"/>
    <x v="0"/>
    <x v="0"/>
    <x v="3"/>
    <x v="3"/>
  </r>
  <r>
    <x v="562"/>
    <x v="77"/>
    <x v="356"/>
    <x v="12"/>
    <x v="3"/>
    <x v="0"/>
    <x v="8"/>
    <x v="2"/>
    <x v="2"/>
    <x v="8"/>
    <x v="10"/>
    <x v="0"/>
    <x v="0"/>
    <x v="2"/>
    <x v="0"/>
  </r>
  <r>
    <x v="563"/>
    <x v="77"/>
    <x v="252"/>
    <x v="8"/>
    <x v="3"/>
    <x v="0"/>
    <x v="11"/>
    <x v="1"/>
    <x v="2"/>
    <x v="11"/>
    <x v="24"/>
    <x v="0"/>
    <x v="0"/>
    <x v="0"/>
    <x v="3"/>
  </r>
  <r>
    <x v="564"/>
    <x v="76"/>
    <x v="357"/>
    <x v="8"/>
    <x v="6"/>
    <x v="0"/>
    <x v="2"/>
    <x v="2"/>
    <x v="2"/>
    <x v="2"/>
    <x v="2"/>
    <x v="1"/>
    <x v="0"/>
    <x v="2"/>
    <x v="1"/>
  </r>
  <r>
    <x v="565"/>
    <x v="76"/>
    <x v="2"/>
    <x v="1"/>
    <x v="6"/>
    <x v="0"/>
    <x v="7"/>
    <x v="2"/>
    <x v="2"/>
    <x v="7"/>
    <x v="25"/>
    <x v="1"/>
    <x v="1"/>
    <x v="1"/>
    <x v="4"/>
  </r>
  <r>
    <x v="566"/>
    <x v="76"/>
    <x v="358"/>
    <x v="1"/>
    <x v="6"/>
    <x v="2"/>
    <x v="7"/>
    <x v="2"/>
    <x v="2"/>
    <x v="7"/>
    <x v="46"/>
    <x v="1"/>
    <x v="3"/>
    <x v="2"/>
    <x v="2"/>
  </r>
  <r>
    <x v="567"/>
    <x v="77"/>
    <x v="359"/>
    <x v="2"/>
    <x v="3"/>
    <x v="0"/>
    <x v="6"/>
    <x v="0"/>
    <x v="2"/>
    <x v="6"/>
    <x v="60"/>
    <x v="0"/>
    <x v="3"/>
    <x v="2"/>
    <x v="1"/>
  </r>
  <r>
    <x v="568"/>
    <x v="78"/>
    <x v="360"/>
    <x v="10"/>
    <x v="0"/>
    <x v="0"/>
    <x v="1"/>
    <x v="1"/>
    <x v="2"/>
    <x v="1"/>
    <x v="8"/>
    <x v="1"/>
    <x v="0"/>
    <x v="1"/>
    <x v="0"/>
  </r>
  <r>
    <x v="569"/>
    <x v="78"/>
    <x v="361"/>
    <x v="0"/>
    <x v="0"/>
    <x v="0"/>
    <x v="7"/>
    <x v="2"/>
    <x v="2"/>
    <x v="7"/>
    <x v="9"/>
    <x v="1"/>
    <x v="0"/>
    <x v="0"/>
    <x v="4"/>
  </r>
  <r>
    <x v="570"/>
    <x v="78"/>
    <x v="362"/>
    <x v="8"/>
    <x v="0"/>
    <x v="0"/>
    <x v="2"/>
    <x v="2"/>
    <x v="2"/>
    <x v="2"/>
    <x v="2"/>
    <x v="0"/>
    <x v="0"/>
    <x v="0"/>
    <x v="0"/>
  </r>
  <r>
    <x v="571"/>
    <x v="79"/>
    <x v="363"/>
    <x v="5"/>
    <x v="5"/>
    <x v="0"/>
    <x v="7"/>
    <x v="2"/>
    <x v="2"/>
    <x v="7"/>
    <x v="9"/>
    <x v="1"/>
    <x v="0"/>
    <x v="1"/>
    <x v="0"/>
  </r>
  <r>
    <x v="572"/>
    <x v="78"/>
    <x v="265"/>
    <x v="1"/>
    <x v="0"/>
    <x v="2"/>
    <x v="0"/>
    <x v="0"/>
    <x v="1"/>
    <x v="0"/>
    <x v="2"/>
    <x v="1"/>
    <x v="0"/>
    <x v="3"/>
    <x v="0"/>
  </r>
  <r>
    <x v="573"/>
    <x v="80"/>
    <x v="132"/>
    <x v="7"/>
    <x v="1"/>
    <x v="0"/>
    <x v="5"/>
    <x v="1"/>
    <x v="0"/>
    <x v="5"/>
    <x v="17"/>
    <x v="0"/>
    <x v="0"/>
    <x v="0"/>
    <x v="2"/>
  </r>
  <r>
    <x v="574"/>
    <x v="80"/>
    <x v="139"/>
    <x v="8"/>
    <x v="1"/>
    <x v="0"/>
    <x v="11"/>
    <x v="1"/>
    <x v="2"/>
    <x v="11"/>
    <x v="24"/>
    <x v="0"/>
    <x v="0"/>
    <x v="0"/>
    <x v="4"/>
  </r>
  <r>
    <x v="575"/>
    <x v="80"/>
    <x v="364"/>
    <x v="1"/>
    <x v="1"/>
    <x v="1"/>
    <x v="12"/>
    <x v="4"/>
    <x v="2"/>
    <x v="8"/>
    <x v="10"/>
    <x v="0"/>
    <x v="0"/>
    <x v="0"/>
    <x v="4"/>
  </r>
  <r>
    <x v="576"/>
    <x v="80"/>
    <x v="72"/>
    <x v="3"/>
    <x v="1"/>
    <x v="2"/>
    <x v="6"/>
    <x v="0"/>
    <x v="2"/>
    <x v="6"/>
    <x v="6"/>
    <x v="0"/>
    <x v="0"/>
    <x v="0"/>
    <x v="1"/>
  </r>
  <r>
    <x v="577"/>
    <x v="80"/>
    <x v="85"/>
    <x v="3"/>
    <x v="1"/>
    <x v="0"/>
    <x v="4"/>
    <x v="1"/>
    <x v="2"/>
    <x v="4"/>
    <x v="15"/>
    <x v="1"/>
    <x v="0"/>
    <x v="0"/>
    <x v="1"/>
  </r>
  <r>
    <x v="578"/>
    <x v="80"/>
    <x v="365"/>
    <x v="2"/>
    <x v="1"/>
    <x v="1"/>
    <x v="4"/>
    <x v="1"/>
    <x v="2"/>
    <x v="4"/>
    <x v="15"/>
    <x v="1"/>
    <x v="0"/>
    <x v="2"/>
    <x v="4"/>
  </r>
  <r>
    <x v="579"/>
    <x v="81"/>
    <x v="366"/>
    <x v="10"/>
    <x v="2"/>
    <x v="0"/>
    <x v="6"/>
    <x v="0"/>
    <x v="2"/>
    <x v="6"/>
    <x v="60"/>
    <x v="0"/>
    <x v="3"/>
    <x v="0"/>
    <x v="0"/>
  </r>
  <r>
    <x v="580"/>
    <x v="81"/>
    <x v="367"/>
    <x v="10"/>
    <x v="2"/>
    <x v="0"/>
    <x v="0"/>
    <x v="0"/>
    <x v="0"/>
    <x v="0"/>
    <x v="53"/>
    <x v="0"/>
    <x v="1"/>
    <x v="2"/>
    <x v="4"/>
  </r>
  <r>
    <x v="581"/>
    <x v="81"/>
    <x v="154"/>
    <x v="0"/>
    <x v="2"/>
    <x v="0"/>
    <x v="4"/>
    <x v="1"/>
    <x v="2"/>
    <x v="4"/>
    <x v="15"/>
    <x v="0"/>
    <x v="0"/>
    <x v="2"/>
    <x v="0"/>
  </r>
  <r>
    <x v="582"/>
    <x v="81"/>
    <x v="142"/>
    <x v="0"/>
    <x v="2"/>
    <x v="0"/>
    <x v="7"/>
    <x v="2"/>
    <x v="2"/>
    <x v="7"/>
    <x v="9"/>
    <x v="0"/>
    <x v="0"/>
    <x v="2"/>
    <x v="1"/>
  </r>
  <r>
    <x v="583"/>
    <x v="81"/>
    <x v="209"/>
    <x v="1"/>
    <x v="2"/>
    <x v="0"/>
    <x v="9"/>
    <x v="3"/>
    <x v="2"/>
    <x v="7"/>
    <x v="9"/>
    <x v="0"/>
    <x v="0"/>
    <x v="0"/>
    <x v="1"/>
  </r>
  <r>
    <x v="584"/>
    <x v="81"/>
    <x v="29"/>
    <x v="3"/>
    <x v="2"/>
    <x v="1"/>
    <x v="0"/>
    <x v="0"/>
    <x v="0"/>
    <x v="0"/>
    <x v="0"/>
    <x v="0"/>
    <x v="0"/>
    <x v="3"/>
    <x v="2"/>
  </r>
  <r>
    <x v="585"/>
    <x v="81"/>
    <x v="169"/>
    <x v="3"/>
    <x v="2"/>
    <x v="0"/>
    <x v="5"/>
    <x v="1"/>
    <x v="2"/>
    <x v="5"/>
    <x v="5"/>
    <x v="0"/>
    <x v="0"/>
    <x v="0"/>
    <x v="0"/>
  </r>
  <r>
    <x v="586"/>
    <x v="81"/>
    <x v="368"/>
    <x v="2"/>
    <x v="2"/>
    <x v="1"/>
    <x v="14"/>
    <x v="3"/>
    <x v="2"/>
    <x v="14"/>
    <x v="25"/>
    <x v="0"/>
    <x v="0"/>
    <x v="0"/>
    <x v="2"/>
  </r>
  <r>
    <x v="587"/>
    <x v="81"/>
    <x v="369"/>
    <x v="2"/>
    <x v="2"/>
    <x v="2"/>
    <x v="11"/>
    <x v="1"/>
    <x v="2"/>
    <x v="11"/>
    <x v="45"/>
    <x v="0"/>
    <x v="1"/>
    <x v="2"/>
    <x v="4"/>
  </r>
  <r>
    <x v="588"/>
    <x v="82"/>
    <x v="370"/>
    <x v="7"/>
    <x v="3"/>
    <x v="2"/>
    <x v="8"/>
    <x v="2"/>
    <x v="2"/>
    <x v="8"/>
    <x v="10"/>
    <x v="0"/>
    <x v="0"/>
    <x v="0"/>
    <x v="2"/>
  </r>
  <r>
    <x v="589"/>
    <x v="82"/>
    <x v="274"/>
    <x v="5"/>
    <x v="3"/>
    <x v="0"/>
    <x v="1"/>
    <x v="1"/>
    <x v="2"/>
    <x v="1"/>
    <x v="8"/>
    <x v="0"/>
    <x v="0"/>
    <x v="1"/>
    <x v="3"/>
  </r>
  <r>
    <x v="590"/>
    <x v="83"/>
    <x v="371"/>
    <x v="7"/>
    <x v="4"/>
    <x v="1"/>
    <x v="3"/>
    <x v="3"/>
    <x v="0"/>
    <x v="3"/>
    <x v="14"/>
    <x v="0"/>
    <x v="0"/>
    <x v="1"/>
    <x v="1"/>
  </r>
  <r>
    <x v="591"/>
    <x v="83"/>
    <x v="153"/>
    <x v="0"/>
    <x v="4"/>
    <x v="2"/>
    <x v="6"/>
    <x v="0"/>
    <x v="2"/>
    <x v="6"/>
    <x v="6"/>
    <x v="1"/>
    <x v="0"/>
    <x v="2"/>
    <x v="3"/>
  </r>
  <r>
    <x v="592"/>
    <x v="83"/>
    <x v="372"/>
    <x v="8"/>
    <x v="4"/>
    <x v="0"/>
    <x v="10"/>
    <x v="4"/>
    <x v="0"/>
    <x v="10"/>
    <x v="64"/>
    <x v="0"/>
    <x v="3"/>
    <x v="0"/>
    <x v="3"/>
  </r>
  <r>
    <x v="593"/>
    <x v="83"/>
    <x v="373"/>
    <x v="5"/>
    <x v="4"/>
    <x v="0"/>
    <x v="8"/>
    <x v="2"/>
    <x v="2"/>
    <x v="8"/>
    <x v="36"/>
    <x v="1"/>
    <x v="1"/>
    <x v="0"/>
    <x v="4"/>
  </r>
  <r>
    <x v="594"/>
    <x v="83"/>
    <x v="158"/>
    <x v="1"/>
    <x v="4"/>
    <x v="0"/>
    <x v="10"/>
    <x v="4"/>
    <x v="2"/>
    <x v="10"/>
    <x v="13"/>
    <x v="0"/>
    <x v="0"/>
    <x v="2"/>
    <x v="1"/>
  </r>
  <r>
    <x v="595"/>
    <x v="83"/>
    <x v="91"/>
    <x v="3"/>
    <x v="4"/>
    <x v="0"/>
    <x v="9"/>
    <x v="3"/>
    <x v="2"/>
    <x v="7"/>
    <x v="9"/>
    <x v="0"/>
    <x v="0"/>
    <x v="0"/>
    <x v="1"/>
  </r>
  <r>
    <x v="596"/>
    <x v="83"/>
    <x v="334"/>
    <x v="2"/>
    <x v="4"/>
    <x v="1"/>
    <x v="5"/>
    <x v="1"/>
    <x v="0"/>
    <x v="5"/>
    <x v="17"/>
    <x v="0"/>
    <x v="0"/>
    <x v="0"/>
    <x v="0"/>
  </r>
  <r>
    <x v="597"/>
    <x v="83"/>
    <x v="374"/>
    <x v="2"/>
    <x v="4"/>
    <x v="0"/>
    <x v="7"/>
    <x v="2"/>
    <x v="2"/>
    <x v="7"/>
    <x v="9"/>
    <x v="0"/>
    <x v="0"/>
    <x v="1"/>
    <x v="2"/>
  </r>
  <r>
    <x v="598"/>
    <x v="83"/>
    <x v="375"/>
    <x v="4"/>
    <x v="4"/>
    <x v="0"/>
    <x v="0"/>
    <x v="0"/>
    <x v="0"/>
    <x v="0"/>
    <x v="0"/>
    <x v="0"/>
    <x v="0"/>
    <x v="0"/>
    <x v="0"/>
  </r>
  <r>
    <x v="599"/>
    <x v="84"/>
    <x v="376"/>
    <x v="10"/>
    <x v="5"/>
    <x v="1"/>
    <x v="9"/>
    <x v="3"/>
    <x v="2"/>
    <x v="7"/>
    <x v="9"/>
    <x v="0"/>
    <x v="0"/>
    <x v="2"/>
    <x v="3"/>
  </r>
  <r>
    <x v="600"/>
    <x v="84"/>
    <x v="377"/>
    <x v="10"/>
    <x v="5"/>
    <x v="0"/>
    <x v="6"/>
    <x v="0"/>
    <x v="2"/>
    <x v="6"/>
    <x v="6"/>
    <x v="0"/>
    <x v="0"/>
    <x v="0"/>
    <x v="1"/>
  </r>
  <r>
    <x v="601"/>
    <x v="84"/>
    <x v="329"/>
    <x v="7"/>
    <x v="5"/>
    <x v="0"/>
    <x v="11"/>
    <x v="1"/>
    <x v="2"/>
    <x v="11"/>
    <x v="24"/>
    <x v="0"/>
    <x v="0"/>
    <x v="1"/>
    <x v="4"/>
  </r>
  <r>
    <x v="602"/>
    <x v="84"/>
    <x v="378"/>
    <x v="0"/>
    <x v="5"/>
    <x v="0"/>
    <x v="6"/>
    <x v="0"/>
    <x v="0"/>
    <x v="6"/>
    <x v="2"/>
    <x v="0"/>
    <x v="0"/>
    <x v="0"/>
    <x v="3"/>
  </r>
  <r>
    <x v="603"/>
    <x v="84"/>
    <x v="287"/>
    <x v="12"/>
    <x v="5"/>
    <x v="0"/>
    <x v="3"/>
    <x v="3"/>
    <x v="2"/>
    <x v="3"/>
    <x v="3"/>
    <x v="0"/>
    <x v="0"/>
    <x v="2"/>
    <x v="0"/>
  </r>
  <r>
    <x v="604"/>
    <x v="84"/>
    <x v="379"/>
    <x v="5"/>
    <x v="5"/>
    <x v="0"/>
    <x v="6"/>
    <x v="0"/>
    <x v="2"/>
    <x v="6"/>
    <x v="6"/>
    <x v="0"/>
    <x v="0"/>
    <x v="0"/>
    <x v="0"/>
  </r>
  <r>
    <x v="605"/>
    <x v="84"/>
    <x v="294"/>
    <x v="5"/>
    <x v="5"/>
    <x v="2"/>
    <x v="11"/>
    <x v="1"/>
    <x v="2"/>
    <x v="11"/>
    <x v="24"/>
    <x v="1"/>
    <x v="0"/>
    <x v="0"/>
    <x v="4"/>
  </r>
  <r>
    <x v="606"/>
    <x v="84"/>
    <x v="50"/>
    <x v="5"/>
    <x v="5"/>
    <x v="2"/>
    <x v="5"/>
    <x v="1"/>
    <x v="3"/>
    <x v="5"/>
    <x v="65"/>
    <x v="1"/>
    <x v="3"/>
    <x v="0"/>
    <x v="1"/>
  </r>
  <r>
    <x v="607"/>
    <x v="84"/>
    <x v="318"/>
    <x v="2"/>
    <x v="5"/>
    <x v="2"/>
    <x v="10"/>
    <x v="4"/>
    <x v="2"/>
    <x v="10"/>
    <x v="66"/>
    <x v="1"/>
    <x v="1"/>
    <x v="1"/>
    <x v="0"/>
  </r>
  <r>
    <x v="608"/>
    <x v="84"/>
    <x v="380"/>
    <x v="2"/>
    <x v="5"/>
    <x v="0"/>
    <x v="1"/>
    <x v="1"/>
    <x v="2"/>
    <x v="1"/>
    <x v="8"/>
    <x v="0"/>
    <x v="0"/>
    <x v="2"/>
    <x v="3"/>
  </r>
  <r>
    <x v="609"/>
    <x v="85"/>
    <x v="181"/>
    <x v="7"/>
    <x v="6"/>
    <x v="0"/>
    <x v="2"/>
    <x v="2"/>
    <x v="0"/>
    <x v="2"/>
    <x v="36"/>
    <x v="1"/>
    <x v="1"/>
    <x v="3"/>
    <x v="1"/>
  </r>
  <r>
    <x v="610"/>
    <x v="85"/>
    <x v="381"/>
    <x v="0"/>
    <x v="6"/>
    <x v="0"/>
    <x v="7"/>
    <x v="2"/>
    <x v="2"/>
    <x v="7"/>
    <x v="9"/>
    <x v="0"/>
    <x v="0"/>
    <x v="2"/>
    <x v="2"/>
  </r>
  <r>
    <x v="611"/>
    <x v="85"/>
    <x v="191"/>
    <x v="12"/>
    <x v="6"/>
    <x v="0"/>
    <x v="4"/>
    <x v="1"/>
    <x v="0"/>
    <x v="4"/>
    <x v="35"/>
    <x v="0"/>
    <x v="0"/>
    <x v="1"/>
    <x v="4"/>
  </r>
  <r>
    <x v="612"/>
    <x v="85"/>
    <x v="382"/>
    <x v="11"/>
    <x v="6"/>
    <x v="2"/>
    <x v="0"/>
    <x v="0"/>
    <x v="2"/>
    <x v="0"/>
    <x v="7"/>
    <x v="0"/>
    <x v="0"/>
    <x v="0"/>
    <x v="1"/>
  </r>
  <r>
    <x v="613"/>
    <x v="85"/>
    <x v="383"/>
    <x v="8"/>
    <x v="6"/>
    <x v="1"/>
    <x v="11"/>
    <x v="1"/>
    <x v="2"/>
    <x v="11"/>
    <x v="24"/>
    <x v="0"/>
    <x v="0"/>
    <x v="0"/>
    <x v="1"/>
  </r>
  <r>
    <x v="614"/>
    <x v="85"/>
    <x v="379"/>
    <x v="5"/>
    <x v="6"/>
    <x v="0"/>
    <x v="4"/>
    <x v="1"/>
    <x v="2"/>
    <x v="4"/>
    <x v="15"/>
    <x v="0"/>
    <x v="0"/>
    <x v="2"/>
    <x v="1"/>
  </r>
  <r>
    <x v="615"/>
    <x v="85"/>
    <x v="384"/>
    <x v="5"/>
    <x v="6"/>
    <x v="1"/>
    <x v="6"/>
    <x v="0"/>
    <x v="0"/>
    <x v="6"/>
    <x v="2"/>
    <x v="0"/>
    <x v="0"/>
    <x v="0"/>
    <x v="1"/>
  </r>
  <r>
    <x v="616"/>
    <x v="85"/>
    <x v="266"/>
    <x v="1"/>
    <x v="6"/>
    <x v="0"/>
    <x v="6"/>
    <x v="0"/>
    <x v="2"/>
    <x v="6"/>
    <x v="6"/>
    <x v="0"/>
    <x v="0"/>
    <x v="0"/>
    <x v="2"/>
  </r>
  <r>
    <x v="617"/>
    <x v="85"/>
    <x v="358"/>
    <x v="1"/>
    <x v="6"/>
    <x v="0"/>
    <x v="6"/>
    <x v="0"/>
    <x v="2"/>
    <x v="6"/>
    <x v="6"/>
    <x v="0"/>
    <x v="0"/>
    <x v="3"/>
    <x v="3"/>
  </r>
  <r>
    <x v="618"/>
    <x v="85"/>
    <x v="385"/>
    <x v="3"/>
    <x v="6"/>
    <x v="1"/>
    <x v="4"/>
    <x v="1"/>
    <x v="2"/>
    <x v="4"/>
    <x v="15"/>
    <x v="1"/>
    <x v="0"/>
    <x v="0"/>
    <x v="1"/>
  </r>
  <r>
    <x v="619"/>
    <x v="85"/>
    <x v="91"/>
    <x v="3"/>
    <x v="6"/>
    <x v="0"/>
    <x v="10"/>
    <x v="4"/>
    <x v="2"/>
    <x v="10"/>
    <x v="13"/>
    <x v="0"/>
    <x v="0"/>
    <x v="3"/>
    <x v="1"/>
  </r>
  <r>
    <x v="620"/>
    <x v="86"/>
    <x v="386"/>
    <x v="0"/>
    <x v="0"/>
    <x v="1"/>
    <x v="4"/>
    <x v="1"/>
    <x v="2"/>
    <x v="4"/>
    <x v="4"/>
    <x v="0"/>
    <x v="1"/>
    <x v="2"/>
    <x v="1"/>
  </r>
  <r>
    <x v="621"/>
    <x v="86"/>
    <x v="387"/>
    <x v="8"/>
    <x v="0"/>
    <x v="2"/>
    <x v="13"/>
    <x v="0"/>
    <x v="2"/>
    <x v="2"/>
    <x v="2"/>
    <x v="0"/>
    <x v="0"/>
    <x v="0"/>
    <x v="4"/>
  </r>
  <r>
    <x v="622"/>
    <x v="86"/>
    <x v="12"/>
    <x v="1"/>
    <x v="0"/>
    <x v="0"/>
    <x v="14"/>
    <x v="3"/>
    <x v="2"/>
    <x v="14"/>
    <x v="25"/>
    <x v="0"/>
    <x v="0"/>
    <x v="4"/>
    <x v="3"/>
  </r>
  <r>
    <x v="623"/>
    <x v="86"/>
    <x v="83"/>
    <x v="1"/>
    <x v="0"/>
    <x v="0"/>
    <x v="6"/>
    <x v="0"/>
    <x v="2"/>
    <x v="6"/>
    <x v="6"/>
    <x v="0"/>
    <x v="0"/>
    <x v="2"/>
    <x v="0"/>
  </r>
  <r>
    <x v="624"/>
    <x v="86"/>
    <x v="184"/>
    <x v="1"/>
    <x v="0"/>
    <x v="0"/>
    <x v="9"/>
    <x v="3"/>
    <x v="2"/>
    <x v="7"/>
    <x v="9"/>
    <x v="0"/>
    <x v="0"/>
    <x v="0"/>
    <x v="0"/>
  </r>
  <r>
    <x v="625"/>
    <x v="86"/>
    <x v="91"/>
    <x v="3"/>
    <x v="0"/>
    <x v="0"/>
    <x v="1"/>
    <x v="1"/>
    <x v="2"/>
    <x v="1"/>
    <x v="8"/>
    <x v="0"/>
    <x v="0"/>
    <x v="0"/>
    <x v="1"/>
  </r>
  <r>
    <x v="626"/>
    <x v="86"/>
    <x v="93"/>
    <x v="2"/>
    <x v="0"/>
    <x v="0"/>
    <x v="5"/>
    <x v="1"/>
    <x v="2"/>
    <x v="5"/>
    <x v="5"/>
    <x v="0"/>
    <x v="0"/>
    <x v="1"/>
    <x v="1"/>
  </r>
  <r>
    <x v="627"/>
    <x v="87"/>
    <x v="388"/>
    <x v="11"/>
    <x v="1"/>
    <x v="0"/>
    <x v="6"/>
    <x v="0"/>
    <x v="1"/>
    <x v="6"/>
    <x v="25"/>
    <x v="1"/>
    <x v="0"/>
    <x v="2"/>
    <x v="0"/>
  </r>
  <r>
    <x v="628"/>
    <x v="87"/>
    <x v="373"/>
    <x v="5"/>
    <x v="1"/>
    <x v="0"/>
    <x v="4"/>
    <x v="1"/>
    <x v="2"/>
    <x v="4"/>
    <x v="15"/>
    <x v="0"/>
    <x v="0"/>
    <x v="2"/>
    <x v="3"/>
  </r>
  <r>
    <x v="629"/>
    <x v="87"/>
    <x v="258"/>
    <x v="1"/>
    <x v="1"/>
    <x v="1"/>
    <x v="7"/>
    <x v="2"/>
    <x v="2"/>
    <x v="7"/>
    <x v="9"/>
    <x v="0"/>
    <x v="0"/>
    <x v="0"/>
    <x v="1"/>
  </r>
  <r>
    <x v="630"/>
    <x v="87"/>
    <x v="389"/>
    <x v="3"/>
    <x v="1"/>
    <x v="0"/>
    <x v="1"/>
    <x v="1"/>
    <x v="0"/>
    <x v="1"/>
    <x v="16"/>
    <x v="0"/>
    <x v="0"/>
    <x v="0"/>
    <x v="0"/>
  </r>
  <r>
    <x v="631"/>
    <x v="87"/>
    <x v="295"/>
    <x v="2"/>
    <x v="1"/>
    <x v="0"/>
    <x v="9"/>
    <x v="3"/>
    <x v="2"/>
    <x v="7"/>
    <x v="9"/>
    <x v="0"/>
    <x v="0"/>
    <x v="0"/>
    <x v="1"/>
  </r>
  <r>
    <x v="632"/>
    <x v="88"/>
    <x v="329"/>
    <x v="7"/>
    <x v="2"/>
    <x v="0"/>
    <x v="10"/>
    <x v="4"/>
    <x v="0"/>
    <x v="10"/>
    <x v="32"/>
    <x v="0"/>
    <x v="0"/>
    <x v="2"/>
    <x v="1"/>
  </r>
  <r>
    <x v="633"/>
    <x v="88"/>
    <x v="390"/>
    <x v="11"/>
    <x v="2"/>
    <x v="1"/>
    <x v="9"/>
    <x v="3"/>
    <x v="2"/>
    <x v="7"/>
    <x v="9"/>
    <x v="0"/>
    <x v="0"/>
    <x v="0"/>
    <x v="3"/>
  </r>
  <r>
    <x v="634"/>
    <x v="88"/>
    <x v="269"/>
    <x v="8"/>
    <x v="2"/>
    <x v="1"/>
    <x v="2"/>
    <x v="2"/>
    <x v="2"/>
    <x v="2"/>
    <x v="2"/>
    <x v="0"/>
    <x v="0"/>
    <x v="0"/>
    <x v="0"/>
  </r>
  <r>
    <x v="635"/>
    <x v="89"/>
    <x v="391"/>
    <x v="7"/>
    <x v="3"/>
    <x v="0"/>
    <x v="14"/>
    <x v="3"/>
    <x v="1"/>
    <x v="14"/>
    <x v="67"/>
    <x v="0"/>
    <x v="0"/>
    <x v="3"/>
    <x v="2"/>
  </r>
  <r>
    <x v="636"/>
    <x v="89"/>
    <x v="392"/>
    <x v="0"/>
    <x v="3"/>
    <x v="2"/>
    <x v="0"/>
    <x v="0"/>
    <x v="2"/>
    <x v="0"/>
    <x v="31"/>
    <x v="0"/>
    <x v="2"/>
    <x v="1"/>
    <x v="3"/>
  </r>
  <r>
    <x v="637"/>
    <x v="89"/>
    <x v="393"/>
    <x v="11"/>
    <x v="3"/>
    <x v="0"/>
    <x v="10"/>
    <x v="4"/>
    <x v="2"/>
    <x v="10"/>
    <x v="13"/>
    <x v="0"/>
    <x v="0"/>
    <x v="3"/>
    <x v="1"/>
  </r>
  <r>
    <x v="638"/>
    <x v="89"/>
    <x v="54"/>
    <x v="1"/>
    <x v="3"/>
    <x v="0"/>
    <x v="6"/>
    <x v="0"/>
    <x v="2"/>
    <x v="6"/>
    <x v="6"/>
    <x v="0"/>
    <x v="0"/>
    <x v="0"/>
    <x v="0"/>
  </r>
  <r>
    <x v="639"/>
    <x v="89"/>
    <x v="364"/>
    <x v="1"/>
    <x v="3"/>
    <x v="2"/>
    <x v="0"/>
    <x v="0"/>
    <x v="1"/>
    <x v="0"/>
    <x v="2"/>
    <x v="0"/>
    <x v="0"/>
    <x v="1"/>
    <x v="0"/>
  </r>
  <r>
    <x v="640"/>
    <x v="89"/>
    <x v="15"/>
    <x v="2"/>
    <x v="3"/>
    <x v="0"/>
    <x v="4"/>
    <x v="1"/>
    <x v="0"/>
    <x v="4"/>
    <x v="35"/>
    <x v="0"/>
    <x v="0"/>
    <x v="0"/>
    <x v="0"/>
  </r>
  <r>
    <x v="641"/>
    <x v="89"/>
    <x v="116"/>
    <x v="2"/>
    <x v="3"/>
    <x v="0"/>
    <x v="2"/>
    <x v="2"/>
    <x v="0"/>
    <x v="2"/>
    <x v="10"/>
    <x v="0"/>
    <x v="0"/>
    <x v="1"/>
    <x v="0"/>
  </r>
  <r>
    <x v="642"/>
    <x v="90"/>
    <x v="394"/>
    <x v="8"/>
    <x v="4"/>
    <x v="2"/>
    <x v="0"/>
    <x v="0"/>
    <x v="2"/>
    <x v="0"/>
    <x v="7"/>
    <x v="0"/>
    <x v="0"/>
    <x v="0"/>
    <x v="2"/>
  </r>
  <r>
    <x v="643"/>
    <x v="90"/>
    <x v="175"/>
    <x v="5"/>
    <x v="4"/>
    <x v="2"/>
    <x v="0"/>
    <x v="0"/>
    <x v="2"/>
    <x v="0"/>
    <x v="7"/>
    <x v="0"/>
    <x v="0"/>
    <x v="0"/>
    <x v="4"/>
  </r>
  <r>
    <x v="644"/>
    <x v="90"/>
    <x v="50"/>
    <x v="5"/>
    <x v="4"/>
    <x v="1"/>
    <x v="7"/>
    <x v="2"/>
    <x v="0"/>
    <x v="7"/>
    <x v="12"/>
    <x v="0"/>
    <x v="0"/>
    <x v="0"/>
    <x v="0"/>
  </r>
  <r>
    <x v="645"/>
    <x v="90"/>
    <x v="395"/>
    <x v="1"/>
    <x v="4"/>
    <x v="2"/>
    <x v="11"/>
    <x v="1"/>
    <x v="2"/>
    <x v="11"/>
    <x v="24"/>
    <x v="0"/>
    <x v="0"/>
    <x v="2"/>
    <x v="0"/>
  </r>
  <r>
    <x v="646"/>
    <x v="90"/>
    <x v="235"/>
    <x v="1"/>
    <x v="4"/>
    <x v="0"/>
    <x v="13"/>
    <x v="0"/>
    <x v="2"/>
    <x v="2"/>
    <x v="2"/>
    <x v="1"/>
    <x v="0"/>
    <x v="0"/>
    <x v="0"/>
  </r>
  <r>
    <x v="647"/>
    <x v="90"/>
    <x v="6"/>
    <x v="1"/>
    <x v="4"/>
    <x v="0"/>
    <x v="10"/>
    <x v="4"/>
    <x v="2"/>
    <x v="10"/>
    <x v="13"/>
    <x v="0"/>
    <x v="0"/>
    <x v="1"/>
    <x v="3"/>
  </r>
  <r>
    <x v="648"/>
    <x v="90"/>
    <x v="228"/>
    <x v="3"/>
    <x v="4"/>
    <x v="0"/>
    <x v="7"/>
    <x v="2"/>
    <x v="1"/>
    <x v="7"/>
    <x v="8"/>
    <x v="1"/>
    <x v="0"/>
    <x v="1"/>
    <x v="0"/>
  </r>
  <r>
    <x v="649"/>
    <x v="90"/>
    <x v="85"/>
    <x v="3"/>
    <x v="4"/>
    <x v="2"/>
    <x v="1"/>
    <x v="1"/>
    <x v="2"/>
    <x v="1"/>
    <x v="8"/>
    <x v="1"/>
    <x v="0"/>
    <x v="0"/>
    <x v="1"/>
  </r>
  <r>
    <x v="650"/>
    <x v="90"/>
    <x v="4"/>
    <x v="2"/>
    <x v="4"/>
    <x v="1"/>
    <x v="6"/>
    <x v="0"/>
    <x v="1"/>
    <x v="6"/>
    <x v="25"/>
    <x v="0"/>
    <x v="0"/>
    <x v="0"/>
    <x v="0"/>
  </r>
  <r>
    <x v="651"/>
    <x v="90"/>
    <x v="327"/>
    <x v="2"/>
    <x v="4"/>
    <x v="1"/>
    <x v="9"/>
    <x v="3"/>
    <x v="2"/>
    <x v="7"/>
    <x v="9"/>
    <x v="0"/>
    <x v="0"/>
    <x v="0"/>
    <x v="0"/>
  </r>
  <r>
    <x v="652"/>
    <x v="90"/>
    <x v="396"/>
    <x v="4"/>
    <x v="4"/>
    <x v="0"/>
    <x v="0"/>
    <x v="0"/>
    <x v="2"/>
    <x v="0"/>
    <x v="7"/>
    <x v="0"/>
    <x v="0"/>
    <x v="0"/>
    <x v="4"/>
  </r>
  <r>
    <x v="653"/>
    <x v="91"/>
    <x v="397"/>
    <x v="7"/>
    <x v="5"/>
    <x v="0"/>
    <x v="14"/>
    <x v="3"/>
    <x v="2"/>
    <x v="14"/>
    <x v="25"/>
    <x v="0"/>
    <x v="0"/>
    <x v="0"/>
    <x v="0"/>
  </r>
  <r>
    <x v="654"/>
    <x v="91"/>
    <x v="398"/>
    <x v="7"/>
    <x v="5"/>
    <x v="0"/>
    <x v="6"/>
    <x v="0"/>
    <x v="2"/>
    <x v="6"/>
    <x v="6"/>
    <x v="1"/>
    <x v="0"/>
    <x v="2"/>
    <x v="3"/>
  </r>
  <r>
    <x v="655"/>
    <x v="91"/>
    <x v="399"/>
    <x v="8"/>
    <x v="5"/>
    <x v="0"/>
    <x v="11"/>
    <x v="1"/>
    <x v="2"/>
    <x v="11"/>
    <x v="24"/>
    <x v="1"/>
    <x v="0"/>
    <x v="0"/>
    <x v="4"/>
  </r>
  <r>
    <x v="656"/>
    <x v="91"/>
    <x v="379"/>
    <x v="5"/>
    <x v="5"/>
    <x v="2"/>
    <x v="2"/>
    <x v="2"/>
    <x v="2"/>
    <x v="2"/>
    <x v="30"/>
    <x v="0"/>
    <x v="1"/>
    <x v="0"/>
    <x v="2"/>
  </r>
  <r>
    <x v="657"/>
    <x v="91"/>
    <x v="348"/>
    <x v="5"/>
    <x v="5"/>
    <x v="0"/>
    <x v="6"/>
    <x v="0"/>
    <x v="2"/>
    <x v="6"/>
    <x v="6"/>
    <x v="0"/>
    <x v="0"/>
    <x v="3"/>
    <x v="3"/>
  </r>
  <r>
    <x v="658"/>
    <x v="91"/>
    <x v="122"/>
    <x v="1"/>
    <x v="5"/>
    <x v="1"/>
    <x v="6"/>
    <x v="0"/>
    <x v="0"/>
    <x v="6"/>
    <x v="57"/>
    <x v="0"/>
    <x v="2"/>
    <x v="3"/>
    <x v="0"/>
  </r>
  <r>
    <x v="659"/>
    <x v="91"/>
    <x v="281"/>
    <x v="1"/>
    <x v="5"/>
    <x v="0"/>
    <x v="7"/>
    <x v="2"/>
    <x v="2"/>
    <x v="7"/>
    <x v="9"/>
    <x v="0"/>
    <x v="0"/>
    <x v="2"/>
    <x v="3"/>
  </r>
  <r>
    <x v="660"/>
    <x v="91"/>
    <x v="90"/>
    <x v="3"/>
    <x v="5"/>
    <x v="0"/>
    <x v="10"/>
    <x v="4"/>
    <x v="0"/>
    <x v="10"/>
    <x v="32"/>
    <x v="1"/>
    <x v="0"/>
    <x v="0"/>
    <x v="2"/>
  </r>
  <r>
    <x v="661"/>
    <x v="91"/>
    <x v="52"/>
    <x v="3"/>
    <x v="5"/>
    <x v="0"/>
    <x v="6"/>
    <x v="0"/>
    <x v="2"/>
    <x v="6"/>
    <x v="6"/>
    <x v="0"/>
    <x v="0"/>
    <x v="0"/>
    <x v="4"/>
  </r>
  <r>
    <x v="662"/>
    <x v="91"/>
    <x v="95"/>
    <x v="3"/>
    <x v="5"/>
    <x v="2"/>
    <x v="13"/>
    <x v="0"/>
    <x v="2"/>
    <x v="2"/>
    <x v="2"/>
    <x v="0"/>
    <x v="0"/>
    <x v="2"/>
    <x v="1"/>
  </r>
  <r>
    <x v="663"/>
    <x v="91"/>
    <x v="334"/>
    <x v="2"/>
    <x v="5"/>
    <x v="0"/>
    <x v="10"/>
    <x v="4"/>
    <x v="2"/>
    <x v="10"/>
    <x v="13"/>
    <x v="1"/>
    <x v="0"/>
    <x v="0"/>
    <x v="0"/>
  </r>
  <r>
    <x v="664"/>
    <x v="91"/>
    <x v="96"/>
    <x v="2"/>
    <x v="5"/>
    <x v="0"/>
    <x v="11"/>
    <x v="1"/>
    <x v="2"/>
    <x v="11"/>
    <x v="24"/>
    <x v="0"/>
    <x v="0"/>
    <x v="2"/>
    <x v="2"/>
  </r>
  <r>
    <x v="665"/>
    <x v="91"/>
    <x v="62"/>
    <x v="2"/>
    <x v="5"/>
    <x v="1"/>
    <x v="10"/>
    <x v="4"/>
    <x v="2"/>
    <x v="10"/>
    <x v="13"/>
    <x v="1"/>
    <x v="0"/>
    <x v="0"/>
    <x v="0"/>
  </r>
  <r>
    <x v="666"/>
    <x v="92"/>
    <x v="400"/>
    <x v="7"/>
    <x v="6"/>
    <x v="0"/>
    <x v="3"/>
    <x v="3"/>
    <x v="2"/>
    <x v="3"/>
    <x v="48"/>
    <x v="1"/>
    <x v="3"/>
    <x v="0"/>
    <x v="4"/>
  </r>
  <r>
    <x v="667"/>
    <x v="93"/>
    <x v="67"/>
    <x v="3"/>
    <x v="4"/>
    <x v="0"/>
    <x v="7"/>
    <x v="2"/>
    <x v="2"/>
    <x v="7"/>
    <x v="9"/>
    <x v="1"/>
    <x v="0"/>
    <x v="2"/>
    <x v="1"/>
  </r>
  <r>
    <x v="668"/>
    <x v="92"/>
    <x v="50"/>
    <x v="5"/>
    <x v="6"/>
    <x v="2"/>
    <x v="7"/>
    <x v="2"/>
    <x v="2"/>
    <x v="7"/>
    <x v="9"/>
    <x v="0"/>
    <x v="0"/>
    <x v="0"/>
    <x v="4"/>
  </r>
  <r>
    <x v="669"/>
    <x v="92"/>
    <x v="185"/>
    <x v="1"/>
    <x v="6"/>
    <x v="2"/>
    <x v="3"/>
    <x v="3"/>
    <x v="0"/>
    <x v="3"/>
    <x v="68"/>
    <x v="0"/>
    <x v="3"/>
    <x v="0"/>
    <x v="2"/>
  </r>
  <r>
    <x v="670"/>
    <x v="94"/>
    <x v="401"/>
    <x v="7"/>
    <x v="0"/>
    <x v="0"/>
    <x v="8"/>
    <x v="2"/>
    <x v="0"/>
    <x v="8"/>
    <x v="21"/>
    <x v="0"/>
    <x v="0"/>
    <x v="1"/>
    <x v="0"/>
  </r>
  <r>
    <x v="671"/>
    <x v="94"/>
    <x v="402"/>
    <x v="0"/>
    <x v="0"/>
    <x v="0"/>
    <x v="8"/>
    <x v="2"/>
    <x v="2"/>
    <x v="8"/>
    <x v="10"/>
    <x v="0"/>
    <x v="0"/>
    <x v="0"/>
    <x v="0"/>
  </r>
  <r>
    <x v="672"/>
    <x v="94"/>
    <x v="403"/>
    <x v="11"/>
    <x v="0"/>
    <x v="2"/>
    <x v="0"/>
    <x v="0"/>
    <x v="0"/>
    <x v="0"/>
    <x v="0"/>
    <x v="0"/>
    <x v="0"/>
    <x v="2"/>
    <x v="0"/>
  </r>
  <r>
    <x v="673"/>
    <x v="94"/>
    <x v="404"/>
    <x v="2"/>
    <x v="0"/>
    <x v="0"/>
    <x v="6"/>
    <x v="0"/>
    <x v="0"/>
    <x v="13"/>
    <x v="69"/>
    <x v="0"/>
    <x v="2"/>
    <x v="2"/>
    <x v="2"/>
  </r>
  <r>
    <x v="674"/>
    <x v="95"/>
    <x v="405"/>
    <x v="10"/>
    <x v="1"/>
    <x v="0"/>
    <x v="0"/>
    <x v="0"/>
    <x v="2"/>
    <x v="0"/>
    <x v="7"/>
    <x v="1"/>
    <x v="0"/>
    <x v="1"/>
    <x v="1"/>
  </r>
  <r>
    <x v="675"/>
    <x v="95"/>
    <x v="330"/>
    <x v="7"/>
    <x v="1"/>
    <x v="0"/>
    <x v="1"/>
    <x v="1"/>
    <x v="0"/>
    <x v="1"/>
    <x v="16"/>
    <x v="0"/>
    <x v="0"/>
    <x v="0"/>
    <x v="0"/>
  </r>
  <r>
    <x v="676"/>
    <x v="95"/>
    <x v="80"/>
    <x v="8"/>
    <x v="1"/>
    <x v="0"/>
    <x v="7"/>
    <x v="2"/>
    <x v="2"/>
    <x v="7"/>
    <x v="9"/>
    <x v="1"/>
    <x v="0"/>
    <x v="2"/>
    <x v="0"/>
  </r>
  <r>
    <x v="677"/>
    <x v="95"/>
    <x v="383"/>
    <x v="8"/>
    <x v="1"/>
    <x v="0"/>
    <x v="14"/>
    <x v="3"/>
    <x v="2"/>
    <x v="14"/>
    <x v="58"/>
    <x v="0"/>
    <x v="1"/>
    <x v="4"/>
    <x v="3"/>
  </r>
  <r>
    <x v="678"/>
    <x v="95"/>
    <x v="345"/>
    <x v="5"/>
    <x v="1"/>
    <x v="0"/>
    <x v="7"/>
    <x v="2"/>
    <x v="2"/>
    <x v="7"/>
    <x v="9"/>
    <x v="0"/>
    <x v="0"/>
    <x v="3"/>
    <x v="2"/>
  </r>
  <r>
    <x v="679"/>
    <x v="95"/>
    <x v="13"/>
    <x v="1"/>
    <x v="1"/>
    <x v="0"/>
    <x v="6"/>
    <x v="0"/>
    <x v="2"/>
    <x v="6"/>
    <x v="6"/>
    <x v="0"/>
    <x v="0"/>
    <x v="2"/>
    <x v="3"/>
  </r>
  <r>
    <x v="680"/>
    <x v="95"/>
    <x v="277"/>
    <x v="3"/>
    <x v="1"/>
    <x v="0"/>
    <x v="3"/>
    <x v="3"/>
    <x v="2"/>
    <x v="3"/>
    <x v="3"/>
    <x v="0"/>
    <x v="0"/>
    <x v="0"/>
    <x v="2"/>
  </r>
  <r>
    <x v="681"/>
    <x v="96"/>
    <x v="147"/>
    <x v="10"/>
    <x v="2"/>
    <x v="2"/>
    <x v="7"/>
    <x v="2"/>
    <x v="2"/>
    <x v="7"/>
    <x v="9"/>
    <x v="1"/>
    <x v="0"/>
    <x v="2"/>
    <x v="0"/>
  </r>
  <r>
    <x v="682"/>
    <x v="96"/>
    <x v="115"/>
    <x v="3"/>
    <x v="2"/>
    <x v="0"/>
    <x v="6"/>
    <x v="0"/>
    <x v="2"/>
    <x v="6"/>
    <x v="6"/>
    <x v="1"/>
    <x v="0"/>
    <x v="3"/>
    <x v="2"/>
  </r>
  <r>
    <x v="683"/>
    <x v="96"/>
    <x v="406"/>
    <x v="2"/>
    <x v="2"/>
    <x v="0"/>
    <x v="11"/>
    <x v="1"/>
    <x v="2"/>
    <x v="11"/>
    <x v="45"/>
    <x v="0"/>
    <x v="1"/>
    <x v="0"/>
    <x v="3"/>
  </r>
  <r>
    <x v="684"/>
    <x v="97"/>
    <x v="407"/>
    <x v="10"/>
    <x v="3"/>
    <x v="0"/>
    <x v="1"/>
    <x v="1"/>
    <x v="0"/>
    <x v="1"/>
    <x v="16"/>
    <x v="0"/>
    <x v="0"/>
    <x v="2"/>
    <x v="1"/>
  </r>
  <r>
    <x v="685"/>
    <x v="97"/>
    <x v="26"/>
    <x v="5"/>
    <x v="3"/>
    <x v="0"/>
    <x v="0"/>
    <x v="0"/>
    <x v="0"/>
    <x v="0"/>
    <x v="0"/>
    <x v="1"/>
    <x v="0"/>
    <x v="0"/>
    <x v="1"/>
  </r>
  <r>
    <x v="686"/>
    <x v="97"/>
    <x v="408"/>
    <x v="5"/>
    <x v="3"/>
    <x v="0"/>
    <x v="7"/>
    <x v="2"/>
    <x v="2"/>
    <x v="7"/>
    <x v="9"/>
    <x v="0"/>
    <x v="0"/>
    <x v="0"/>
    <x v="3"/>
  </r>
  <r>
    <x v="687"/>
    <x v="97"/>
    <x v="237"/>
    <x v="1"/>
    <x v="3"/>
    <x v="0"/>
    <x v="7"/>
    <x v="2"/>
    <x v="2"/>
    <x v="7"/>
    <x v="9"/>
    <x v="0"/>
    <x v="0"/>
    <x v="0"/>
    <x v="0"/>
  </r>
  <r>
    <x v="688"/>
    <x v="97"/>
    <x v="70"/>
    <x v="1"/>
    <x v="3"/>
    <x v="2"/>
    <x v="9"/>
    <x v="3"/>
    <x v="2"/>
    <x v="7"/>
    <x v="9"/>
    <x v="1"/>
    <x v="0"/>
    <x v="0"/>
    <x v="2"/>
  </r>
  <r>
    <x v="689"/>
    <x v="97"/>
    <x v="238"/>
    <x v="3"/>
    <x v="3"/>
    <x v="0"/>
    <x v="8"/>
    <x v="2"/>
    <x v="0"/>
    <x v="8"/>
    <x v="21"/>
    <x v="1"/>
    <x v="0"/>
    <x v="3"/>
    <x v="2"/>
  </r>
  <r>
    <x v="690"/>
    <x v="93"/>
    <x v="409"/>
    <x v="10"/>
    <x v="4"/>
    <x v="0"/>
    <x v="6"/>
    <x v="0"/>
    <x v="2"/>
    <x v="6"/>
    <x v="6"/>
    <x v="0"/>
    <x v="0"/>
    <x v="0"/>
    <x v="2"/>
  </r>
  <r>
    <x v="691"/>
    <x v="93"/>
    <x v="280"/>
    <x v="7"/>
    <x v="4"/>
    <x v="1"/>
    <x v="3"/>
    <x v="3"/>
    <x v="0"/>
    <x v="3"/>
    <x v="14"/>
    <x v="0"/>
    <x v="0"/>
    <x v="3"/>
    <x v="2"/>
  </r>
  <r>
    <x v="692"/>
    <x v="93"/>
    <x v="410"/>
    <x v="0"/>
    <x v="4"/>
    <x v="0"/>
    <x v="8"/>
    <x v="2"/>
    <x v="2"/>
    <x v="8"/>
    <x v="10"/>
    <x v="0"/>
    <x v="0"/>
    <x v="0"/>
    <x v="2"/>
  </r>
  <r>
    <x v="693"/>
    <x v="93"/>
    <x v="336"/>
    <x v="12"/>
    <x v="4"/>
    <x v="0"/>
    <x v="3"/>
    <x v="3"/>
    <x v="2"/>
    <x v="3"/>
    <x v="3"/>
    <x v="0"/>
    <x v="0"/>
    <x v="0"/>
    <x v="0"/>
  </r>
  <r>
    <x v="694"/>
    <x v="93"/>
    <x v="411"/>
    <x v="5"/>
    <x v="4"/>
    <x v="0"/>
    <x v="13"/>
    <x v="0"/>
    <x v="2"/>
    <x v="2"/>
    <x v="2"/>
    <x v="0"/>
    <x v="0"/>
    <x v="2"/>
    <x v="2"/>
  </r>
  <r>
    <x v="695"/>
    <x v="92"/>
    <x v="412"/>
    <x v="0"/>
    <x v="6"/>
    <x v="2"/>
    <x v="2"/>
    <x v="2"/>
    <x v="2"/>
    <x v="2"/>
    <x v="57"/>
    <x v="0"/>
    <x v="2"/>
    <x v="0"/>
    <x v="1"/>
  </r>
  <r>
    <x v="696"/>
    <x v="93"/>
    <x v="241"/>
    <x v="3"/>
    <x v="4"/>
    <x v="1"/>
    <x v="2"/>
    <x v="2"/>
    <x v="1"/>
    <x v="2"/>
    <x v="54"/>
    <x v="0"/>
    <x v="1"/>
    <x v="0"/>
    <x v="1"/>
  </r>
  <r>
    <x v="697"/>
    <x v="93"/>
    <x v="277"/>
    <x v="3"/>
    <x v="4"/>
    <x v="0"/>
    <x v="7"/>
    <x v="2"/>
    <x v="2"/>
    <x v="7"/>
    <x v="3"/>
    <x v="0"/>
    <x v="2"/>
    <x v="0"/>
    <x v="0"/>
  </r>
  <r>
    <x v="698"/>
    <x v="93"/>
    <x v="213"/>
    <x v="2"/>
    <x v="4"/>
    <x v="0"/>
    <x v="12"/>
    <x v="4"/>
    <x v="0"/>
    <x v="8"/>
    <x v="70"/>
    <x v="0"/>
    <x v="1"/>
    <x v="3"/>
    <x v="2"/>
  </r>
  <r>
    <x v="699"/>
    <x v="93"/>
    <x v="62"/>
    <x v="2"/>
    <x v="4"/>
    <x v="1"/>
    <x v="9"/>
    <x v="3"/>
    <x v="0"/>
    <x v="7"/>
    <x v="12"/>
    <x v="0"/>
    <x v="0"/>
    <x v="0"/>
    <x v="4"/>
  </r>
  <r>
    <x v="700"/>
    <x v="98"/>
    <x v="413"/>
    <x v="7"/>
    <x v="5"/>
    <x v="2"/>
    <x v="2"/>
    <x v="2"/>
    <x v="2"/>
    <x v="2"/>
    <x v="2"/>
    <x v="0"/>
    <x v="0"/>
    <x v="0"/>
    <x v="4"/>
  </r>
  <r>
    <x v="701"/>
    <x v="98"/>
    <x v="414"/>
    <x v="0"/>
    <x v="5"/>
    <x v="0"/>
    <x v="1"/>
    <x v="1"/>
    <x v="2"/>
    <x v="1"/>
    <x v="67"/>
    <x v="1"/>
    <x v="1"/>
    <x v="2"/>
    <x v="3"/>
  </r>
  <r>
    <x v="702"/>
    <x v="99"/>
    <x v="415"/>
    <x v="12"/>
    <x v="1"/>
    <x v="0"/>
    <x v="7"/>
    <x v="2"/>
    <x v="2"/>
    <x v="7"/>
    <x v="9"/>
    <x v="0"/>
    <x v="0"/>
    <x v="0"/>
    <x v="2"/>
  </r>
  <r>
    <x v="703"/>
    <x v="98"/>
    <x v="416"/>
    <x v="12"/>
    <x v="5"/>
    <x v="2"/>
    <x v="1"/>
    <x v="1"/>
    <x v="2"/>
    <x v="1"/>
    <x v="8"/>
    <x v="0"/>
    <x v="0"/>
    <x v="0"/>
    <x v="0"/>
  </r>
  <r>
    <x v="704"/>
    <x v="98"/>
    <x v="203"/>
    <x v="5"/>
    <x v="5"/>
    <x v="0"/>
    <x v="5"/>
    <x v="1"/>
    <x v="0"/>
    <x v="5"/>
    <x v="17"/>
    <x v="0"/>
    <x v="0"/>
    <x v="0"/>
    <x v="1"/>
  </r>
  <r>
    <x v="705"/>
    <x v="98"/>
    <x v="363"/>
    <x v="5"/>
    <x v="5"/>
    <x v="1"/>
    <x v="5"/>
    <x v="1"/>
    <x v="2"/>
    <x v="5"/>
    <x v="5"/>
    <x v="1"/>
    <x v="0"/>
    <x v="0"/>
    <x v="4"/>
  </r>
  <r>
    <x v="706"/>
    <x v="98"/>
    <x v="54"/>
    <x v="1"/>
    <x v="5"/>
    <x v="0"/>
    <x v="8"/>
    <x v="2"/>
    <x v="0"/>
    <x v="8"/>
    <x v="21"/>
    <x v="0"/>
    <x v="0"/>
    <x v="2"/>
    <x v="2"/>
  </r>
  <r>
    <x v="707"/>
    <x v="98"/>
    <x v="19"/>
    <x v="1"/>
    <x v="5"/>
    <x v="0"/>
    <x v="7"/>
    <x v="2"/>
    <x v="2"/>
    <x v="7"/>
    <x v="25"/>
    <x v="1"/>
    <x v="1"/>
    <x v="0"/>
    <x v="3"/>
  </r>
  <r>
    <x v="708"/>
    <x v="98"/>
    <x v="95"/>
    <x v="3"/>
    <x v="5"/>
    <x v="1"/>
    <x v="11"/>
    <x v="1"/>
    <x v="0"/>
    <x v="11"/>
    <x v="39"/>
    <x v="1"/>
    <x v="0"/>
    <x v="1"/>
    <x v="3"/>
  </r>
  <r>
    <x v="709"/>
    <x v="98"/>
    <x v="417"/>
    <x v="3"/>
    <x v="5"/>
    <x v="0"/>
    <x v="7"/>
    <x v="2"/>
    <x v="2"/>
    <x v="7"/>
    <x v="9"/>
    <x v="0"/>
    <x v="0"/>
    <x v="0"/>
    <x v="0"/>
  </r>
  <r>
    <x v="710"/>
    <x v="98"/>
    <x v="131"/>
    <x v="2"/>
    <x v="5"/>
    <x v="1"/>
    <x v="10"/>
    <x v="4"/>
    <x v="2"/>
    <x v="10"/>
    <x v="13"/>
    <x v="1"/>
    <x v="0"/>
    <x v="0"/>
    <x v="3"/>
  </r>
  <r>
    <x v="711"/>
    <x v="4"/>
    <x v="257"/>
    <x v="0"/>
    <x v="4"/>
    <x v="0"/>
    <x v="8"/>
    <x v="2"/>
    <x v="2"/>
    <x v="8"/>
    <x v="10"/>
    <x v="0"/>
    <x v="0"/>
    <x v="0"/>
    <x v="4"/>
  </r>
  <r>
    <x v="712"/>
    <x v="100"/>
    <x v="418"/>
    <x v="11"/>
    <x v="6"/>
    <x v="2"/>
    <x v="0"/>
    <x v="0"/>
    <x v="2"/>
    <x v="0"/>
    <x v="7"/>
    <x v="1"/>
    <x v="0"/>
    <x v="2"/>
    <x v="0"/>
  </r>
  <r>
    <x v="713"/>
    <x v="100"/>
    <x v="311"/>
    <x v="11"/>
    <x v="6"/>
    <x v="0"/>
    <x v="7"/>
    <x v="2"/>
    <x v="2"/>
    <x v="7"/>
    <x v="9"/>
    <x v="0"/>
    <x v="0"/>
    <x v="2"/>
    <x v="3"/>
  </r>
  <r>
    <x v="714"/>
    <x v="100"/>
    <x v="224"/>
    <x v="8"/>
    <x v="6"/>
    <x v="0"/>
    <x v="7"/>
    <x v="2"/>
    <x v="0"/>
    <x v="7"/>
    <x v="12"/>
    <x v="0"/>
    <x v="0"/>
    <x v="0"/>
    <x v="1"/>
  </r>
  <r>
    <x v="715"/>
    <x v="100"/>
    <x v="12"/>
    <x v="1"/>
    <x v="6"/>
    <x v="0"/>
    <x v="5"/>
    <x v="1"/>
    <x v="0"/>
    <x v="5"/>
    <x v="17"/>
    <x v="0"/>
    <x v="0"/>
    <x v="2"/>
    <x v="4"/>
  </r>
  <r>
    <x v="716"/>
    <x v="4"/>
    <x v="113"/>
    <x v="1"/>
    <x v="4"/>
    <x v="1"/>
    <x v="2"/>
    <x v="2"/>
    <x v="0"/>
    <x v="2"/>
    <x v="10"/>
    <x v="0"/>
    <x v="0"/>
    <x v="2"/>
    <x v="1"/>
  </r>
  <r>
    <x v="717"/>
    <x v="100"/>
    <x v="178"/>
    <x v="1"/>
    <x v="6"/>
    <x v="2"/>
    <x v="4"/>
    <x v="1"/>
    <x v="2"/>
    <x v="4"/>
    <x v="4"/>
    <x v="0"/>
    <x v="1"/>
    <x v="0"/>
    <x v="1"/>
  </r>
  <r>
    <x v="718"/>
    <x v="100"/>
    <x v="178"/>
    <x v="1"/>
    <x v="6"/>
    <x v="2"/>
    <x v="11"/>
    <x v="1"/>
    <x v="1"/>
    <x v="11"/>
    <x v="19"/>
    <x v="0"/>
    <x v="0"/>
    <x v="0"/>
    <x v="3"/>
  </r>
  <r>
    <x v="719"/>
    <x v="4"/>
    <x v="114"/>
    <x v="1"/>
    <x v="4"/>
    <x v="1"/>
    <x v="7"/>
    <x v="2"/>
    <x v="2"/>
    <x v="7"/>
    <x v="9"/>
    <x v="0"/>
    <x v="0"/>
    <x v="0"/>
    <x v="3"/>
  </r>
  <r>
    <x v="720"/>
    <x v="100"/>
    <x v="8"/>
    <x v="1"/>
    <x v="6"/>
    <x v="1"/>
    <x v="14"/>
    <x v="3"/>
    <x v="2"/>
    <x v="14"/>
    <x v="25"/>
    <x v="0"/>
    <x v="0"/>
    <x v="0"/>
    <x v="1"/>
  </r>
  <r>
    <x v="721"/>
    <x v="100"/>
    <x v="19"/>
    <x v="1"/>
    <x v="6"/>
    <x v="2"/>
    <x v="2"/>
    <x v="2"/>
    <x v="2"/>
    <x v="2"/>
    <x v="2"/>
    <x v="0"/>
    <x v="0"/>
    <x v="2"/>
    <x v="0"/>
  </r>
  <r>
    <x v="722"/>
    <x v="100"/>
    <x v="419"/>
    <x v="1"/>
    <x v="6"/>
    <x v="2"/>
    <x v="0"/>
    <x v="0"/>
    <x v="2"/>
    <x v="0"/>
    <x v="7"/>
    <x v="1"/>
    <x v="0"/>
    <x v="0"/>
    <x v="3"/>
  </r>
  <r>
    <x v="723"/>
    <x v="100"/>
    <x v="55"/>
    <x v="3"/>
    <x v="6"/>
    <x v="1"/>
    <x v="4"/>
    <x v="1"/>
    <x v="2"/>
    <x v="4"/>
    <x v="15"/>
    <x v="0"/>
    <x v="0"/>
    <x v="0"/>
    <x v="3"/>
  </r>
  <r>
    <x v="724"/>
    <x v="100"/>
    <x v="420"/>
    <x v="3"/>
    <x v="6"/>
    <x v="1"/>
    <x v="2"/>
    <x v="2"/>
    <x v="2"/>
    <x v="2"/>
    <x v="2"/>
    <x v="0"/>
    <x v="0"/>
    <x v="0"/>
    <x v="3"/>
  </r>
  <r>
    <x v="725"/>
    <x v="100"/>
    <x v="177"/>
    <x v="3"/>
    <x v="6"/>
    <x v="1"/>
    <x v="0"/>
    <x v="0"/>
    <x v="0"/>
    <x v="0"/>
    <x v="0"/>
    <x v="0"/>
    <x v="0"/>
    <x v="2"/>
    <x v="4"/>
  </r>
  <r>
    <x v="726"/>
    <x v="100"/>
    <x v="267"/>
    <x v="3"/>
    <x v="6"/>
    <x v="0"/>
    <x v="3"/>
    <x v="3"/>
    <x v="2"/>
    <x v="3"/>
    <x v="3"/>
    <x v="0"/>
    <x v="0"/>
    <x v="0"/>
    <x v="4"/>
  </r>
  <r>
    <x v="727"/>
    <x v="100"/>
    <x v="238"/>
    <x v="3"/>
    <x v="6"/>
    <x v="2"/>
    <x v="4"/>
    <x v="1"/>
    <x v="2"/>
    <x v="4"/>
    <x v="15"/>
    <x v="1"/>
    <x v="0"/>
    <x v="2"/>
    <x v="4"/>
  </r>
  <r>
    <x v="728"/>
    <x v="100"/>
    <x v="278"/>
    <x v="3"/>
    <x v="6"/>
    <x v="0"/>
    <x v="11"/>
    <x v="1"/>
    <x v="0"/>
    <x v="11"/>
    <x v="39"/>
    <x v="0"/>
    <x v="0"/>
    <x v="0"/>
    <x v="3"/>
  </r>
  <r>
    <x v="729"/>
    <x v="100"/>
    <x v="211"/>
    <x v="2"/>
    <x v="6"/>
    <x v="2"/>
    <x v="8"/>
    <x v="2"/>
    <x v="2"/>
    <x v="8"/>
    <x v="10"/>
    <x v="0"/>
    <x v="0"/>
    <x v="0"/>
    <x v="0"/>
  </r>
  <r>
    <x v="730"/>
    <x v="38"/>
    <x v="273"/>
    <x v="6"/>
    <x v="0"/>
    <x v="2"/>
    <x v="6"/>
    <x v="0"/>
    <x v="0"/>
    <x v="6"/>
    <x v="2"/>
    <x v="0"/>
    <x v="0"/>
    <x v="0"/>
    <x v="2"/>
  </r>
  <r>
    <x v="731"/>
    <x v="38"/>
    <x v="421"/>
    <x v="8"/>
    <x v="0"/>
    <x v="0"/>
    <x v="6"/>
    <x v="0"/>
    <x v="0"/>
    <x v="6"/>
    <x v="2"/>
    <x v="0"/>
    <x v="0"/>
    <x v="3"/>
    <x v="1"/>
  </r>
  <r>
    <x v="732"/>
    <x v="38"/>
    <x v="422"/>
    <x v="5"/>
    <x v="0"/>
    <x v="1"/>
    <x v="13"/>
    <x v="0"/>
    <x v="2"/>
    <x v="2"/>
    <x v="2"/>
    <x v="0"/>
    <x v="0"/>
    <x v="1"/>
    <x v="4"/>
  </r>
  <r>
    <x v="733"/>
    <x v="35"/>
    <x v="423"/>
    <x v="5"/>
    <x v="4"/>
    <x v="0"/>
    <x v="6"/>
    <x v="0"/>
    <x v="2"/>
    <x v="6"/>
    <x v="6"/>
    <x v="0"/>
    <x v="0"/>
    <x v="0"/>
    <x v="2"/>
  </r>
  <r>
    <x v="734"/>
    <x v="38"/>
    <x v="424"/>
    <x v="1"/>
    <x v="0"/>
    <x v="0"/>
    <x v="11"/>
    <x v="1"/>
    <x v="2"/>
    <x v="11"/>
    <x v="24"/>
    <x v="0"/>
    <x v="0"/>
    <x v="3"/>
    <x v="3"/>
  </r>
  <r>
    <x v="735"/>
    <x v="38"/>
    <x v="159"/>
    <x v="3"/>
    <x v="0"/>
    <x v="0"/>
    <x v="8"/>
    <x v="2"/>
    <x v="2"/>
    <x v="8"/>
    <x v="10"/>
    <x v="0"/>
    <x v="0"/>
    <x v="3"/>
    <x v="3"/>
  </r>
  <r>
    <x v="736"/>
    <x v="35"/>
    <x v="228"/>
    <x v="3"/>
    <x v="4"/>
    <x v="1"/>
    <x v="8"/>
    <x v="2"/>
    <x v="2"/>
    <x v="8"/>
    <x v="10"/>
    <x v="1"/>
    <x v="0"/>
    <x v="0"/>
    <x v="0"/>
  </r>
  <r>
    <x v="737"/>
    <x v="101"/>
    <x v="246"/>
    <x v="0"/>
    <x v="1"/>
    <x v="2"/>
    <x v="2"/>
    <x v="2"/>
    <x v="2"/>
    <x v="2"/>
    <x v="2"/>
    <x v="0"/>
    <x v="0"/>
    <x v="3"/>
    <x v="3"/>
  </r>
  <r>
    <x v="738"/>
    <x v="101"/>
    <x v="244"/>
    <x v="12"/>
    <x v="1"/>
    <x v="0"/>
    <x v="7"/>
    <x v="2"/>
    <x v="1"/>
    <x v="7"/>
    <x v="8"/>
    <x v="1"/>
    <x v="0"/>
    <x v="0"/>
    <x v="1"/>
  </r>
  <r>
    <x v="739"/>
    <x v="102"/>
    <x v="425"/>
    <x v="7"/>
    <x v="2"/>
    <x v="1"/>
    <x v="4"/>
    <x v="1"/>
    <x v="2"/>
    <x v="4"/>
    <x v="15"/>
    <x v="0"/>
    <x v="0"/>
    <x v="0"/>
    <x v="2"/>
  </r>
  <r>
    <x v="740"/>
    <x v="102"/>
    <x v="426"/>
    <x v="12"/>
    <x v="2"/>
    <x v="1"/>
    <x v="6"/>
    <x v="0"/>
    <x v="2"/>
    <x v="6"/>
    <x v="6"/>
    <x v="0"/>
    <x v="0"/>
    <x v="0"/>
    <x v="2"/>
  </r>
  <r>
    <x v="741"/>
    <x v="102"/>
    <x v="384"/>
    <x v="5"/>
    <x v="2"/>
    <x v="0"/>
    <x v="6"/>
    <x v="0"/>
    <x v="2"/>
    <x v="6"/>
    <x v="6"/>
    <x v="0"/>
    <x v="0"/>
    <x v="2"/>
    <x v="4"/>
  </r>
  <r>
    <x v="742"/>
    <x v="102"/>
    <x v="373"/>
    <x v="5"/>
    <x v="2"/>
    <x v="0"/>
    <x v="7"/>
    <x v="2"/>
    <x v="2"/>
    <x v="7"/>
    <x v="9"/>
    <x v="1"/>
    <x v="0"/>
    <x v="0"/>
    <x v="3"/>
  </r>
  <r>
    <x v="743"/>
    <x v="102"/>
    <x v="323"/>
    <x v="5"/>
    <x v="2"/>
    <x v="1"/>
    <x v="7"/>
    <x v="2"/>
    <x v="0"/>
    <x v="7"/>
    <x v="12"/>
    <x v="0"/>
    <x v="0"/>
    <x v="1"/>
    <x v="2"/>
  </r>
  <r>
    <x v="744"/>
    <x v="102"/>
    <x v="253"/>
    <x v="1"/>
    <x v="2"/>
    <x v="0"/>
    <x v="7"/>
    <x v="2"/>
    <x v="2"/>
    <x v="7"/>
    <x v="9"/>
    <x v="1"/>
    <x v="0"/>
    <x v="2"/>
    <x v="3"/>
  </r>
  <r>
    <x v="745"/>
    <x v="103"/>
    <x v="355"/>
    <x v="0"/>
    <x v="3"/>
    <x v="1"/>
    <x v="6"/>
    <x v="0"/>
    <x v="2"/>
    <x v="6"/>
    <x v="6"/>
    <x v="0"/>
    <x v="0"/>
    <x v="0"/>
    <x v="3"/>
  </r>
  <r>
    <x v="746"/>
    <x v="103"/>
    <x v="427"/>
    <x v="5"/>
    <x v="3"/>
    <x v="1"/>
    <x v="2"/>
    <x v="2"/>
    <x v="2"/>
    <x v="2"/>
    <x v="2"/>
    <x v="0"/>
    <x v="0"/>
    <x v="0"/>
    <x v="4"/>
  </r>
  <r>
    <x v="747"/>
    <x v="103"/>
    <x v="395"/>
    <x v="1"/>
    <x v="3"/>
    <x v="1"/>
    <x v="3"/>
    <x v="3"/>
    <x v="0"/>
    <x v="3"/>
    <x v="14"/>
    <x v="1"/>
    <x v="0"/>
    <x v="0"/>
    <x v="1"/>
  </r>
  <r>
    <x v="748"/>
    <x v="103"/>
    <x v="7"/>
    <x v="1"/>
    <x v="3"/>
    <x v="0"/>
    <x v="12"/>
    <x v="4"/>
    <x v="2"/>
    <x v="8"/>
    <x v="10"/>
    <x v="0"/>
    <x v="0"/>
    <x v="0"/>
    <x v="0"/>
  </r>
  <r>
    <x v="749"/>
    <x v="103"/>
    <x v="70"/>
    <x v="1"/>
    <x v="3"/>
    <x v="0"/>
    <x v="13"/>
    <x v="0"/>
    <x v="2"/>
    <x v="2"/>
    <x v="2"/>
    <x v="0"/>
    <x v="0"/>
    <x v="0"/>
    <x v="3"/>
  </r>
  <r>
    <x v="750"/>
    <x v="103"/>
    <x v="428"/>
    <x v="1"/>
    <x v="3"/>
    <x v="1"/>
    <x v="2"/>
    <x v="2"/>
    <x v="0"/>
    <x v="2"/>
    <x v="10"/>
    <x v="0"/>
    <x v="0"/>
    <x v="0"/>
    <x v="0"/>
  </r>
  <r>
    <x v="751"/>
    <x v="103"/>
    <x v="429"/>
    <x v="3"/>
    <x v="3"/>
    <x v="0"/>
    <x v="13"/>
    <x v="0"/>
    <x v="2"/>
    <x v="2"/>
    <x v="2"/>
    <x v="0"/>
    <x v="0"/>
    <x v="0"/>
    <x v="3"/>
  </r>
  <r>
    <x v="752"/>
    <x v="103"/>
    <x v="389"/>
    <x v="3"/>
    <x v="3"/>
    <x v="0"/>
    <x v="3"/>
    <x v="3"/>
    <x v="2"/>
    <x v="3"/>
    <x v="23"/>
    <x v="0"/>
    <x v="1"/>
    <x v="1"/>
    <x v="0"/>
  </r>
  <r>
    <x v="753"/>
    <x v="103"/>
    <x v="46"/>
    <x v="3"/>
    <x v="3"/>
    <x v="0"/>
    <x v="6"/>
    <x v="0"/>
    <x v="0"/>
    <x v="6"/>
    <x v="2"/>
    <x v="1"/>
    <x v="0"/>
    <x v="0"/>
    <x v="4"/>
  </r>
  <r>
    <x v="754"/>
    <x v="103"/>
    <x v="238"/>
    <x v="3"/>
    <x v="3"/>
    <x v="1"/>
    <x v="5"/>
    <x v="1"/>
    <x v="3"/>
    <x v="5"/>
    <x v="65"/>
    <x v="0"/>
    <x v="1"/>
    <x v="0"/>
    <x v="1"/>
  </r>
  <r>
    <x v="755"/>
    <x v="103"/>
    <x v="32"/>
    <x v="2"/>
    <x v="3"/>
    <x v="1"/>
    <x v="5"/>
    <x v="1"/>
    <x v="2"/>
    <x v="5"/>
    <x v="5"/>
    <x v="0"/>
    <x v="0"/>
    <x v="0"/>
    <x v="0"/>
  </r>
  <r>
    <x v="756"/>
    <x v="103"/>
    <x v="58"/>
    <x v="2"/>
    <x v="3"/>
    <x v="1"/>
    <x v="1"/>
    <x v="1"/>
    <x v="2"/>
    <x v="1"/>
    <x v="8"/>
    <x v="0"/>
    <x v="0"/>
    <x v="0"/>
    <x v="0"/>
  </r>
  <r>
    <x v="757"/>
    <x v="104"/>
    <x v="392"/>
    <x v="0"/>
    <x v="4"/>
    <x v="2"/>
    <x v="9"/>
    <x v="3"/>
    <x v="2"/>
    <x v="7"/>
    <x v="9"/>
    <x v="1"/>
    <x v="0"/>
    <x v="0"/>
    <x v="4"/>
  </r>
  <r>
    <x v="758"/>
    <x v="104"/>
    <x v="259"/>
    <x v="1"/>
    <x v="4"/>
    <x v="1"/>
    <x v="9"/>
    <x v="3"/>
    <x v="0"/>
    <x v="7"/>
    <x v="12"/>
    <x v="0"/>
    <x v="0"/>
    <x v="0"/>
    <x v="2"/>
  </r>
  <r>
    <x v="759"/>
    <x v="105"/>
    <x v="389"/>
    <x v="3"/>
    <x v="0"/>
    <x v="0"/>
    <x v="0"/>
    <x v="0"/>
    <x v="2"/>
    <x v="0"/>
    <x v="7"/>
    <x v="0"/>
    <x v="0"/>
    <x v="0"/>
    <x v="0"/>
  </r>
  <r>
    <x v="760"/>
    <x v="105"/>
    <x v="430"/>
    <x v="3"/>
    <x v="0"/>
    <x v="2"/>
    <x v="11"/>
    <x v="1"/>
    <x v="2"/>
    <x v="11"/>
    <x v="24"/>
    <x v="1"/>
    <x v="0"/>
    <x v="2"/>
    <x v="1"/>
  </r>
  <r>
    <x v="761"/>
    <x v="104"/>
    <x v="169"/>
    <x v="3"/>
    <x v="4"/>
    <x v="0"/>
    <x v="2"/>
    <x v="2"/>
    <x v="2"/>
    <x v="2"/>
    <x v="2"/>
    <x v="0"/>
    <x v="0"/>
    <x v="0"/>
    <x v="0"/>
  </r>
  <r>
    <x v="762"/>
    <x v="105"/>
    <x v="404"/>
    <x v="2"/>
    <x v="0"/>
    <x v="1"/>
    <x v="10"/>
    <x v="4"/>
    <x v="2"/>
    <x v="10"/>
    <x v="13"/>
    <x v="0"/>
    <x v="0"/>
    <x v="0"/>
    <x v="1"/>
  </r>
  <r>
    <x v="763"/>
    <x v="104"/>
    <x v="431"/>
    <x v="4"/>
    <x v="4"/>
    <x v="1"/>
    <x v="13"/>
    <x v="0"/>
    <x v="2"/>
    <x v="2"/>
    <x v="2"/>
    <x v="0"/>
    <x v="0"/>
    <x v="0"/>
    <x v="3"/>
  </r>
  <r>
    <x v="764"/>
    <x v="106"/>
    <x v="432"/>
    <x v="10"/>
    <x v="5"/>
    <x v="0"/>
    <x v="11"/>
    <x v="1"/>
    <x v="1"/>
    <x v="11"/>
    <x v="19"/>
    <x v="0"/>
    <x v="0"/>
    <x v="0"/>
    <x v="4"/>
  </r>
  <r>
    <x v="765"/>
    <x v="106"/>
    <x v="146"/>
    <x v="10"/>
    <x v="5"/>
    <x v="2"/>
    <x v="6"/>
    <x v="0"/>
    <x v="2"/>
    <x v="6"/>
    <x v="6"/>
    <x v="0"/>
    <x v="0"/>
    <x v="0"/>
    <x v="0"/>
  </r>
  <r>
    <x v="766"/>
    <x v="106"/>
    <x v="433"/>
    <x v="6"/>
    <x v="5"/>
    <x v="2"/>
    <x v="9"/>
    <x v="3"/>
    <x v="2"/>
    <x v="7"/>
    <x v="25"/>
    <x v="0"/>
    <x v="1"/>
    <x v="3"/>
    <x v="0"/>
  </r>
  <r>
    <x v="767"/>
    <x v="106"/>
    <x v="434"/>
    <x v="8"/>
    <x v="5"/>
    <x v="1"/>
    <x v="6"/>
    <x v="0"/>
    <x v="0"/>
    <x v="6"/>
    <x v="2"/>
    <x v="1"/>
    <x v="0"/>
    <x v="3"/>
    <x v="4"/>
  </r>
  <r>
    <x v="768"/>
    <x v="106"/>
    <x v="195"/>
    <x v="5"/>
    <x v="5"/>
    <x v="1"/>
    <x v="8"/>
    <x v="2"/>
    <x v="2"/>
    <x v="8"/>
    <x v="10"/>
    <x v="0"/>
    <x v="0"/>
    <x v="0"/>
    <x v="0"/>
  </r>
  <r>
    <x v="769"/>
    <x v="107"/>
    <x v="82"/>
    <x v="1"/>
    <x v="3"/>
    <x v="2"/>
    <x v="2"/>
    <x v="2"/>
    <x v="2"/>
    <x v="2"/>
    <x v="2"/>
    <x v="0"/>
    <x v="0"/>
    <x v="0"/>
    <x v="4"/>
  </r>
  <r>
    <x v="770"/>
    <x v="106"/>
    <x v="266"/>
    <x v="1"/>
    <x v="5"/>
    <x v="0"/>
    <x v="0"/>
    <x v="0"/>
    <x v="2"/>
    <x v="0"/>
    <x v="7"/>
    <x v="0"/>
    <x v="0"/>
    <x v="0"/>
    <x v="1"/>
  </r>
  <r>
    <x v="771"/>
    <x v="106"/>
    <x v="435"/>
    <x v="1"/>
    <x v="5"/>
    <x v="1"/>
    <x v="9"/>
    <x v="3"/>
    <x v="2"/>
    <x v="7"/>
    <x v="9"/>
    <x v="1"/>
    <x v="0"/>
    <x v="2"/>
    <x v="4"/>
  </r>
  <r>
    <x v="772"/>
    <x v="106"/>
    <x v="228"/>
    <x v="3"/>
    <x v="5"/>
    <x v="2"/>
    <x v="1"/>
    <x v="1"/>
    <x v="2"/>
    <x v="1"/>
    <x v="8"/>
    <x v="0"/>
    <x v="0"/>
    <x v="0"/>
    <x v="3"/>
  </r>
  <r>
    <x v="773"/>
    <x v="107"/>
    <x v="84"/>
    <x v="3"/>
    <x v="3"/>
    <x v="0"/>
    <x v="7"/>
    <x v="2"/>
    <x v="2"/>
    <x v="7"/>
    <x v="9"/>
    <x v="0"/>
    <x v="0"/>
    <x v="2"/>
    <x v="3"/>
  </r>
  <r>
    <x v="774"/>
    <x v="106"/>
    <x v="436"/>
    <x v="2"/>
    <x v="5"/>
    <x v="0"/>
    <x v="3"/>
    <x v="3"/>
    <x v="1"/>
    <x v="3"/>
    <x v="21"/>
    <x v="0"/>
    <x v="0"/>
    <x v="3"/>
    <x v="3"/>
  </r>
  <r>
    <x v="775"/>
    <x v="106"/>
    <x v="437"/>
    <x v="4"/>
    <x v="5"/>
    <x v="1"/>
    <x v="2"/>
    <x v="2"/>
    <x v="2"/>
    <x v="2"/>
    <x v="2"/>
    <x v="0"/>
    <x v="0"/>
    <x v="0"/>
    <x v="4"/>
  </r>
  <r>
    <x v="776"/>
    <x v="108"/>
    <x v="438"/>
    <x v="10"/>
    <x v="6"/>
    <x v="0"/>
    <x v="3"/>
    <x v="3"/>
    <x v="2"/>
    <x v="3"/>
    <x v="3"/>
    <x v="0"/>
    <x v="0"/>
    <x v="0"/>
    <x v="3"/>
  </r>
  <r>
    <x v="777"/>
    <x v="108"/>
    <x v="261"/>
    <x v="0"/>
    <x v="6"/>
    <x v="1"/>
    <x v="6"/>
    <x v="0"/>
    <x v="2"/>
    <x v="6"/>
    <x v="6"/>
    <x v="1"/>
    <x v="0"/>
    <x v="3"/>
    <x v="1"/>
  </r>
  <r>
    <x v="778"/>
    <x v="108"/>
    <x v="221"/>
    <x v="0"/>
    <x v="6"/>
    <x v="0"/>
    <x v="2"/>
    <x v="2"/>
    <x v="1"/>
    <x v="2"/>
    <x v="40"/>
    <x v="0"/>
    <x v="0"/>
    <x v="0"/>
    <x v="3"/>
  </r>
  <r>
    <x v="779"/>
    <x v="108"/>
    <x v="379"/>
    <x v="5"/>
    <x v="6"/>
    <x v="0"/>
    <x v="3"/>
    <x v="3"/>
    <x v="2"/>
    <x v="3"/>
    <x v="3"/>
    <x v="0"/>
    <x v="0"/>
    <x v="2"/>
    <x v="1"/>
  </r>
  <r>
    <x v="780"/>
    <x v="108"/>
    <x v="167"/>
    <x v="5"/>
    <x v="6"/>
    <x v="0"/>
    <x v="12"/>
    <x v="4"/>
    <x v="2"/>
    <x v="8"/>
    <x v="10"/>
    <x v="0"/>
    <x v="0"/>
    <x v="2"/>
    <x v="2"/>
  </r>
  <r>
    <x v="781"/>
    <x v="108"/>
    <x v="120"/>
    <x v="5"/>
    <x v="6"/>
    <x v="0"/>
    <x v="3"/>
    <x v="3"/>
    <x v="2"/>
    <x v="3"/>
    <x v="3"/>
    <x v="1"/>
    <x v="0"/>
    <x v="0"/>
    <x v="0"/>
  </r>
  <r>
    <x v="782"/>
    <x v="108"/>
    <x v="3"/>
    <x v="1"/>
    <x v="6"/>
    <x v="1"/>
    <x v="6"/>
    <x v="0"/>
    <x v="2"/>
    <x v="6"/>
    <x v="6"/>
    <x v="0"/>
    <x v="0"/>
    <x v="0"/>
    <x v="2"/>
  </r>
  <r>
    <x v="783"/>
    <x v="108"/>
    <x v="186"/>
    <x v="3"/>
    <x v="6"/>
    <x v="0"/>
    <x v="7"/>
    <x v="2"/>
    <x v="2"/>
    <x v="7"/>
    <x v="9"/>
    <x v="0"/>
    <x v="0"/>
    <x v="0"/>
    <x v="2"/>
  </r>
  <r>
    <x v="784"/>
    <x v="108"/>
    <x v="277"/>
    <x v="3"/>
    <x v="6"/>
    <x v="1"/>
    <x v="6"/>
    <x v="0"/>
    <x v="0"/>
    <x v="6"/>
    <x v="2"/>
    <x v="1"/>
    <x v="0"/>
    <x v="2"/>
    <x v="0"/>
  </r>
  <r>
    <x v="785"/>
    <x v="108"/>
    <x v="333"/>
    <x v="3"/>
    <x v="6"/>
    <x v="0"/>
    <x v="7"/>
    <x v="2"/>
    <x v="2"/>
    <x v="7"/>
    <x v="9"/>
    <x v="0"/>
    <x v="0"/>
    <x v="2"/>
    <x v="4"/>
  </r>
  <r>
    <x v="786"/>
    <x v="108"/>
    <x v="333"/>
    <x v="3"/>
    <x v="6"/>
    <x v="2"/>
    <x v="8"/>
    <x v="2"/>
    <x v="2"/>
    <x v="8"/>
    <x v="10"/>
    <x v="0"/>
    <x v="0"/>
    <x v="2"/>
    <x v="1"/>
  </r>
  <r>
    <x v="787"/>
    <x v="108"/>
    <x v="301"/>
    <x v="3"/>
    <x v="6"/>
    <x v="0"/>
    <x v="6"/>
    <x v="0"/>
    <x v="2"/>
    <x v="6"/>
    <x v="6"/>
    <x v="0"/>
    <x v="0"/>
    <x v="2"/>
    <x v="1"/>
  </r>
  <r>
    <x v="788"/>
    <x v="108"/>
    <x v="439"/>
    <x v="3"/>
    <x v="6"/>
    <x v="0"/>
    <x v="3"/>
    <x v="3"/>
    <x v="0"/>
    <x v="3"/>
    <x v="14"/>
    <x v="0"/>
    <x v="0"/>
    <x v="1"/>
    <x v="2"/>
  </r>
  <r>
    <x v="789"/>
    <x v="108"/>
    <x v="440"/>
    <x v="2"/>
    <x v="6"/>
    <x v="0"/>
    <x v="10"/>
    <x v="4"/>
    <x v="2"/>
    <x v="10"/>
    <x v="13"/>
    <x v="1"/>
    <x v="0"/>
    <x v="2"/>
    <x v="2"/>
  </r>
  <r>
    <x v="790"/>
    <x v="108"/>
    <x v="436"/>
    <x v="2"/>
    <x v="6"/>
    <x v="1"/>
    <x v="2"/>
    <x v="2"/>
    <x v="2"/>
    <x v="2"/>
    <x v="2"/>
    <x v="1"/>
    <x v="0"/>
    <x v="0"/>
    <x v="1"/>
  </r>
  <r>
    <x v="791"/>
    <x v="109"/>
    <x v="393"/>
    <x v="11"/>
    <x v="0"/>
    <x v="0"/>
    <x v="6"/>
    <x v="0"/>
    <x v="2"/>
    <x v="6"/>
    <x v="6"/>
    <x v="0"/>
    <x v="0"/>
    <x v="0"/>
    <x v="3"/>
  </r>
  <r>
    <x v="792"/>
    <x v="109"/>
    <x v="441"/>
    <x v="5"/>
    <x v="0"/>
    <x v="0"/>
    <x v="10"/>
    <x v="4"/>
    <x v="2"/>
    <x v="10"/>
    <x v="13"/>
    <x v="1"/>
    <x v="0"/>
    <x v="0"/>
    <x v="2"/>
  </r>
  <r>
    <x v="793"/>
    <x v="109"/>
    <x v="177"/>
    <x v="3"/>
    <x v="0"/>
    <x v="0"/>
    <x v="11"/>
    <x v="1"/>
    <x v="2"/>
    <x v="11"/>
    <x v="24"/>
    <x v="1"/>
    <x v="0"/>
    <x v="1"/>
    <x v="2"/>
  </r>
  <r>
    <x v="794"/>
    <x v="109"/>
    <x v="20"/>
    <x v="2"/>
    <x v="0"/>
    <x v="1"/>
    <x v="0"/>
    <x v="0"/>
    <x v="2"/>
    <x v="0"/>
    <x v="7"/>
    <x v="1"/>
    <x v="0"/>
    <x v="0"/>
    <x v="3"/>
  </r>
  <r>
    <x v="795"/>
    <x v="109"/>
    <x v="442"/>
    <x v="4"/>
    <x v="0"/>
    <x v="1"/>
    <x v="7"/>
    <x v="2"/>
    <x v="2"/>
    <x v="7"/>
    <x v="9"/>
    <x v="0"/>
    <x v="0"/>
    <x v="0"/>
    <x v="2"/>
  </r>
  <r>
    <x v="796"/>
    <x v="110"/>
    <x v="443"/>
    <x v="9"/>
    <x v="4"/>
    <x v="0"/>
    <x v="8"/>
    <x v="2"/>
    <x v="2"/>
    <x v="8"/>
    <x v="10"/>
    <x v="0"/>
    <x v="0"/>
    <x v="0"/>
    <x v="2"/>
  </r>
  <r>
    <x v="797"/>
    <x v="111"/>
    <x v="411"/>
    <x v="5"/>
    <x v="1"/>
    <x v="1"/>
    <x v="3"/>
    <x v="3"/>
    <x v="2"/>
    <x v="3"/>
    <x v="3"/>
    <x v="0"/>
    <x v="0"/>
    <x v="0"/>
    <x v="1"/>
  </r>
  <r>
    <x v="798"/>
    <x v="111"/>
    <x v="345"/>
    <x v="5"/>
    <x v="1"/>
    <x v="2"/>
    <x v="0"/>
    <x v="0"/>
    <x v="2"/>
    <x v="0"/>
    <x v="7"/>
    <x v="0"/>
    <x v="0"/>
    <x v="0"/>
    <x v="0"/>
  </r>
  <r>
    <x v="799"/>
    <x v="111"/>
    <x v="177"/>
    <x v="3"/>
    <x v="1"/>
    <x v="1"/>
    <x v="8"/>
    <x v="2"/>
    <x v="0"/>
    <x v="8"/>
    <x v="21"/>
    <x v="1"/>
    <x v="0"/>
    <x v="1"/>
    <x v="4"/>
  </r>
  <r>
    <x v="800"/>
    <x v="111"/>
    <x v="444"/>
    <x v="2"/>
    <x v="1"/>
    <x v="1"/>
    <x v="2"/>
    <x v="2"/>
    <x v="1"/>
    <x v="2"/>
    <x v="40"/>
    <x v="0"/>
    <x v="0"/>
    <x v="0"/>
    <x v="1"/>
  </r>
  <r>
    <x v="801"/>
    <x v="112"/>
    <x v="445"/>
    <x v="10"/>
    <x v="2"/>
    <x v="0"/>
    <x v="0"/>
    <x v="0"/>
    <x v="2"/>
    <x v="0"/>
    <x v="38"/>
    <x v="1"/>
    <x v="1"/>
    <x v="0"/>
    <x v="4"/>
  </r>
  <r>
    <x v="802"/>
    <x v="112"/>
    <x v="446"/>
    <x v="8"/>
    <x v="2"/>
    <x v="0"/>
    <x v="8"/>
    <x v="2"/>
    <x v="2"/>
    <x v="8"/>
    <x v="43"/>
    <x v="0"/>
    <x v="3"/>
    <x v="0"/>
    <x v="4"/>
  </r>
  <r>
    <x v="803"/>
    <x v="112"/>
    <x v="114"/>
    <x v="1"/>
    <x v="2"/>
    <x v="0"/>
    <x v="13"/>
    <x v="0"/>
    <x v="2"/>
    <x v="2"/>
    <x v="2"/>
    <x v="0"/>
    <x v="0"/>
    <x v="0"/>
    <x v="3"/>
  </r>
  <r>
    <x v="804"/>
    <x v="112"/>
    <x v="95"/>
    <x v="3"/>
    <x v="2"/>
    <x v="0"/>
    <x v="7"/>
    <x v="2"/>
    <x v="2"/>
    <x v="7"/>
    <x v="9"/>
    <x v="0"/>
    <x v="0"/>
    <x v="0"/>
    <x v="0"/>
  </r>
  <r>
    <x v="805"/>
    <x v="112"/>
    <x v="447"/>
    <x v="4"/>
    <x v="2"/>
    <x v="0"/>
    <x v="7"/>
    <x v="2"/>
    <x v="2"/>
    <x v="7"/>
    <x v="3"/>
    <x v="0"/>
    <x v="2"/>
    <x v="0"/>
    <x v="0"/>
  </r>
  <r>
    <x v="806"/>
    <x v="113"/>
    <x v="448"/>
    <x v="9"/>
    <x v="3"/>
    <x v="0"/>
    <x v="8"/>
    <x v="2"/>
    <x v="2"/>
    <x v="8"/>
    <x v="10"/>
    <x v="1"/>
    <x v="0"/>
    <x v="0"/>
    <x v="4"/>
  </r>
  <r>
    <x v="807"/>
    <x v="113"/>
    <x v="449"/>
    <x v="7"/>
    <x v="3"/>
    <x v="0"/>
    <x v="7"/>
    <x v="2"/>
    <x v="0"/>
    <x v="7"/>
    <x v="12"/>
    <x v="0"/>
    <x v="0"/>
    <x v="0"/>
    <x v="4"/>
  </r>
  <r>
    <x v="808"/>
    <x v="113"/>
    <x v="450"/>
    <x v="7"/>
    <x v="3"/>
    <x v="2"/>
    <x v="10"/>
    <x v="4"/>
    <x v="2"/>
    <x v="10"/>
    <x v="13"/>
    <x v="0"/>
    <x v="0"/>
    <x v="0"/>
    <x v="2"/>
  </r>
  <r>
    <x v="809"/>
    <x v="113"/>
    <x v="451"/>
    <x v="6"/>
    <x v="3"/>
    <x v="1"/>
    <x v="12"/>
    <x v="4"/>
    <x v="2"/>
    <x v="8"/>
    <x v="36"/>
    <x v="0"/>
    <x v="1"/>
    <x v="2"/>
    <x v="2"/>
  </r>
  <r>
    <x v="810"/>
    <x v="113"/>
    <x v="452"/>
    <x v="8"/>
    <x v="3"/>
    <x v="0"/>
    <x v="8"/>
    <x v="2"/>
    <x v="0"/>
    <x v="8"/>
    <x v="21"/>
    <x v="1"/>
    <x v="0"/>
    <x v="2"/>
    <x v="0"/>
  </r>
  <r>
    <x v="811"/>
    <x v="113"/>
    <x v="226"/>
    <x v="5"/>
    <x v="3"/>
    <x v="2"/>
    <x v="4"/>
    <x v="1"/>
    <x v="0"/>
    <x v="4"/>
    <x v="61"/>
    <x v="1"/>
    <x v="3"/>
    <x v="2"/>
    <x v="4"/>
  </r>
  <r>
    <x v="812"/>
    <x v="113"/>
    <x v="341"/>
    <x v="5"/>
    <x v="3"/>
    <x v="0"/>
    <x v="0"/>
    <x v="0"/>
    <x v="1"/>
    <x v="0"/>
    <x v="2"/>
    <x v="0"/>
    <x v="0"/>
    <x v="0"/>
    <x v="3"/>
  </r>
  <r>
    <x v="813"/>
    <x v="113"/>
    <x v="196"/>
    <x v="1"/>
    <x v="3"/>
    <x v="0"/>
    <x v="2"/>
    <x v="2"/>
    <x v="2"/>
    <x v="2"/>
    <x v="2"/>
    <x v="0"/>
    <x v="0"/>
    <x v="3"/>
    <x v="1"/>
  </r>
  <r>
    <x v="814"/>
    <x v="113"/>
    <x v="453"/>
    <x v="4"/>
    <x v="3"/>
    <x v="1"/>
    <x v="5"/>
    <x v="1"/>
    <x v="1"/>
    <x v="5"/>
    <x v="28"/>
    <x v="0"/>
    <x v="0"/>
    <x v="0"/>
    <x v="0"/>
  </r>
  <r>
    <x v="815"/>
    <x v="114"/>
    <x v="113"/>
    <x v="1"/>
    <x v="4"/>
    <x v="2"/>
    <x v="1"/>
    <x v="1"/>
    <x v="2"/>
    <x v="1"/>
    <x v="8"/>
    <x v="1"/>
    <x v="0"/>
    <x v="0"/>
    <x v="4"/>
  </r>
  <r>
    <x v="816"/>
    <x v="114"/>
    <x v="169"/>
    <x v="3"/>
    <x v="4"/>
    <x v="2"/>
    <x v="2"/>
    <x v="2"/>
    <x v="2"/>
    <x v="2"/>
    <x v="2"/>
    <x v="1"/>
    <x v="0"/>
    <x v="0"/>
    <x v="0"/>
  </r>
  <r>
    <x v="817"/>
    <x v="114"/>
    <x v="454"/>
    <x v="2"/>
    <x v="4"/>
    <x v="1"/>
    <x v="0"/>
    <x v="0"/>
    <x v="2"/>
    <x v="0"/>
    <x v="7"/>
    <x v="0"/>
    <x v="0"/>
    <x v="2"/>
    <x v="2"/>
  </r>
  <r>
    <x v="818"/>
    <x v="115"/>
    <x v="455"/>
    <x v="0"/>
    <x v="5"/>
    <x v="0"/>
    <x v="10"/>
    <x v="4"/>
    <x v="2"/>
    <x v="10"/>
    <x v="13"/>
    <x v="0"/>
    <x v="0"/>
    <x v="1"/>
    <x v="0"/>
  </r>
  <r>
    <x v="819"/>
    <x v="115"/>
    <x v="37"/>
    <x v="0"/>
    <x v="5"/>
    <x v="0"/>
    <x v="6"/>
    <x v="0"/>
    <x v="2"/>
    <x v="6"/>
    <x v="6"/>
    <x v="0"/>
    <x v="0"/>
    <x v="0"/>
    <x v="4"/>
  </r>
  <r>
    <x v="820"/>
    <x v="115"/>
    <x v="456"/>
    <x v="0"/>
    <x v="5"/>
    <x v="2"/>
    <x v="4"/>
    <x v="1"/>
    <x v="0"/>
    <x v="4"/>
    <x v="35"/>
    <x v="1"/>
    <x v="0"/>
    <x v="0"/>
    <x v="2"/>
  </r>
  <r>
    <x v="821"/>
    <x v="115"/>
    <x v="139"/>
    <x v="8"/>
    <x v="5"/>
    <x v="2"/>
    <x v="7"/>
    <x v="2"/>
    <x v="2"/>
    <x v="7"/>
    <x v="9"/>
    <x v="1"/>
    <x v="0"/>
    <x v="0"/>
    <x v="4"/>
  </r>
  <r>
    <x v="822"/>
    <x v="115"/>
    <x v="379"/>
    <x v="5"/>
    <x v="5"/>
    <x v="2"/>
    <x v="4"/>
    <x v="1"/>
    <x v="2"/>
    <x v="4"/>
    <x v="15"/>
    <x v="0"/>
    <x v="0"/>
    <x v="0"/>
    <x v="4"/>
  </r>
  <r>
    <x v="823"/>
    <x v="115"/>
    <x v="441"/>
    <x v="5"/>
    <x v="5"/>
    <x v="0"/>
    <x v="12"/>
    <x v="4"/>
    <x v="0"/>
    <x v="8"/>
    <x v="21"/>
    <x v="1"/>
    <x v="0"/>
    <x v="0"/>
    <x v="3"/>
  </r>
  <r>
    <x v="824"/>
    <x v="115"/>
    <x v="235"/>
    <x v="1"/>
    <x v="5"/>
    <x v="0"/>
    <x v="6"/>
    <x v="0"/>
    <x v="2"/>
    <x v="6"/>
    <x v="6"/>
    <x v="0"/>
    <x v="0"/>
    <x v="0"/>
    <x v="0"/>
  </r>
  <r>
    <x v="825"/>
    <x v="115"/>
    <x v="184"/>
    <x v="1"/>
    <x v="5"/>
    <x v="0"/>
    <x v="7"/>
    <x v="2"/>
    <x v="2"/>
    <x v="7"/>
    <x v="9"/>
    <x v="0"/>
    <x v="0"/>
    <x v="0"/>
    <x v="2"/>
  </r>
  <r>
    <x v="826"/>
    <x v="115"/>
    <x v="99"/>
    <x v="1"/>
    <x v="5"/>
    <x v="0"/>
    <x v="5"/>
    <x v="1"/>
    <x v="2"/>
    <x v="5"/>
    <x v="71"/>
    <x v="1"/>
    <x v="1"/>
    <x v="0"/>
    <x v="2"/>
  </r>
  <r>
    <x v="827"/>
    <x v="115"/>
    <x v="457"/>
    <x v="3"/>
    <x v="5"/>
    <x v="1"/>
    <x v="8"/>
    <x v="2"/>
    <x v="2"/>
    <x v="8"/>
    <x v="10"/>
    <x v="1"/>
    <x v="0"/>
    <x v="2"/>
    <x v="0"/>
  </r>
  <r>
    <x v="828"/>
    <x v="115"/>
    <x v="115"/>
    <x v="3"/>
    <x v="5"/>
    <x v="1"/>
    <x v="8"/>
    <x v="2"/>
    <x v="2"/>
    <x v="8"/>
    <x v="10"/>
    <x v="0"/>
    <x v="0"/>
    <x v="0"/>
    <x v="4"/>
  </r>
  <r>
    <x v="829"/>
    <x v="115"/>
    <x v="71"/>
    <x v="3"/>
    <x v="5"/>
    <x v="1"/>
    <x v="6"/>
    <x v="0"/>
    <x v="2"/>
    <x v="6"/>
    <x v="6"/>
    <x v="0"/>
    <x v="0"/>
    <x v="2"/>
    <x v="2"/>
  </r>
  <r>
    <x v="830"/>
    <x v="115"/>
    <x v="47"/>
    <x v="3"/>
    <x v="5"/>
    <x v="0"/>
    <x v="1"/>
    <x v="1"/>
    <x v="2"/>
    <x v="1"/>
    <x v="8"/>
    <x v="1"/>
    <x v="0"/>
    <x v="2"/>
    <x v="3"/>
  </r>
  <r>
    <x v="831"/>
    <x v="115"/>
    <x v="301"/>
    <x v="3"/>
    <x v="5"/>
    <x v="0"/>
    <x v="1"/>
    <x v="1"/>
    <x v="0"/>
    <x v="1"/>
    <x v="16"/>
    <x v="0"/>
    <x v="0"/>
    <x v="0"/>
    <x v="4"/>
  </r>
  <r>
    <x v="832"/>
    <x v="115"/>
    <x v="164"/>
    <x v="2"/>
    <x v="5"/>
    <x v="0"/>
    <x v="11"/>
    <x v="1"/>
    <x v="2"/>
    <x v="11"/>
    <x v="24"/>
    <x v="0"/>
    <x v="0"/>
    <x v="2"/>
    <x v="0"/>
  </r>
  <r>
    <x v="833"/>
    <x v="115"/>
    <x v="76"/>
    <x v="4"/>
    <x v="5"/>
    <x v="1"/>
    <x v="9"/>
    <x v="3"/>
    <x v="2"/>
    <x v="7"/>
    <x v="9"/>
    <x v="1"/>
    <x v="0"/>
    <x v="2"/>
    <x v="3"/>
  </r>
  <r>
    <x v="834"/>
    <x v="116"/>
    <x v="345"/>
    <x v="5"/>
    <x v="6"/>
    <x v="1"/>
    <x v="4"/>
    <x v="1"/>
    <x v="0"/>
    <x v="4"/>
    <x v="35"/>
    <x v="0"/>
    <x v="0"/>
    <x v="0"/>
    <x v="0"/>
  </r>
  <r>
    <x v="835"/>
    <x v="116"/>
    <x v="112"/>
    <x v="1"/>
    <x v="6"/>
    <x v="1"/>
    <x v="8"/>
    <x v="2"/>
    <x v="2"/>
    <x v="8"/>
    <x v="10"/>
    <x v="0"/>
    <x v="0"/>
    <x v="3"/>
    <x v="1"/>
  </r>
  <r>
    <x v="836"/>
    <x v="116"/>
    <x v="168"/>
    <x v="3"/>
    <x v="6"/>
    <x v="0"/>
    <x v="6"/>
    <x v="0"/>
    <x v="2"/>
    <x v="6"/>
    <x v="72"/>
    <x v="0"/>
    <x v="2"/>
    <x v="2"/>
    <x v="0"/>
  </r>
  <r>
    <x v="837"/>
    <x v="116"/>
    <x v="241"/>
    <x v="3"/>
    <x v="6"/>
    <x v="0"/>
    <x v="11"/>
    <x v="1"/>
    <x v="2"/>
    <x v="11"/>
    <x v="24"/>
    <x v="1"/>
    <x v="0"/>
    <x v="0"/>
    <x v="4"/>
  </r>
  <r>
    <x v="838"/>
    <x v="116"/>
    <x v="436"/>
    <x v="2"/>
    <x v="6"/>
    <x v="1"/>
    <x v="1"/>
    <x v="1"/>
    <x v="2"/>
    <x v="1"/>
    <x v="8"/>
    <x v="1"/>
    <x v="0"/>
    <x v="0"/>
    <x v="2"/>
  </r>
  <r>
    <x v="839"/>
    <x v="116"/>
    <x v="33"/>
    <x v="2"/>
    <x v="6"/>
    <x v="1"/>
    <x v="12"/>
    <x v="4"/>
    <x v="0"/>
    <x v="8"/>
    <x v="70"/>
    <x v="0"/>
    <x v="1"/>
    <x v="0"/>
    <x v="2"/>
  </r>
  <r>
    <x v="840"/>
    <x v="117"/>
    <x v="458"/>
    <x v="10"/>
    <x v="0"/>
    <x v="0"/>
    <x v="9"/>
    <x v="3"/>
    <x v="2"/>
    <x v="7"/>
    <x v="9"/>
    <x v="0"/>
    <x v="0"/>
    <x v="0"/>
    <x v="0"/>
  </r>
  <r>
    <x v="841"/>
    <x v="117"/>
    <x v="275"/>
    <x v="1"/>
    <x v="0"/>
    <x v="0"/>
    <x v="6"/>
    <x v="0"/>
    <x v="2"/>
    <x v="6"/>
    <x v="6"/>
    <x v="0"/>
    <x v="0"/>
    <x v="3"/>
    <x v="0"/>
  </r>
  <r>
    <x v="842"/>
    <x v="117"/>
    <x v="459"/>
    <x v="2"/>
    <x v="0"/>
    <x v="0"/>
    <x v="6"/>
    <x v="0"/>
    <x v="0"/>
    <x v="6"/>
    <x v="2"/>
    <x v="0"/>
    <x v="0"/>
    <x v="0"/>
    <x v="1"/>
  </r>
  <r>
    <x v="843"/>
    <x v="117"/>
    <x v="460"/>
    <x v="4"/>
    <x v="0"/>
    <x v="1"/>
    <x v="8"/>
    <x v="2"/>
    <x v="2"/>
    <x v="8"/>
    <x v="10"/>
    <x v="0"/>
    <x v="0"/>
    <x v="0"/>
    <x v="4"/>
  </r>
  <r>
    <x v="844"/>
    <x v="118"/>
    <x v="397"/>
    <x v="7"/>
    <x v="1"/>
    <x v="0"/>
    <x v="0"/>
    <x v="0"/>
    <x v="2"/>
    <x v="0"/>
    <x v="7"/>
    <x v="0"/>
    <x v="0"/>
    <x v="0"/>
    <x v="3"/>
  </r>
  <r>
    <x v="845"/>
    <x v="118"/>
    <x v="461"/>
    <x v="7"/>
    <x v="1"/>
    <x v="2"/>
    <x v="0"/>
    <x v="0"/>
    <x v="0"/>
    <x v="0"/>
    <x v="0"/>
    <x v="0"/>
    <x v="0"/>
    <x v="0"/>
    <x v="3"/>
  </r>
  <r>
    <x v="846"/>
    <x v="118"/>
    <x v="462"/>
    <x v="0"/>
    <x v="1"/>
    <x v="1"/>
    <x v="3"/>
    <x v="3"/>
    <x v="0"/>
    <x v="3"/>
    <x v="14"/>
    <x v="1"/>
    <x v="0"/>
    <x v="0"/>
    <x v="2"/>
  </r>
  <r>
    <x v="847"/>
    <x v="118"/>
    <x v="463"/>
    <x v="6"/>
    <x v="1"/>
    <x v="0"/>
    <x v="0"/>
    <x v="0"/>
    <x v="2"/>
    <x v="0"/>
    <x v="7"/>
    <x v="0"/>
    <x v="0"/>
    <x v="0"/>
    <x v="3"/>
  </r>
  <r>
    <x v="848"/>
    <x v="118"/>
    <x v="293"/>
    <x v="5"/>
    <x v="1"/>
    <x v="0"/>
    <x v="6"/>
    <x v="0"/>
    <x v="2"/>
    <x v="6"/>
    <x v="6"/>
    <x v="0"/>
    <x v="0"/>
    <x v="2"/>
    <x v="2"/>
  </r>
  <r>
    <x v="849"/>
    <x v="118"/>
    <x v="296"/>
    <x v="2"/>
    <x v="1"/>
    <x v="2"/>
    <x v="3"/>
    <x v="3"/>
    <x v="2"/>
    <x v="3"/>
    <x v="3"/>
    <x v="0"/>
    <x v="0"/>
    <x v="2"/>
    <x v="4"/>
  </r>
  <r>
    <x v="850"/>
    <x v="119"/>
    <x v="464"/>
    <x v="8"/>
    <x v="2"/>
    <x v="0"/>
    <x v="4"/>
    <x v="1"/>
    <x v="2"/>
    <x v="4"/>
    <x v="4"/>
    <x v="0"/>
    <x v="1"/>
    <x v="0"/>
    <x v="3"/>
  </r>
  <r>
    <x v="851"/>
    <x v="119"/>
    <x v="323"/>
    <x v="5"/>
    <x v="2"/>
    <x v="0"/>
    <x v="8"/>
    <x v="2"/>
    <x v="2"/>
    <x v="8"/>
    <x v="10"/>
    <x v="0"/>
    <x v="0"/>
    <x v="1"/>
    <x v="2"/>
  </r>
  <r>
    <x v="852"/>
    <x v="119"/>
    <x v="325"/>
    <x v="1"/>
    <x v="2"/>
    <x v="1"/>
    <x v="4"/>
    <x v="1"/>
    <x v="2"/>
    <x v="4"/>
    <x v="29"/>
    <x v="0"/>
    <x v="2"/>
    <x v="0"/>
    <x v="2"/>
  </r>
  <r>
    <x v="853"/>
    <x v="119"/>
    <x v="31"/>
    <x v="3"/>
    <x v="2"/>
    <x v="0"/>
    <x v="6"/>
    <x v="0"/>
    <x v="0"/>
    <x v="6"/>
    <x v="2"/>
    <x v="1"/>
    <x v="0"/>
    <x v="0"/>
    <x v="3"/>
  </r>
  <r>
    <x v="854"/>
    <x v="119"/>
    <x v="14"/>
    <x v="2"/>
    <x v="2"/>
    <x v="1"/>
    <x v="6"/>
    <x v="0"/>
    <x v="2"/>
    <x v="6"/>
    <x v="6"/>
    <x v="0"/>
    <x v="0"/>
    <x v="0"/>
    <x v="1"/>
  </r>
  <r>
    <x v="855"/>
    <x v="120"/>
    <x v="376"/>
    <x v="10"/>
    <x v="3"/>
    <x v="0"/>
    <x v="0"/>
    <x v="0"/>
    <x v="0"/>
    <x v="0"/>
    <x v="0"/>
    <x v="0"/>
    <x v="0"/>
    <x v="0"/>
    <x v="4"/>
  </r>
  <r>
    <x v="856"/>
    <x v="120"/>
    <x v="450"/>
    <x v="7"/>
    <x v="3"/>
    <x v="0"/>
    <x v="11"/>
    <x v="1"/>
    <x v="2"/>
    <x v="11"/>
    <x v="24"/>
    <x v="1"/>
    <x v="0"/>
    <x v="0"/>
    <x v="3"/>
  </r>
  <r>
    <x v="857"/>
    <x v="120"/>
    <x v="465"/>
    <x v="11"/>
    <x v="3"/>
    <x v="2"/>
    <x v="1"/>
    <x v="1"/>
    <x v="2"/>
    <x v="1"/>
    <x v="8"/>
    <x v="0"/>
    <x v="0"/>
    <x v="0"/>
    <x v="3"/>
  </r>
  <r>
    <x v="858"/>
    <x v="120"/>
    <x v="122"/>
    <x v="1"/>
    <x v="3"/>
    <x v="0"/>
    <x v="7"/>
    <x v="2"/>
    <x v="2"/>
    <x v="7"/>
    <x v="9"/>
    <x v="0"/>
    <x v="0"/>
    <x v="0"/>
    <x v="0"/>
  </r>
  <r>
    <x v="859"/>
    <x v="120"/>
    <x v="7"/>
    <x v="1"/>
    <x v="3"/>
    <x v="0"/>
    <x v="11"/>
    <x v="1"/>
    <x v="1"/>
    <x v="11"/>
    <x v="73"/>
    <x v="0"/>
    <x v="2"/>
    <x v="1"/>
    <x v="4"/>
  </r>
  <r>
    <x v="860"/>
    <x v="120"/>
    <x v="130"/>
    <x v="1"/>
    <x v="3"/>
    <x v="2"/>
    <x v="7"/>
    <x v="2"/>
    <x v="2"/>
    <x v="7"/>
    <x v="9"/>
    <x v="0"/>
    <x v="0"/>
    <x v="0"/>
    <x v="1"/>
  </r>
  <r>
    <x v="861"/>
    <x v="120"/>
    <x v="389"/>
    <x v="3"/>
    <x v="3"/>
    <x v="1"/>
    <x v="11"/>
    <x v="1"/>
    <x v="2"/>
    <x v="11"/>
    <x v="24"/>
    <x v="1"/>
    <x v="0"/>
    <x v="0"/>
    <x v="2"/>
  </r>
  <r>
    <x v="862"/>
    <x v="120"/>
    <x v="67"/>
    <x v="3"/>
    <x v="3"/>
    <x v="0"/>
    <x v="4"/>
    <x v="1"/>
    <x v="2"/>
    <x v="4"/>
    <x v="15"/>
    <x v="1"/>
    <x v="0"/>
    <x v="2"/>
    <x v="1"/>
  </r>
  <r>
    <x v="863"/>
    <x v="120"/>
    <x v="71"/>
    <x v="3"/>
    <x v="3"/>
    <x v="0"/>
    <x v="4"/>
    <x v="1"/>
    <x v="2"/>
    <x v="4"/>
    <x v="52"/>
    <x v="0"/>
    <x v="3"/>
    <x v="0"/>
    <x v="2"/>
  </r>
  <r>
    <x v="864"/>
    <x v="120"/>
    <x v="177"/>
    <x v="3"/>
    <x v="3"/>
    <x v="0"/>
    <x v="11"/>
    <x v="1"/>
    <x v="2"/>
    <x v="11"/>
    <x v="24"/>
    <x v="1"/>
    <x v="0"/>
    <x v="3"/>
    <x v="1"/>
  </r>
  <r>
    <x v="865"/>
    <x v="120"/>
    <x v="466"/>
    <x v="3"/>
    <x v="3"/>
    <x v="0"/>
    <x v="7"/>
    <x v="2"/>
    <x v="0"/>
    <x v="7"/>
    <x v="12"/>
    <x v="0"/>
    <x v="0"/>
    <x v="0"/>
    <x v="2"/>
  </r>
  <r>
    <x v="866"/>
    <x v="120"/>
    <x v="327"/>
    <x v="2"/>
    <x v="3"/>
    <x v="0"/>
    <x v="4"/>
    <x v="1"/>
    <x v="2"/>
    <x v="4"/>
    <x v="4"/>
    <x v="0"/>
    <x v="1"/>
    <x v="1"/>
    <x v="2"/>
  </r>
  <r>
    <x v="867"/>
    <x v="121"/>
    <x v="397"/>
    <x v="7"/>
    <x v="4"/>
    <x v="0"/>
    <x v="5"/>
    <x v="1"/>
    <x v="1"/>
    <x v="5"/>
    <x v="28"/>
    <x v="1"/>
    <x v="0"/>
    <x v="0"/>
    <x v="4"/>
  </r>
  <r>
    <x v="868"/>
    <x v="121"/>
    <x v="456"/>
    <x v="0"/>
    <x v="4"/>
    <x v="0"/>
    <x v="11"/>
    <x v="1"/>
    <x v="2"/>
    <x v="11"/>
    <x v="24"/>
    <x v="0"/>
    <x v="0"/>
    <x v="0"/>
    <x v="1"/>
  </r>
  <r>
    <x v="869"/>
    <x v="121"/>
    <x v="118"/>
    <x v="0"/>
    <x v="4"/>
    <x v="0"/>
    <x v="1"/>
    <x v="1"/>
    <x v="2"/>
    <x v="1"/>
    <x v="8"/>
    <x v="1"/>
    <x v="0"/>
    <x v="0"/>
    <x v="4"/>
  </r>
  <r>
    <x v="870"/>
    <x v="121"/>
    <x v="233"/>
    <x v="5"/>
    <x v="4"/>
    <x v="1"/>
    <x v="8"/>
    <x v="2"/>
    <x v="2"/>
    <x v="8"/>
    <x v="10"/>
    <x v="1"/>
    <x v="0"/>
    <x v="0"/>
    <x v="2"/>
  </r>
  <r>
    <x v="871"/>
    <x v="121"/>
    <x v="95"/>
    <x v="3"/>
    <x v="4"/>
    <x v="0"/>
    <x v="12"/>
    <x v="4"/>
    <x v="2"/>
    <x v="8"/>
    <x v="43"/>
    <x v="1"/>
    <x v="3"/>
    <x v="2"/>
    <x v="2"/>
  </r>
  <r>
    <x v="872"/>
    <x v="121"/>
    <x v="420"/>
    <x v="3"/>
    <x v="4"/>
    <x v="0"/>
    <x v="1"/>
    <x v="1"/>
    <x v="0"/>
    <x v="1"/>
    <x v="16"/>
    <x v="0"/>
    <x v="0"/>
    <x v="0"/>
    <x v="2"/>
  </r>
  <r>
    <x v="873"/>
    <x v="121"/>
    <x v="302"/>
    <x v="4"/>
    <x v="4"/>
    <x v="2"/>
    <x v="10"/>
    <x v="4"/>
    <x v="2"/>
    <x v="10"/>
    <x v="13"/>
    <x v="0"/>
    <x v="0"/>
    <x v="2"/>
    <x v="1"/>
  </r>
  <r>
    <x v="874"/>
    <x v="122"/>
    <x v="316"/>
    <x v="7"/>
    <x v="5"/>
    <x v="2"/>
    <x v="8"/>
    <x v="2"/>
    <x v="2"/>
    <x v="8"/>
    <x v="10"/>
    <x v="0"/>
    <x v="0"/>
    <x v="1"/>
    <x v="3"/>
  </r>
  <r>
    <x v="875"/>
    <x v="122"/>
    <x v="243"/>
    <x v="12"/>
    <x v="5"/>
    <x v="0"/>
    <x v="10"/>
    <x v="4"/>
    <x v="2"/>
    <x v="10"/>
    <x v="13"/>
    <x v="0"/>
    <x v="0"/>
    <x v="0"/>
    <x v="2"/>
  </r>
  <r>
    <x v="876"/>
    <x v="122"/>
    <x v="157"/>
    <x v="1"/>
    <x v="5"/>
    <x v="1"/>
    <x v="7"/>
    <x v="2"/>
    <x v="2"/>
    <x v="7"/>
    <x v="25"/>
    <x v="0"/>
    <x v="1"/>
    <x v="0"/>
    <x v="0"/>
  </r>
  <r>
    <x v="877"/>
    <x v="122"/>
    <x v="364"/>
    <x v="1"/>
    <x v="5"/>
    <x v="2"/>
    <x v="11"/>
    <x v="1"/>
    <x v="2"/>
    <x v="11"/>
    <x v="24"/>
    <x v="0"/>
    <x v="0"/>
    <x v="2"/>
    <x v="4"/>
  </r>
  <r>
    <x v="878"/>
    <x v="122"/>
    <x v="90"/>
    <x v="3"/>
    <x v="5"/>
    <x v="2"/>
    <x v="6"/>
    <x v="0"/>
    <x v="2"/>
    <x v="6"/>
    <x v="6"/>
    <x v="0"/>
    <x v="0"/>
    <x v="2"/>
    <x v="1"/>
  </r>
  <r>
    <x v="879"/>
    <x v="122"/>
    <x v="100"/>
    <x v="3"/>
    <x v="5"/>
    <x v="0"/>
    <x v="4"/>
    <x v="1"/>
    <x v="2"/>
    <x v="4"/>
    <x v="4"/>
    <x v="0"/>
    <x v="1"/>
    <x v="0"/>
    <x v="2"/>
  </r>
  <r>
    <x v="880"/>
    <x v="122"/>
    <x v="326"/>
    <x v="3"/>
    <x v="5"/>
    <x v="0"/>
    <x v="9"/>
    <x v="3"/>
    <x v="0"/>
    <x v="7"/>
    <x v="12"/>
    <x v="0"/>
    <x v="0"/>
    <x v="0"/>
    <x v="4"/>
  </r>
  <r>
    <x v="881"/>
    <x v="122"/>
    <x v="436"/>
    <x v="2"/>
    <x v="5"/>
    <x v="0"/>
    <x v="8"/>
    <x v="2"/>
    <x v="0"/>
    <x v="8"/>
    <x v="21"/>
    <x v="0"/>
    <x v="0"/>
    <x v="1"/>
    <x v="0"/>
  </r>
  <r>
    <x v="882"/>
    <x v="123"/>
    <x v="158"/>
    <x v="1"/>
    <x v="6"/>
    <x v="0"/>
    <x v="5"/>
    <x v="1"/>
    <x v="2"/>
    <x v="5"/>
    <x v="5"/>
    <x v="0"/>
    <x v="0"/>
    <x v="2"/>
    <x v="4"/>
  </r>
  <r>
    <x v="883"/>
    <x v="123"/>
    <x v="281"/>
    <x v="1"/>
    <x v="6"/>
    <x v="0"/>
    <x v="6"/>
    <x v="0"/>
    <x v="2"/>
    <x v="6"/>
    <x v="6"/>
    <x v="1"/>
    <x v="0"/>
    <x v="0"/>
    <x v="2"/>
  </r>
  <r>
    <x v="884"/>
    <x v="123"/>
    <x v="259"/>
    <x v="1"/>
    <x v="6"/>
    <x v="0"/>
    <x v="6"/>
    <x v="0"/>
    <x v="2"/>
    <x v="6"/>
    <x v="72"/>
    <x v="1"/>
    <x v="2"/>
    <x v="0"/>
    <x v="1"/>
  </r>
  <r>
    <x v="885"/>
    <x v="123"/>
    <x v="435"/>
    <x v="1"/>
    <x v="6"/>
    <x v="2"/>
    <x v="11"/>
    <x v="1"/>
    <x v="0"/>
    <x v="11"/>
    <x v="39"/>
    <x v="0"/>
    <x v="0"/>
    <x v="0"/>
    <x v="2"/>
  </r>
  <r>
    <x v="886"/>
    <x v="123"/>
    <x v="45"/>
    <x v="3"/>
    <x v="6"/>
    <x v="1"/>
    <x v="7"/>
    <x v="2"/>
    <x v="0"/>
    <x v="7"/>
    <x v="12"/>
    <x v="0"/>
    <x v="0"/>
    <x v="0"/>
    <x v="1"/>
  </r>
  <r>
    <x v="887"/>
    <x v="123"/>
    <x v="95"/>
    <x v="3"/>
    <x v="6"/>
    <x v="1"/>
    <x v="8"/>
    <x v="2"/>
    <x v="0"/>
    <x v="8"/>
    <x v="21"/>
    <x v="1"/>
    <x v="0"/>
    <x v="0"/>
    <x v="2"/>
  </r>
  <r>
    <x v="888"/>
    <x v="123"/>
    <x v="454"/>
    <x v="2"/>
    <x v="6"/>
    <x v="0"/>
    <x v="4"/>
    <x v="1"/>
    <x v="0"/>
    <x v="4"/>
    <x v="35"/>
    <x v="0"/>
    <x v="0"/>
    <x v="0"/>
    <x v="3"/>
  </r>
  <r>
    <x v="889"/>
    <x v="124"/>
    <x v="467"/>
    <x v="9"/>
    <x v="0"/>
    <x v="2"/>
    <x v="6"/>
    <x v="0"/>
    <x v="2"/>
    <x v="6"/>
    <x v="56"/>
    <x v="0"/>
    <x v="1"/>
    <x v="2"/>
    <x v="3"/>
  </r>
  <r>
    <x v="890"/>
    <x v="124"/>
    <x v="468"/>
    <x v="11"/>
    <x v="0"/>
    <x v="1"/>
    <x v="3"/>
    <x v="3"/>
    <x v="2"/>
    <x v="3"/>
    <x v="3"/>
    <x v="0"/>
    <x v="0"/>
    <x v="2"/>
    <x v="2"/>
  </r>
  <r>
    <x v="891"/>
    <x v="124"/>
    <x v="51"/>
    <x v="5"/>
    <x v="0"/>
    <x v="2"/>
    <x v="3"/>
    <x v="3"/>
    <x v="2"/>
    <x v="3"/>
    <x v="3"/>
    <x v="0"/>
    <x v="0"/>
    <x v="0"/>
    <x v="1"/>
  </r>
  <r>
    <x v="892"/>
    <x v="124"/>
    <x v="430"/>
    <x v="3"/>
    <x v="0"/>
    <x v="2"/>
    <x v="3"/>
    <x v="3"/>
    <x v="2"/>
    <x v="3"/>
    <x v="3"/>
    <x v="0"/>
    <x v="0"/>
    <x v="2"/>
    <x v="1"/>
  </r>
  <r>
    <x v="893"/>
    <x v="124"/>
    <x v="380"/>
    <x v="2"/>
    <x v="0"/>
    <x v="1"/>
    <x v="7"/>
    <x v="2"/>
    <x v="2"/>
    <x v="7"/>
    <x v="9"/>
    <x v="0"/>
    <x v="0"/>
    <x v="1"/>
    <x v="2"/>
  </r>
  <r>
    <x v="894"/>
    <x v="124"/>
    <x v="116"/>
    <x v="2"/>
    <x v="0"/>
    <x v="0"/>
    <x v="1"/>
    <x v="1"/>
    <x v="1"/>
    <x v="1"/>
    <x v="1"/>
    <x v="0"/>
    <x v="0"/>
    <x v="3"/>
    <x v="4"/>
  </r>
  <r>
    <x v="895"/>
    <x v="124"/>
    <x v="199"/>
    <x v="4"/>
    <x v="0"/>
    <x v="1"/>
    <x v="8"/>
    <x v="2"/>
    <x v="2"/>
    <x v="8"/>
    <x v="10"/>
    <x v="0"/>
    <x v="0"/>
    <x v="3"/>
    <x v="4"/>
  </r>
  <r>
    <x v="896"/>
    <x v="125"/>
    <x v="393"/>
    <x v="11"/>
    <x v="1"/>
    <x v="1"/>
    <x v="1"/>
    <x v="1"/>
    <x v="2"/>
    <x v="1"/>
    <x v="8"/>
    <x v="1"/>
    <x v="0"/>
    <x v="2"/>
    <x v="3"/>
  </r>
  <r>
    <x v="897"/>
    <x v="125"/>
    <x v="312"/>
    <x v="5"/>
    <x v="1"/>
    <x v="1"/>
    <x v="13"/>
    <x v="0"/>
    <x v="2"/>
    <x v="2"/>
    <x v="2"/>
    <x v="0"/>
    <x v="0"/>
    <x v="1"/>
    <x v="4"/>
  </r>
  <r>
    <x v="898"/>
    <x v="125"/>
    <x v="228"/>
    <x v="3"/>
    <x v="1"/>
    <x v="0"/>
    <x v="6"/>
    <x v="0"/>
    <x v="1"/>
    <x v="6"/>
    <x v="25"/>
    <x v="0"/>
    <x v="0"/>
    <x v="3"/>
    <x v="4"/>
  </r>
  <r>
    <x v="899"/>
    <x v="125"/>
    <x v="84"/>
    <x v="3"/>
    <x v="1"/>
    <x v="0"/>
    <x v="6"/>
    <x v="0"/>
    <x v="2"/>
    <x v="13"/>
    <x v="26"/>
    <x v="1"/>
    <x v="2"/>
    <x v="2"/>
    <x v="3"/>
  </r>
  <r>
    <x v="900"/>
    <x v="125"/>
    <x v="47"/>
    <x v="3"/>
    <x v="1"/>
    <x v="1"/>
    <x v="0"/>
    <x v="0"/>
    <x v="2"/>
    <x v="0"/>
    <x v="7"/>
    <x v="0"/>
    <x v="0"/>
    <x v="2"/>
    <x v="3"/>
  </r>
  <r>
    <x v="901"/>
    <x v="125"/>
    <x v="72"/>
    <x v="3"/>
    <x v="1"/>
    <x v="1"/>
    <x v="6"/>
    <x v="0"/>
    <x v="2"/>
    <x v="6"/>
    <x v="6"/>
    <x v="1"/>
    <x v="0"/>
    <x v="0"/>
    <x v="1"/>
  </r>
  <r>
    <x v="902"/>
    <x v="125"/>
    <x v="440"/>
    <x v="2"/>
    <x v="1"/>
    <x v="1"/>
    <x v="6"/>
    <x v="0"/>
    <x v="2"/>
    <x v="6"/>
    <x v="6"/>
    <x v="0"/>
    <x v="0"/>
    <x v="0"/>
    <x v="1"/>
  </r>
  <r>
    <x v="903"/>
    <x v="125"/>
    <x v="288"/>
    <x v="2"/>
    <x v="1"/>
    <x v="1"/>
    <x v="0"/>
    <x v="0"/>
    <x v="2"/>
    <x v="0"/>
    <x v="7"/>
    <x v="1"/>
    <x v="0"/>
    <x v="3"/>
    <x v="4"/>
  </r>
  <r>
    <x v="904"/>
    <x v="126"/>
    <x v="469"/>
    <x v="0"/>
    <x v="2"/>
    <x v="0"/>
    <x v="0"/>
    <x v="0"/>
    <x v="2"/>
    <x v="0"/>
    <x v="31"/>
    <x v="1"/>
    <x v="2"/>
    <x v="0"/>
    <x v="3"/>
  </r>
  <r>
    <x v="905"/>
    <x v="126"/>
    <x v="38"/>
    <x v="0"/>
    <x v="2"/>
    <x v="1"/>
    <x v="0"/>
    <x v="0"/>
    <x v="0"/>
    <x v="0"/>
    <x v="0"/>
    <x v="0"/>
    <x v="0"/>
    <x v="3"/>
    <x v="2"/>
  </r>
  <r>
    <x v="906"/>
    <x v="126"/>
    <x v="470"/>
    <x v="11"/>
    <x v="2"/>
    <x v="0"/>
    <x v="1"/>
    <x v="1"/>
    <x v="2"/>
    <x v="1"/>
    <x v="8"/>
    <x v="0"/>
    <x v="0"/>
    <x v="1"/>
    <x v="4"/>
  </r>
  <r>
    <x v="907"/>
    <x v="126"/>
    <x v="363"/>
    <x v="5"/>
    <x v="2"/>
    <x v="0"/>
    <x v="6"/>
    <x v="0"/>
    <x v="2"/>
    <x v="6"/>
    <x v="6"/>
    <x v="0"/>
    <x v="0"/>
    <x v="0"/>
    <x v="4"/>
  </r>
  <r>
    <x v="908"/>
    <x v="126"/>
    <x v="471"/>
    <x v="5"/>
    <x v="2"/>
    <x v="0"/>
    <x v="7"/>
    <x v="2"/>
    <x v="0"/>
    <x v="7"/>
    <x v="12"/>
    <x v="1"/>
    <x v="0"/>
    <x v="2"/>
    <x v="1"/>
  </r>
  <r>
    <x v="909"/>
    <x v="126"/>
    <x v="12"/>
    <x v="1"/>
    <x v="2"/>
    <x v="2"/>
    <x v="1"/>
    <x v="1"/>
    <x v="0"/>
    <x v="1"/>
    <x v="16"/>
    <x v="0"/>
    <x v="0"/>
    <x v="0"/>
    <x v="0"/>
  </r>
  <r>
    <x v="910"/>
    <x v="127"/>
    <x v="472"/>
    <x v="10"/>
    <x v="3"/>
    <x v="2"/>
    <x v="2"/>
    <x v="2"/>
    <x v="2"/>
    <x v="2"/>
    <x v="2"/>
    <x v="0"/>
    <x v="0"/>
    <x v="2"/>
    <x v="4"/>
  </r>
  <r>
    <x v="911"/>
    <x v="127"/>
    <x v="400"/>
    <x v="7"/>
    <x v="3"/>
    <x v="0"/>
    <x v="8"/>
    <x v="2"/>
    <x v="1"/>
    <x v="8"/>
    <x v="5"/>
    <x v="0"/>
    <x v="0"/>
    <x v="0"/>
    <x v="4"/>
  </r>
  <r>
    <x v="912"/>
    <x v="127"/>
    <x v="128"/>
    <x v="7"/>
    <x v="3"/>
    <x v="0"/>
    <x v="3"/>
    <x v="3"/>
    <x v="2"/>
    <x v="3"/>
    <x v="3"/>
    <x v="0"/>
    <x v="0"/>
    <x v="0"/>
    <x v="3"/>
  </r>
  <r>
    <x v="913"/>
    <x v="127"/>
    <x v="201"/>
    <x v="6"/>
    <x v="3"/>
    <x v="1"/>
    <x v="1"/>
    <x v="1"/>
    <x v="2"/>
    <x v="1"/>
    <x v="8"/>
    <x v="1"/>
    <x v="0"/>
    <x v="0"/>
    <x v="1"/>
  </r>
  <r>
    <x v="914"/>
    <x v="127"/>
    <x v="227"/>
    <x v="5"/>
    <x v="3"/>
    <x v="0"/>
    <x v="7"/>
    <x v="2"/>
    <x v="0"/>
    <x v="7"/>
    <x v="12"/>
    <x v="1"/>
    <x v="0"/>
    <x v="0"/>
    <x v="3"/>
  </r>
  <r>
    <x v="915"/>
    <x v="127"/>
    <x v="90"/>
    <x v="3"/>
    <x v="3"/>
    <x v="1"/>
    <x v="0"/>
    <x v="0"/>
    <x v="0"/>
    <x v="0"/>
    <x v="53"/>
    <x v="0"/>
    <x v="1"/>
    <x v="0"/>
    <x v="0"/>
  </r>
  <r>
    <x v="916"/>
    <x v="127"/>
    <x v="396"/>
    <x v="4"/>
    <x v="3"/>
    <x v="1"/>
    <x v="0"/>
    <x v="0"/>
    <x v="2"/>
    <x v="0"/>
    <x v="7"/>
    <x v="1"/>
    <x v="0"/>
    <x v="2"/>
    <x v="0"/>
  </r>
  <r>
    <x v="917"/>
    <x v="128"/>
    <x v="200"/>
    <x v="10"/>
    <x v="4"/>
    <x v="2"/>
    <x v="8"/>
    <x v="2"/>
    <x v="2"/>
    <x v="8"/>
    <x v="10"/>
    <x v="1"/>
    <x v="0"/>
    <x v="3"/>
    <x v="3"/>
  </r>
  <r>
    <x v="918"/>
    <x v="128"/>
    <x v="473"/>
    <x v="0"/>
    <x v="4"/>
    <x v="0"/>
    <x v="9"/>
    <x v="3"/>
    <x v="2"/>
    <x v="7"/>
    <x v="9"/>
    <x v="0"/>
    <x v="0"/>
    <x v="2"/>
    <x v="1"/>
  </r>
  <r>
    <x v="919"/>
    <x v="128"/>
    <x v="474"/>
    <x v="8"/>
    <x v="4"/>
    <x v="0"/>
    <x v="13"/>
    <x v="0"/>
    <x v="2"/>
    <x v="2"/>
    <x v="2"/>
    <x v="1"/>
    <x v="0"/>
    <x v="1"/>
    <x v="1"/>
  </r>
  <r>
    <x v="920"/>
    <x v="128"/>
    <x v="40"/>
    <x v="5"/>
    <x v="4"/>
    <x v="0"/>
    <x v="5"/>
    <x v="1"/>
    <x v="2"/>
    <x v="5"/>
    <x v="5"/>
    <x v="0"/>
    <x v="0"/>
    <x v="0"/>
    <x v="2"/>
  </r>
  <r>
    <x v="921"/>
    <x v="128"/>
    <x v="475"/>
    <x v="5"/>
    <x v="4"/>
    <x v="2"/>
    <x v="0"/>
    <x v="0"/>
    <x v="2"/>
    <x v="0"/>
    <x v="7"/>
    <x v="1"/>
    <x v="0"/>
    <x v="0"/>
    <x v="1"/>
  </r>
  <r>
    <x v="922"/>
    <x v="128"/>
    <x v="66"/>
    <x v="1"/>
    <x v="4"/>
    <x v="0"/>
    <x v="0"/>
    <x v="0"/>
    <x v="0"/>
    <x v="0"/>
    <x v="0"/>
    <x v="0"/>
    <x v="0"/>
    <x v="0"/>
    <x v="0"/>
  </r>
  <r>
    <x v="923"/>
    <x v="128"/>
    <x v="248"/>
    <x v="3"/>
    <x v="4"/>
    <x v="1"/>
    <x v="0"/>
    <x v="0"/>
    <x v="2"/>
    <x v="0"/>
    <x v="7"/>
    <x v="0"/>
    <x v="0"/>
    <x v="0"/>
    <x v="4"/>
  </r>
  <r>
    <x v="924"/>
    <x v="128"/>
    <x v="239"/>
    <x v="3"/>
    <x v="4"/>
    <x v="0"/>
    <x v="8"/>
    <x v="2"/>
    <x v="0"/>
    <x v="8"/>
    <x v="21"/>
    <x v="1"/>
    <x v="0"/>
    <x v="0"/>
    <x v="1"/>
  </r>
  <r>
    <x v="925"/>
    <x v="128"/>
    <x v="476"/>
    <x v="2"/>
    <x v="4"/>
    <x v="1"/>
    <x v="1"/>
    <x v="1"/>
    <x v="0"/>
    <x v="1"/>
    <x v="16"/>
    <x v="1"/>
    <x v="0"/>
    <x v="3"/>
    <x v="0"/>
  </r>
  <r>
    <x v="926"/>
    <x v="128"/>
    <x v="477"/>
    <x v="4"/>
    <x v="4"/>
    <x v="0"/>
    <x v="14"/>
    <x v="3"/>
    <x v="2"/>
    <x v="14"/>
    <x v="25"/>
    <x v="0"/>
    <x v="0"/>
    <x v="0"/>
    <x v="2"/>
  </r>
  <r>
    <x v="927"/>
    <x v="129"/>
    <x v="478"/>
    <x v="12"/>
    <x v="5"/>
    <x v="0"/>
    <x v="0"/>
    <x v="0"/>
    <x v="0"/>
    <x v="0"/>
    <x v="0"/>
    <x v="0"/>
    <x v="0"/>
    <x v="0"/>
    <x v="0"/>
  </r>
  <r>
    <x v="928"/>
    <x v="129"/>
    <x v="479"/>
    <x v="11"/>
    <x v="5"/>
    <x v="0"/>
    <x v="7"/>
    <x v="2"/>
    <x v="2"/>
    <x v="7"/>
    <x v="9"/>
    <x v="0"/>
    <x v="0"/>
    <x v="0"/>
    <x v="4"/>
  </r>
  <r>
    <x v="929"/>
    <x v="129"/>
    <x v="384"/>
    <x v="5"/>
    <x v="5"/>
    <x v="2"/>
    <x v="6"/>
    <x v="0"/>
    <x v="2"/>
    <x v="6"/>
    <x v="6"/>
    <x v="0"/>
    <x v="0"/>
    <x v="0"/>
    <x v="4"/>
  </r>
  <r>
    <x v="930"/>
    <x v="129"/>
    <x v="13"/>
    <x v="1"/>
    <x v="5"/>
    <x v="0"/>
    <x v="4"/>
    <x v="1"/>
    <x v="0"/>
    <x v="4"/>
    <x v="35"/>
    <x v="0"/>
    <x v="0"/>
    <x v="0"/>
    <x v="3"/>
  </r>
  <r>
    <x v="931"/>
    <x v="129"/>
    <x v="281"/>
    <x v="1"/>
    <x v="5"/>
    <x v="1"/>
    <x v="0"/>
    <x v="0"/>
    <x v="2"/>
    <x v="0"/>
    <x v="7"/>
    <x v="0"/>
    <x v="0"/>
    <x v="0"/>
    <x v="2"/>
  </r>
  <r>
    <x v="932"/>
    <x v="129"/>
    <x v="326"/>
    <x v="3"/>
    <x v="5"/>
    <x v="0"/>
    <x v="6"/>
    <x v="0"/>
    <x v="2"/>
    <x v="6"/>
    <x v="6"/>
    <x v="0"/>
    <x v="0"/>
    <x v="0"/>
    <x v="4"/>
  </r>
  <r>
    <x v="933"/>
    <x v="129"/>
    <x v="480"/>
    <x v="2"/>
    <x v="5"/>
    <x v="2"/>
    <x v="7"/>
    <x v="2"/>
    <x v="2"/>
    <x v="14"/>
    <x v="58"/>
    <x v="0"/>
    <x v="1"/>
    <x v="0"/>
    <x v="0"/>
  </r>
  <r>
    <x v="934"/>
    <x v="129"/>
    <x v="92"/>
    <x v="2"/>
    <x v="5"/>
    <x v="1"/>
    <x v="6"/>
    <x v="0"/>
    <x v="2"/>
    <x v="6"/>
    <x v="6"/>
    <x v="1"/>
    <x v="0"/>
    <x v="3"/>
    <x v="1"/>
  </r>
  <r>
    <x v="935"/>
    <x v="129"/>
    <x v="431"/>
    <x v="4"/>
    <x v="5"/>
    <x v="1"/>
    <x v="4"/>
    <x v="1"/>
    <x v="0"/>
    <x v="4"/>
    <x v="35"/>
    <x v="0"/>
    <x v="0"/>
    <x v="0"/>
    <x v="2"/>
  </r>
  <r>
    <x v="936"/>
    <x v="129"/>
    <x v="460"/>
    <x v="4"/>
    <x v="5"/>
    <x v="2"/>
    <x v="7"/>
    <x v="2"/>
    <x v="2"/>
    <x v="7"/>
    <x v="9"/>
    <x v="0"/>
    <x v="0"/>
    <x v="1"/>
    <x v="1"/>
  </r>
  <r>
    <x v="937"/>
    <x v="130"/>
    <x v="211"/>
    <x v="2"/>
    <x v="4"/>
    <x v="1"/>
    <x v="4"/>
    <x v="1"/>
    <x v="2"/>
    <x v="4"/>
    <x v="15"/>
    <x v="0"/>
    <x v="0"/>
    <x v="0"/>
    <x v="1"/>
  </r>
  <r>
    <x v="938"/>
    <x v="131"/>
    <x v="341"/>
    <x v="5"/>
    <x v="6"/>
    <x v="0"/>
    <x v="2"/>
    <x v="2"/>
    <x v="2"/>
    <x v="2"/>
    <x v="2"/>
    <x v="1"/>
    <x v="0"/>
    <x v="0"/>
    <x v="1"/>
  </r>
  <r>
    <x v="939"/>
    <x v="131"/>
    <x v="1"/>
    <x v="1"/>
    <x v="6"/>
    <x v="2"/>
    <x v="6"/>
    <x v="0"/>
    <x v="2"/>
    <x v="6"/>
    <x v="6"/>
    <x v="1"/>
    <x v="0"/>
    <x v="0"/>
    <x v="1"/>
  </r>
  <r>
    <x v="940"/>
    <x v="131"/>
    <x v="8"/>
    <x v="1"/>
    <x v="6"/>
    <x v="1"/>
    <x v="7"/>
    <x v="2"/>
    <x v="2"/>
    <x v="7"/>
    <x v="9"/>
    <x v="0"/>
    <x v="0"/>
    <x v="2"/>
    <x v="3"/>
  </r>
  <r>
    <x v="941"/>
    <x v="131"/>
    <x v="61"/>
    <x v="1"/>
    <x v="6"/>
    <x v="0"/>
    <x v="0"/>
    <x v="0"/>
    <x v="2"/>
    <x v="0"/>
    <x v="7"/>
    <x v="1"/>
    <x v="0"/>
    <x v="0"/>
    <x v="2"/>
  </r>
  <r>
    <x v="942"/>
    <x v="131"/>
    <x v="466"/>
    <x v="3"/>
    <x v="6"/>
    <x v="1"/>
    <x v="5"/>
    <x v="1"/>
    <x v="1"/>
    <x v="5"/>
    <x v="74"/>
    <x v="0"/>
    <x v="1"/>
    <x v="2"/>
    <x v="1"/>
  </r>
  <r>
    <x v="943"/>
    <x v="131"/>
    <x v="92"/>
    <x v="2"/>
    <x v="6"/>
    <x v="0"/>
    <x v="10"/>
    <x v="4"/>
    <x v="2"/>
    <x v="10"/>
    <x v="13"/>
    <x v="0"/>
    <x v="0"/>
    <x v="0"/>
    <x v="3"/>
  </r>
  <r>
    <x v="944"/>
    <x v="132"/>
    <x v="317"/>
    <x v="12"/>
    <x v="0"/>
    <x v="0"/>
    <x v="11"/>
    <x v="1"/>
    <x v="2"/>
    <x v="11"/>
    <x v="24"/>
    <x v="1"/>
    <x v="0"/>
    <x v="1"/>
    <x v="1"/>
  </r>
  <r>
    <x v="945"/>
    <x v="132"/>
    <x v="481"/>
    <x v="12"/>
    <x v="0"/>
    <x v="0"/>
    <x v="5"/>
    <x v="1"/>
    <x v="0"/>
    <x v="5"/>
    <x v="17"/>
    <x v="1"/>
    <x v="0"/>
    <x v="2"/>
    <x v="0"/>
  </r>
  <r>
    <x v="946"/>
    <x v="132"/>
    <x v="26"/>
    <x v="5"/>
    <x v="0"/>
    <x v="2"/>
    <x v="2"/>
    <x v="2"/>
    <x v="2"/>
    <x v="2"/>
    <x v="2"/>
    <x v="0"/>
    <x v="0"/>
    <x v="2"/>
    <x v="0"/>
  </r>
  <r>
    <x v="947"/>
    <x v="132"/>
    <x v="67"/>
    <x v="3"/>
    <x v="0"/>
    <x v="1"/>
    <x v="11"/>
    <x v="1"/>
    <x v="2"/>
    <x v="11"/>
    <x v="75"/>
    <x v="0"/>
    <x v="2"/>
    <x v="3"/>
    <x v="1"/>
  </r>
  <r>
    <x v="948"/>
    <x v="132"/>
    <x v="288"/>
    <x v="2"/>
    <x v="0"/>
    <x v="1"/>
    <x v="7"/>
    <x v="2"/>
    <x v="2"/>
    <x v="7"/>
    <x v="9"/>
    <x v="0"/>
    <x v="0"/>
    <x v="0"/>
    <x v="0"/>
  </r>
  <r>
    <x v="949"/>
    <x v="133"/>
    <x v="379"/>
    <x v="5"/>
    <x v="1"/>
    <x v="0"/>
    <x v="7"/>
    <x v="2"/>
    <x v="2"/>
    <x v="7"/>
    <x v="9"/>
    <x v="0"/>
    <x v="0"/>
    <x v="0"/>
    <x v="4"/>
  </r>
  <r>
    <x v="950"/>
    <x v="133"/>
    <x v="482"/>
    <x v="1"/>
    <x v="1"/>
    <x v="1"/>
    <x v="7"/>
    <x v="2"/>
    <x v="2"/>
    <x v="7"/>
    <x v="9"/>
    <x v="1"/>
    <x v="0"/>
    <x v="2"/>
    <x v="2"/>
  </r>
  <r>
    <x v="951"/>
    <x v="6"/>
    <x v="77"/>
    <x v="7"/>
    <x v="2"/>
    <x v="2"/>
    <x v="9"/>
    <x v="3"/>
    <x v="2"/>
    <x v="7"/>
    <x v="9"/>
    <x v="1"/>
    <x v="0"/>
    <x v="0"/>
    <x v="1"/>
  </r>
  <r>
    <x v="952"/>
    <x v="6"/>
    <x v="378"/>
    <x v="0"/>
    <x v="2"/>
    <x v="0"/>
    <x v="13"/>
    <x v="0"/>
    <x v="2"/>
    <x v="2"/>
    <x v="57"/>
    <x v="0"/>
    <x v="2"/>
    <x v="0"/>
    <x v="2"/>
  </r>
  <r>
    <x v="953"/>
    <x v="6"/>
    <x v="483"/>
    <x v="6"/>
    <x v="2"/>
    <x v="0"/>
    <x v="9"/>
    <x v="3"/>
    <x v="2"/>
    <x v="7"/>
    <x v="9"/>
    <x v="0"/>
    <x v="0"/>
    <x v="2"/>
    <x v="4"/>
  </r>
  <r>
    <x v="954"/>
    <x v="6"/>
    <x v="282"/>
    <x v="1"/>
    <x v="2"/>
    <x v="2"/>
    <x v="10"/>
    <x v="4"/>
    <x v="2"/>
    <x v="10"/>
    <x v="13"/>
    <x v="0"/>
    <x v="0"/>
    <x v="0"/>
    <x v="0"/>
  </r>
  <r>
    <x v="955"/>
    <x v="6"/>
    <x v="3"/>
    <x v="1"/>
    <x v="2"/>
    <x v="2"/>
    <x v="3"/>
    <x v="3"/>
    <x v="2"/>
    <x v="3"/>
    <x v="3"/>
    <x v="0"/>
    <x v="0"/>
    <x v="1"/>
    <x v="3"/>
  </r>
  <r>
    <x v="956"/>
    <x v="6"/>
    <x v="417"/>
    <x v="3"/>
    <x v="2"/>
    <x v="1"/>
    <x v="5"/>
    <x v="1"/>
    <x v="2"/>
    <x v="5"/>
    <x v="5"/>
    <x v="0"/>
    <x v="0"/>
    <x v="0"/>
    <x v="1"/>
  </r>
  <r>
    <x v="957"/>
    <x v="6"/>
    <x v="48"/>
    <x v="2"/>
    <x v="2"/>
    <x v="1"/>
    <x v="9"/>
    <x v="3"/>
    <x v="2"/>
    <x v="7"/>
    <x v="9"/>
    <x v="0"/>
    <x v="0"/>
    <x v="0"/>
    <x v="3"/>
  </r>
  <r>
    <x v="958"/>
    <x v="6"/>
    <x v="444"/>
    <x v="2"/>
    <x v="2"/>
    <x v="1"/>
    <x v="2"/>
    <x v="2"/>
    <x v="2"/>
    <x v="2"/>
    <x v="30"/>
    <x v="0"/>
    <x v="1"/>
    <x v="1"/>
    <x v="0"/>
  </r>
  <r>
    <x v="959"/>
    <x v="6"/>
    <x v="187"/>
    <x v="2"/>
    <x v="2"/>
    <x v="0"/>
    <x v="6"/>
    <x v="0"/>
    <x v="2"/>
    <x v="6"/>
    <x v="56"/>
    <x v="1"/>
    <x v="1"/>
    <x v="0"/>
    <x v="4"/>
  </r>
  <r>
    <x v="960"/>
    <x v="134"/>
    <x v="484"/>
    <x v="11"/>
    <x v="3"/>
    <x v="0"/>
    <x v="8"/>
    <x v="2"/>
    <x v="2"/>
    <x v="8"/>
    <x v="10"/>
    <x v="1"/>
    <x v="0"/>
    <x v="1"/>
    <x v="3"/>
  </r>
  <r>
    <x v="961"/>
    <x v="134"/>
    <x v="485"/>
    <x v="6"/>
    <x v="3"/>
    <x v="0"/>
    <x v="7"/>
    <x v="2"/>
    <x v="2"/>
    <x v="7"/>
    <x v="9"/>
    <x v="1"/>
    <x v="0"/>
    <x v="0"/>
    <x v="0"/>
  </r>
  <r>
    <x v="962"/>
    <x v="134"/>
    <x v="106"/>
    <x v="8"/>
    <x v="3"/>
    <x v="0"/>
    <x v="7"/>
    <x v="2"/>
    <x v="2"/>
    <x v="7"/>
    <x v="9"/>
    <x v="1"/>
    <x v="0"/>
    <x v="0"/>
    <x v="1"/>
  </r>
  <r>
    <x v="963"/>
    <x v="134"/>
    <x v="208"/>
    <x v="5"/>
    <x v="3"/>
    <x v="0"/>
    <x v="7"/>
    <x v="2"/>
    <x v="2"/>
    <x v="7"/>
    <x v="25"/>
    <x v="0"/>
    <x v="1"/>
    <x v="3"/>
    <x v="3"/>
  </r>
  <r>
    <x v="964"/>
    <x v="134"/>
    <x v="281"/>
    <x v="1"/>
    <x v="3"/>
    <x v="2"/>
    <x v="6"/>
    <x v="0"/>
    <x v="1"/>
    <x v="6"/>
    <x v="25"/>
    <x v="1"/>
    <x v="0"/>
    <x v="0"/>
    <x v="2"/>
  </r>
  <r>
    <x v="965"/>
    <x v="134"/>
    <x v="259"/>
    <x v="1"/>
    <x v="3"/>
    <x v="0"/>
    <x v="0"/>
    <x v="0"/>
    <x v="0"/>
    <x v="0"/>
    <x v="0"/>
    <x v="0"/>
    <x v="0"/>
    <x v="2"/>
    <x v="0"/>
  </r>
  <r>
    <x v="966"/>
    <x v="134"/>
    <x v="20"/>
    <x v="2"/>
    <x v="3"/>
    <x v="0"/>
    <x v="2"/>
    <x v="2"/>
    <x v="0"/>
    <x v="2"/>
    <x v="10"/>
    <x v="1"/>
    <x v="0"/>
    <x v="2"/>
    <x v="0"/>
  </r>
  <r>
    <x v="967"/>
    <x v="134"/>
    <x v="431"/>
    <x v="4"/>
    <x v="3"/>
    <x v="1"/>
    <x v="11"/>
    <x v="1"/>
    <x v="2"/>
    <x v="11"/>
    <x v="24"/>
    <x v="0"/>
    <x v="0"/>
    <x v="0"/>
    <x v="0"/>
  </r>
  <r>
    <x v="968"/>
    <x v="134"/>
    <x v="152"/>
    <x v="4"/>
    <x v="3"/>
    <x v="1"/>
    <x v="2"/>
    <x v="2"/>
    <x v="0"/>
    <x v="2"/>
    <x v="10"/>
    <x v="0"/>
    <x v="0"/>
    <x v="3"/>
    <x v="0"/>
  </r>
  <r>
    <x v="969"/>
    <x v="130"/>
    <x v="145"/>
    <x v="10"/>
    <x v="4"/>
    <x v="0"/>
    <x v="6"/>
    <x v="0"/>
    <x v="2"/>
    <x v="6"/>
    <x v="6"/>
    <x v="1"/>
    <x v="0"/>
    <x v="0"/>
    <x v="0"/>
  </r>
  <r>
    <x v="970"/>
    <x v="130"/>
    <x v="64"/>
    <x v="7"/>
    <x v="4"/>
    <x v="0"/>
    <x v="3"/>
    <x v="3"/>
    <x v="2"/>
    <x v="3"/>
    <x v="3"/>
    <x v="1"/>
    <x v="0"/>
    <x v="1"/>
    <x v="2"/>
  </r>
  <r>
    <x v="971"/>
    <x v="130"/>
    <x v="22"/>
    <x v="6"/>
    <x v="4"/>
    <x v="0"/>
    <x v="5"/>
    <x v="1"/>
    <x v="2"/>
    <x v="5"/>
    <x v="5"/>
    <x v="1"/>
    <x v="0"/>
    <x v="2"/>
    <x v="4"/>
  </r>
  <r>
    <x v="972"/>
    <x v="70"/>
    <x v="259"/>
    <x v="1"/>
    <x v="1"/>
    <x v="1"/>
    <x v="1"/>
    <x v="1"/>
    <x v="2"/>
    <x v="1"/>
    <x v="8"/>
    <x v="0"/>
    <x v="0"/>
    <x v="0"/>
    <x v="4"/>
  </r>
  <r>
    <x v="973"/>
    <x v="130"/>
    <x v="242"/>
    <x v="1"/>
    <x v="4"/>
    <x v="0"/>
    <x v="2"/>
    <x v="2"/>
    <x v="2"/>
    <x v="2"/>
    <x v="2"/>
    <x v="1"/>
    <x v="0"/>
    <x v="0"/>
    <x v="3"/>
  </r>
  <r>
    <x v="974"/>
    <x v="130"/>
    <x v="123"/>
    <x v="3"/>
    <x v="4"/>
    <x v="2"/>
    <x v="8"/>
    <x v="2"/>
    <x v="1"/>
    <x v="8"/>
    <x v="18"/>
    <x v="0"/>
    <x v="3"/>
    <x v="0"/>
    <x v="1"/>
  </r>
  <r>
    <x v="975"/>
    <x v="131"/>
    <x v="363"/>
    <x v="5"/>
    <x v="6"/>
    <x v="0"/>
    <x v="0"/>
    <x v="0"/>
    <x v="2"/>
    <x v="0"/>
    <x v="7"/>
    <x v="1"/>
    <x v="0"/>
    <x v="0"/>
    <x v="0"/>
  </r>
  <r>
    <x v="976"/>
    <x v="130"/>
    <x v="486"/>
    <x v="4"/>
    <x v="4"/>
    <x v="1"/>
    <x v="6"/>
    <x v="0"/>
    <x v="2"/>
    <x v="6"/>
    <x v="6"/>
    <x v="0"/>
    <x v="0"/>
    <x v="0"/>
    <x v="1"/>
  </r>
  <r>
    <x v="977"/>
    <x v="135"/>
    <x v="487"/>
    <x v="0"/>
    <x v="5"/>
    <x v="0"/>
    <x v="0"/>
    <x v="0"/>
    <x v="0"/>
    <x v="0"/>
    <x v="0"/>
    <x v="1"/>
    <x v="0"/>
    <x v="2"/>
    <x v="1"/>
  </r>
  <r>
    <x v="978"/>
    <x v="135"/>
    <x v="488"/>
    <x v="11"/>
    <x v="5"/>
    <x v="0"/>
    <x v="4"/>
    <x v="1"/>
    <x v="2"/>
    <x v="4"/>
    <x v="15"/>
    <x v="0"/>
    <x v="0"/>
    <x v="0"/>
    <x v="4"/>
  </r>
  <r>
    <x v="979"/>
    <x v="135"/>
    <x v="419"/>
    <x v="1"/>
    <x v="5"/>
    <x v="0"/>
    <x v="9"/>
    <x v="3"/>
    <x v="2"/>
    <x v="7"/>
    <x v="9"/>
    <x v="1"/>
    <x v="0"/>
    <x v="3"/>
    <x v="1"/>
  </r>
  <r>
    <x v="980"/>
    <x v="135"/>
    <x v="241"/>
    <x v="3"/>
    <x v="5"/>
    <x v="2"/>
    <x v="8"/>
    <x v="2"/>
    <x v="2"/>
    <x v="8"/>
    <x v="37"/>
    <x v="0"/>
    <x v="2"/>
    <x v="0"/>
    <x v="1"/>
  </r>
  <r>
    <x v="981"/>
    <x v="135"/>
    <x v="417"/>
    <x v="3"/>
    <x v="5"/>
    <x v="0"/>
    <x v="6"/>
    <x v="0"/>
    <x v="2"/>
    <x v="6"/>
    <x v="6"/>
    <x v="1"/>
    <x v="0"/>
    <x v="0"/>
    <x v="4"/>
  </r>
  <r>
    <x v="982"/>
    <x v="135"/>
    <x v="33"/>
    <x v="2"/>
    <x v="5"/>
    <x v="1"/>
    <x v="3"/>
    <x v="3"/>
    <x v="0"/>
    <x v="3"/>
    <x v="14"/>
    <x v="0"/>
    <x v="0"/>
    <x v="3"/>
    <x v="0"/>
  </r>
  <r>
    <x v="983"/>
    <x v="135"/>
    <x v="101"/>
    <x v="2"/>
    <x v="5"/>
    <x v="0"/>
    <x v="9"/>
    <x v="3"/>
    <x v="1"/>
    <x v="7"/>
    <x v="8"/>
    <x v="1"/>
    <x v="0"/>
    <x v="0"/>
    <x v="2"/>
  </r>
  <r>
    <x v="984"/>
    <x v="136"/>
    <x v="489"/>
    <x v="0"/>
    <x v="6"/>
    <x v="1"/>
    <x v="7"/>
    <x v="2"/>
    <x v="2"/>
    <x v="7"/>
    <x v="9"/>
    <x v="0"/>
    <x v="0"/>
    <x v="2"/>
    <x v="4"/>
  </r>
  <r>
    <x v="985"/>
    <x v="136"/>
    <x v="462"/>
    <x v="0"/>
    <x v="6"/>
    <x v="0"/>
    <x v="0"/>
    <x v="0"/>
    <x v="2"/>
    <x v="0"/>
    <x v="7"/>
    <x v="0"/>
    <x v="0"/>
    <x v="0"/>
    <x v="1"/>
  </r>
  <r>
    <x v="986"/>
    <x v="136"/>
    <x v="490"/>
    <x v="6"/>
    <x v="6"/>
    <x v="1"/>
    <x v="2"/>
    <x v="2"/>
    <x v="1"/>
    <x v="2"/>
    <x v="40"/>
    <x v="1"/>
    <x v="0"/>
    <x v="0"/>
    <x v="1"/>
  </r>
  <r>
    <x v="987"/>
    <x v="136"/>
    <x v="140"/>
    <x v="5"/>
    <x v="6"/>
    <x v="0"/>
    <x v="8"/>
    <x v="2"/>
    <x v="2"/>
    <x v="8"/>
    <x v="36"/>
    <x v="0"/>
    <x v="1"/>
    <x v="2"/>
    <x v="0"/>
  </r>
  <r>
    <x v="988"/>
    <x v="136"/>
    <x v="345"/>
    <x v="5"/>
    <x v="6"/>
    <x v="0"/>
    <x v="9"/>
    <x v="3"/>
    <x v="2"/>
    <x v="7"/>
    <x v="9"/>
    <x v="0"/>
    <x v="0"/>
    <x v="0"/>
    <x v="1"/>
  </r>
  <r>
    <x v="989"/>
    <x v="136"/>
    <x v="1"/>
    <x v="1"/>
    <x v="6"/>
    <x v="1"/>
    <x v="6"/>
    <x v="0"/>
    <x v="2"/>
    <x v="6"/>
    <x v="6"/>
    <x v="0"/>
    <x v="0"/>
    <x v="2"/>
    <x v="4"/>
  </r>
  <r>
    <x v="990"/>
    <x v="136"/>
    <x v="9"/>
    <x v="3"/>
    <x v="6"/>
    <x v="2"/>
    <x v="8"/>
    <x v="2"/>
    <x v="2"/>
    <x v="8"/>
    <x v="10"/>
    <x v="0"/>
    <x v="0"/>
    <x v="1"/>
    <x v="4"/>
  </r>
  <r>
    <x v="991"/>
    <x v="136"/>
    <x v="420"/>
    <x v="3"/>
    <x v="6"/>
    <x v="0"/>
    <x v="0"/>
    <x v="0"/>
    <x v="2"/>
    <x v="0"/>
    <x v="38"/>
    <x v="1"/>
    <x v="1"/>
    <x v="2"/>
    <x v="3"/>
  </r>
  <r>
    <x v="992"/>
    <x v="136"/>
    <x v="85"/>
    <x v="3"/>
    <x v="6"/>
    <x v="1"/>
    <x v="4"/>
    <x v="1"/>
    <x v="0"/>
    <x v="4"/>
    <x v="35"/>
    <x v="0"/>
    <x v="0"/>
    <x v="0"/>
    <x v="1"/>
  </r>
  <r>
    <x v="993"/>
    <x v="136"/>
    <x v="297"/>
    <x v="2"/>
    <x v="6"/>
    <x v="2"/>
    <x v="1"/>
    <x v="1"/>
    <x v="0"/>
    <x v="1"/>
    <x v="16"/>
    <x v="1"/>
    <x v="0"/>
    <x v="0"/>
    <x v="4"/>
  </r>
  <r>
    <x v="994"/>
    <x v="136"/>
    <x v="270"/>
    <x v="4"/>
    <x v="6"/>
    <x v="1"/>
    <x v="3"/>
    <x v="3"/>
    <x v="2"/>
    <x v="3"/>
    <x v="3"/>
    <x v="1"/>
    <x v="0"/>
    <x v="0"/>
    <x v="0"/>
  </r>
  <r>
    <x v="995"/>
    <x v="137"/>
    <x v="254"/>
    <x v="7"/>
    <x v="1"/>
    <x v="0"/>
    <x v="2"/>
    <x v="2"/>
    <x v="0"/>
    <x v="2"/>
    <x v="36"/>
    <x v="0"/>
    <x v="1"/>
    <x v="2"/>
    <x v="3"/>
  </r>
  <r>
    <x v="996"/>
    <x v="138"/>
    <x v="491"/>
    <x v="8"/>
    <x v="0"/>
    <x v="1"/>
    <x v="10"/>
    <x v="4"/>
    <x v="2"/>
    <x v="10"/>
    <x v="13"/>
    <x v="1"/>
    <x v="0"/>
    <x v="0"/>
    <x v="1"/>
  </r>
  <r>
    <x v="997"/>
    <x v="138"/>
    <x v="60"/>
    <x v="1"/>
    <x v="0"/>
    <x v="2"/>
    <x v="8"/>
    <x v="2"/>
    <x v="2"/>
    <x v="8"/>
    <x v="10"/>
    <x v="0"/>
    <x v="0"/>
    <x v="0"/>
    <x v="2"/>
  </r>
  <r>
    <x v="998"/>
    <x v="138"/>
    <x v="430"/>
    <x v="3"/>
    <x v="0"/>
    <x v="1"/>
    <x v="4"/>
    <x v="1"/>
    <x v="2"/>
    <x v="4"/>
    <x v="15"/>
    <x v="1"/>
    <x v="0"/>
    <x v="0"/>
    <x v="1"/>
  </r>
  <r>
    <x v="999"/>
    <x v="138"/>
    <x v="72"/>
    <x v="3"/>
    <x v="0"/>
    <x v="0"/>
    <x v="0"/>
    <x v="0"/>
    <x v="0"/>
    <x v="0"/>
    <x v="0"/>
    <x v="0"/>
    <x v="0"/>
    <x v="0"/>
    <x v="2"/>
  </r>
  <r>
    <x v="1000"/>
    <x v="138"/>
    <x v="492"/>
    <x v="2"/>
    <x v="0"/>
    <x v="0"/>
    <x v="11"/>
    <x v="1"/>
    <x v="1"/>
    <x v="11"/>
    <x v="19"/>
    <x v="0"/>
    <x v="0"/>
    <x v="2"/>
    <x v="4"/>
  </r>
  <r>
    <x v="1001"/>
    <x v="139"/>
    <x v="215"/>
    <x v="9"/>
    <x v="1"/>
    <x v="0"/>
    <x v="12"/>
    <x v="4"/>
    <x v="2"/>
    <x v="8"/>
    <x v="10"/>
    <x v="0"/>
    <x v="0"/>
    <x v="1"/>
    <x v="1"/>
  </r>
  <r>
    <x v="1002"/>
    <x v="139"/>
    <x v="493"/>
    <x v="6"/>
    <x v="1"/>
    <x v="2"/>
    <x v="6"/>
    <x v="0"/>
    <x v="0"/>
    <x v="6"/>
    <x v="2"/>
    <x v="1"/>
    <x v="0"/>
    <x v="0"/>
    <x v="3"/>
  </r>
  <r>
    <x v="1003"/>
    <x v="139"/>
    <x v="80"/>
    <x v="8"/>
    <x v="1"/>
    <x v="2"/>
    <x v="7"/>
    <x v="2"/>
    <x v="2"/>
    <x v="7"/>
    <x v="9"/>
    <x v="1"/>
    <x v="0"/>
    <x v="0"/>
    <x v="0"/>
  </r>
  <r>
    <x v="1004"/>
    <x v="140"/>
    <x v="196"/>
    <x v="1"/>
    <x v="4"/>
    <x v="0"/>
    <x v="13"/>
    <x v="0"/>
    <x v="2"/>
    <x v="2"/>
    <x v="2"/>
    <x v="1"/>
    <x v="0"/>
    <x v="0"/>
    <x v="3"/>
  </r>
  <r>
    <x v="1005"/>
    <x v="139"/>
    <x v="8"/>
    <x v="1"/>
    <x v="1"/>
    <x v="1"/>
    <x v="6"/>
    <x v="0"/>
    <x v="2"/>
    <x v="6"/>
    <x v="6"/>
    <x v="1"/>
    <x v="0"/>
    <x v="2"/>
    <x v="2"/>
  </r>
  <r>
    <x v="1006"/>
    <x v="139"/>
    <x v="185"/>
    <x v="1"/>
    <x v="1"/>
    <x v="0"/>
    <x v="1"/>
    <x v="1"/>
    <x v="2"/>
    <x v="1"/>
    <x v="8"/>
    <x v="1"/>
    <x v="0"/>
    <x v="0"/>
    <x v="4"/>
  </r>
  <r>
    <x v="1007"/>
    <x v="139"/>
    <x v="14"/>
    <x v="2"/>
    <x v="1"/>
    <x v="1"/>
    <x v="8"/>
    <x v="2"/>
    <x v="2"/>
    <x v="8"/>
    <x v="36"/>
    <x v="0"/>
    <x v="1"/>
    <x v="1"/>
    <x v="4"/>
  </r>
  <r>
    <x v="1008"/>
    <x v="140"/>
    <x v="437"/>
    <x v="4"/>
    <x v="4"/>
    <x v="0"/>
    <x v="8"/>
    <x v="2"/>
    <x v="2"/>
    <x v="8"/>
    <x v="10"/>
    <x v="0"/>
    <x v="0"/>
    <x v="2"/>
    <x v="0"/>
  </r>
  <r>
    <x v="1009"/>
    <x v="141"/>
    <x v="128"/>
    <x v="7"/>
    <x v="2"/>
    <x v="2"/>
    <x v="0"/>
    <x v="0"/>
    <x v="2"/>
    <x v="0"/>
    <x v="7"/>
    <x v="0"/>
    <x v="0"/>
    <x v="2"/>
    <x v="2"/>
  </r>
  <r>
    <x v="1010"/>
    <x v="141"/>
    <x v="494"/>
    <x v="6"/>
    <x v="2"/>
    <x v="2"/>
    <x v="7"/>
    <x v="2"/>
    <x v="2"/>
    <x v="7"/>
    <x v="3"/>
    <x v="0"/>
    <x v="2"/>
    <x v="0"/>
    <x v="1"/>
  </r>
  <r>
    <x v="1011"/>
    <x v="141"/>
    <x v="485"/>
    <x v="6"/>
    <x v="2"/>
    <x v="0"/>
    <x v="1"/>
    <x v="1"/>
    <x v="2"/>
    <x v="1"/>
    <x v="76"/>
    <x v="1"/>
    <x v="3"/>
    <x v="0"/>
    <x v="1"/>
  </r>
  <r>
    <x v="1012"/>
    <x v="141"/>
    <x v="441"/>
    <x v="5"/>
    <x v="2"/>
    <x v="2"/>
    <x v="6"/>
    <x v="0"/>
    <x v="0"/>
    <x v="6"/>
    <x v="2"/>
    <x v="1"/>
    <x v="0"/>
    <x v="0"/>
    <x v="0"/>
  </r>
  <r>
    <x v="1013"/>
    <x v="141"/>
    <x v="158"/>
    <x v="1"/>
    <x v="2"/>
    <x v="1"/>
    <x v="11"/>
    <x v="1"/>
    <x v="2"/>
    <x v="11"/>
    <x v="45"/>
    <x v="0"/>
    <x v="1"/>
    <x v="0"/>
    <x v="1"/>
  </r>
  <r>
    <x v="1014"/>
    <x v="141"/>
    <x v="113"/>
    <x v="1"/>
    <x v="2"/>
    <x v="2"/>
    <x v="5"/>
    <x v="1"/>
    <x v="1"/>
    <x v="5"/>
    <x v="28"/>
    <x v="1"/>
    <x v="0"/>
    <x v="2"/>
    <x v="3"/>
  </r>
  <r>
    <x v="1015"/>
    <x v="141"/>
    <x v="237"/>
    <x v="1"/>
    <x v="2"/>
    <x v="0"/>
    <x v="3"/>
    <x v="3"/>
    <x v="2"/>
    <x v="3"/>
    <x v="3"/>
    <x v="0"/>
    <x v="0"/>
    <x v="0"/>
    <x v="0"/>
  </r>
  <r>
    <x v="1016"/>
    <x v="141"/>
    <x v="197"/>
    <x v="2"/>
    <x v="2"/>
    <x v="2"/>
    <x v="0"/>
    <x v="0"/>
    <x v="2"/>
    <x v="0"/>
    <x v="7"/>
    <x v="1"/>
    <x v="0"/>
    <x v="0"/>
    <x v="0"/>
  </r>
  <r>
    <x v="1017"/>
    <x v="142"/>
    <x v="218"/>
    <x v="7"/>
    <x v="3"/>
    <x v="2"/>
    <x v="5"/>
    <x v="1"/>
    <x v="2"/>
    <x v="5"/>
    <x v="5"/>
    <x v="1"/>
    <x v="0"/>
    <x v="0"/>
    <x v="4"/>
  </r>
  <r>
    <x v="1018"/>
    <x v="142"/>
    <x v="255"/>
    <x v="7"/>
    <x v="3"/>
    <x v="1"/>
    <x v="1"/>
    <x v="1"/>
    <x v="2"/>
    <x v="1"/>
    <x v="8"/>
    <x v="1"/>
    <x v="0"/>
    <x v="3"/>
    <x v="4"/>
  </r>
  <r>
    <x v="1019"/>
    <x v="142"/>
    <x v="41"/>
    <x v="3"/>
    <x v="3"/>
    <x v="1"/>
    <x v="10"/>
    <x v="4"/>
    <x v="2"/>
    <x v="10"/>
    <x v="13"/>
    <x v="1"/>
    <x v="0"/>
    <x v="2"/>
    <x v="3"/>
  </r>
  <r>
    <x v="1020"/>
    <x v="142"/>
    <x v="295"/>
    <x v="2"/>
    <x v="3"/>
    <x v="1"/>
    <x v="7"/>
    <x v="2"/>
    <x v="0"/>
    <x v="7"/>
    <x v="12"/>
    <x v="1"/>
    <x v="0"/>
    <x v="1"/>
    <x v="1"/>
  </r>
  <r>
    <x v="1021"/>
    <x v="143"/>
    <x v="86"/>
    <x v="2"/>
    <x v="2"/>
    <x v="0"/>
    <x v="14"/>
    <x v="3"/>
    <x v="2"/>
    <x v="14"/>
    <x v="25"/>
    <x v="0"/>
    <x v="0"/>
    <x v="0"/>
    <x v="2"/>
  </r>
  <r>
    <x v="1022"/>
    <x v="142"/>
    <x v="495"/>
    <x v="4"/>
    <x v="3"/>
    <x v="0"/>
    <x v="0"/>
    <x v="0"/>
    <x v="2"/>
    <x v="0"/>
    <x v="7"/>
    <x v="0"/>
    <x v="0"/>
    <x v="2"/>
    <x v="1"/>
  </r>
  <r>
    <x v="1023"/>
    <x v="144"/>
    <x v="496"/>
    <x v="12"/>
    <x v="4"/>
    <x v="0"/>
    <x v="7"/>
    <x v="2"/>
    <x v="2"/>
    <x v="7"/>
    <x v="9"/>
    <x v="1"/>
    <x v="0"/>
    <x v="2"/>
    <x v="1"/>
  </r>
  <r>
    <x v="1024"/>
    <x v="144"/>
    <x v="497"/>
    <x v="6"/>
    <x v="4"/>
    <x v="0"/>
    <x v="0"/>
    <x v="0"/>
    <x v="2"/>
    <x v="0"/>
    <x v="7"/>
    <x v="0"/>
    <x v="0"/>
    <x v="0"/>
    <x v="0"/>
  </r>
  <r>
    <x v="1025"/>
    <x v="144"/>
    <x v="344"/>
    <x v="8"/>
    <x v="4"/>
    <x v="2"/>
    <x v="1"/>
    <x v="1"/>
    <x v="2"/>
    <x v="1"/>
    <x v="67"/>
    <x v="0"/>
    <x v="1"/>
    <x v="0"/>
    <x v="2"/>
  </r>
  <r>
    <x v="1026"/>
    <x v="144"/>
    <x v="434"/>
    <x v="8"/>
    <x v="4"/>
    <x v="2"/>
    <x v="6"/>
    <x v="0"/>
    <x v="2"/>
    <x v="6"/>
    <x v="60"/>
    <x v="0"/>
    <x v="3"/>
    <x v="3"/>
    <x v="0"/>
  </r>
  <r>
    <x v="1027"/>
    <x v="145"/>
    <x v="26"/>
    <x v="5"/>
    <x v="5"/>
    <x v="1"/>
    <x v="9"/>
    <x v="3"/>
    <x v="0"/>
    <x v="7"/>
    <x v="12"/>
    <x v="1"/>
    <x v="0"/>
    <x v="2"/>
    <x v="4"/>
  </r>
  <r>
    <x v="1028"/>
    <x v="144"/>
    <x v="175"/>
    <x v="5"/>
    <x v="4"/>
    <x v="1"/>
    <x v="9"/>
    <x v="3"/>
    <x v="1"/>
    <x v="7"/>
    <x v="67"/>
    <x v="1"/>
    <x v="1"/>
    <x v="0"/>
    <x v="3"/>
  </r>
  <r>
    <x v="1029"/>
    <x v="144"/>
    <x v="157"/>
    <x v="1"/>
    <x v="4"/>
    <x v="2"/>
    <x v="7"/>
    <x v="2"/>
    <x v="2"/>
    <x v="7"/>
    <x v="9"/>
    <x v="0"/>
    <x v="0"/>
    <x v="1"/>
    <x v="1"/>
  </r>
  <r>
    <x v="1030"/>
    <x v="144"/>
    <x v="122"/>
    <x v="1"/>
    <x v="4"/>
    <x v="1"/>
    <x v="7"/>
    <x v="2"/>
    <x v="1"/>
    <x v="7"/>
    <x v="8"/>
    <x v="0"/>
    <x v="0"/>
    <x v="0"/>
    <x v="3"/>
  </r>
  <r>
    <x v="1031"/>
    <x v="144"/>
    <x v="9"/>
    <x v="3"/>
    <x v="4"/>
    <x v="2"/>
    <x v="7"/>
    <x v="2"/>
    <x v="2"/>
    <x v="7"/>
    <x v="9"/>
    <x v="0"/>
    <x v="0"/>
    <x v="0"/>
    <x v="2"/>
  </r>
  <r>
    <x v="1032"/>
    <x v="144"/>
    <x v="466"/>
    <x v="3"/>
    <x v="4"/>
    <x v="1"/>
    <x v="6"/>
    <x v="0"/>
    <x v="1"/>
    <x v="6"/>
    <x v="25"/>
    <x v="1"/>
    <x v="0"/>
    <x v="0"/>
    <x v="2"/>
  </r>
  <r>
    <x v="1033"/>
    <x v="144"/>
    <x v="162"/>
    <x v="3"/>
    <x v="4"/>
    <x v="0"/>
    <x v="5"/>
    <x v="1"/>
    <x v="2"/>
    <x v="5"/>
    <x v="5"/>
    <x v="1"/>
    <x v="0"/>
    <x v="1"/>
    <x v="4"/>
  </r>
  <r>
    <x v="1034"/>
    <x v="144"/>
    <x v="131"/>
    <x v="2"/>
    <x v="4"/>
    <x v="0"/>
    <x v="11"/>
    <x v="1"/>
    <x v="2"/>
    <x v="11"/>
    <x v="24"/>
    <x v="0"/>
    <x v="0"/>
    <x v="0"/>
    <x v="2"/>
  </r>
  <r>
    <x v="1035"/>
    <x v="146"/>
    <x v="181"/>
    <x v="7"/>
    <x v="0"/>
    <x v="0"/>
    <x v="6"/>
    <x v="0"/>
    <x v="2"/>
    <x v="6"/>
    <x v="6"/>
    <x v="0"/>
    <x v="0"/>
    <x v="0"/>
    <x v="0"/>
  </r>
  <r>
    <x v="1036"/>
    <x v="147"/>
    <x v="498"/>
    <x v="0"/>
    <x v="5"/>
    <x v="0"/>
    <x v="8"/>
    <x v="2"/>
    <x v="2"/>
    <x v="8"/>
    <x v="10"/>
    <x v="1"/>
    <x v="0"/>
    <x v="0"/>
    <x v="2"/>
  </r>
  <r>
    <x v="1037"/>
    <x v="147"/>
    <x v="499"/>
    <x v="12"/>
    <x v="5"/>
    <x v="2"/>
    <x v="4"/>
    <x v="1"/>
    <x v="0"/>
    <x v="4"/>
    <x v="35"/>
    <x v="1"/>
    <x v="0"/>
    <x v="1"/>
    <x v="2"/>
  </r>
  <r>
    <x v="1038"/>
    <x v="147"/>
    <x v="484"/>
    <x v="11"/>
    <x v="5"/>
    <x v="0"/>
    <x v="4"/>
    <x v="1"/>
    <x v="2"/>
    <x v="4"/>
    <x v="15"/>
    <x v="0"/>
    <x v="0"/>
    <x v="0"/>
    <x v="4"/>
  </r>
  <r>
    <x v="1039"/>
    <x v="147"/>
    <x v="500"/>
    <x v="6"/>
    <x v="5"/>
    <x v="0"/>
    <x v="0"/>
    <x v="0"/>
    <x v="2"/>
    <x v="0"/>
    <x v="7"/>
    <x v="0"/>
    <x v="0"/>
    <x v="0"/>
    <x v="4"/>
  </r>
  <r>
    <x v="1040"/>
    <x v="147"/>
    <x v="501"/>
    <x v="6"/>
    <x v="5"/>
    <x v="0"/>
    <x v="0"/>
    <x v="0"/>
    <x v="2"/>
    <x v="0"/>
    <x v="7"/>
    <x v="0"/>
    <x v="0"/>
    <x v="0"/>
    <x v="2"/>
  </r>
  <r>
    <x v="1041"/>
    <x v="147"/>
    <x v="27"/>
    <x v="5"/>
    <x v="5"/>
    <x v="2"/>
    <x v="6"/>
    <x v="0"/>
    <x v="2"/>
    <x v="6"/>
    <x v="6"/>
    <x v="0"/>
    <x v="0"/>
    <x v="0"/>
    <x v="1"/>
  </r>
  <r>
    <x v="1042"/>
    <x v="147"/>
    <x v="358"/>
    <x v="1"/>
    <x v="5"/>
    <x v="1"/>
    <x v="6"/>
    <x v="0"/>
    <x v="0"/>
    <x v="6"/>
    <x v="2"/>
    <x v="1"/>
    <x v="0"/>
    <x v="2"/>
    <x v="3"/>
  </r>
  <r>
    <x v="1043"/>
    <x v="147"/>
    <x v="55"/>
    <x v="3"/>
    <x v="5"/>
    <x v="2"/>
    <x v="4"/>
    <x v="1"/>
    <x v="1"/>
    <x v="4"/>
    <x v="77"/>
    <x v="1"/>
    <x v="1"/>
    <x v="1"/>
    <x v="4"/>
  </r>
  <r>
    <x v="1044"/>
    <x v="147"/>
    <x v="420"/>
    <x v="3"/>
    <x v="5"/>
    <x v="0"/>
    <x v="5"/>
    <x v="1"/>
    <x v="2"/>
    <x v="5"/>
    <x v="5"/>
    <x v="0"/>
    <x v="0"/>
    <x v="0"/>
    <x v="4"/>
  </r>
  <r>
    <x v="1045"/>
    <x v="147"/>
    <x v="466"/>
    <x v="3"/>
    <x v="5"/>
    <x v="1"/>
    <x v="8"/>
    <x v="2"/>
    <x v="0"/>
    <x v="8"/>
    <x v="21"/>
    <x v="1"/>
    <x v="0"/>
    <x v="0"/>
    <x v="4"/>
  </r>
  <r>
    <x v="1046"/>
    <x v="147"/>
    <x v="125"/>
    <x v="2"/>
    <x v="5"/>
    <x v="1"/>
    <x v="10"/>
    <x v="4"/>
    <x v="0"/>
    <x v="10"/>
    <x v="42"/>
    <x v="0"/>
    <x v="1"/>
    <x v="0"/>
    <x v="4"/>
  </r>
  <r>
    <x v="1047"/>
    <x v="147"/>
    <x v="359"/>
    <x v="2"/>
    <x v="5"/>
    <x v="0"/>
    <x v="5"/>
    <x v="1"/>
    <x v="0"/>
    <x v="5"/>
    <x v="51"/>
    <x v="0"/>
    <x v="2"/>
    <x v="1"/>
    <x v="1"/>
  </r>
  <r>
    <x v="1048"/>
    <x v="148"/>
    <x v="502"/>
    <x v="7"/>
    <x v="6"/>
    <x v="2"/>
    <x v="5"/>
    <x v="1"/>
    <x v="0"/>
    <x v="5"/>
    <x v="17"/>
    <x v="0"/>
    <x v="0"/>
    <x v="0"/>
    <x v="2"/>
  </r>
  <r>
    <x v="1049"/>
    <x v="148"/>
    <x v="473"/>
    <x v="0"/>
    <x v="6"/>
    <x v="0"/>
    <x v="1"/>
    <x v="1"/>
    <x v="2"/>
    <x v="1"/>
    <x v="8"/>
    <x v="0"/>
    <x v="0"/>
    <x v="0"/>
    <x v="4"/>
  </r>
  <r>
    <x v="1050"/>
    <x v="148"/>
    <x v="262"/>
    <x v="0"/>
    <x v="6"/>
    <x v="0"/>
    <x v="2"/>
    <x v="2"/>
    <x v="2"/>
    <x v="2"/>
    <x v="30"/>
    <x v="0"/>
    <x v="1"/>
    <x v="2"/>
    <x v="4"/>
  </r>
  <r>
    <x v="1051"/>
    <x v="148"/>
    <x v="106"/>
    <x v="8"/>
    <x v="6"/>
    <x v="2"/>
    <x v="8"/>
    <x v="2"/>
    <x v="2"/>
    <x v="8"/>
    <x v="10"/>
    <x v="0"/>
    <x v="0"/>
    <x v="0"/>
    <x v="0"/>
  </r>
  <r>
    <x v="1052"/>
    <x v="148"/>
    <x v="175"/>
    <x v="5"/>
    <x v="6"/>
    <x v="0"/>
    <x v="8"/>
    <x v="2"/>
    <x v="2"/>
    <x v="8"/>
    <x v="10"/>
    <x v="1"/>
    <x v="0"/>
    <x v="2"/>
    <x v="1"/>
  </r>
  <r>
    <x v="1053"/>
    <x v="148"/>
    <x v="66"/>
    <x v="1"/>
    <x v="6"/>
    <x v="0"/>
    <x v="14"/>
    <x v="3"/>
    <x v="0"/>
    <x v="14"/>
    <x v="40"/>
    <x v="1"/>
    <x v="0"/>
    <x v="0"/>
    <x v="1"/>
  </r>
  <r>
    <x v="1054"/>
    <x v="148"/>
    <x v="419"/>
    <x v="1"/>
    <x v="6"/>
    <x v="0"/>
    <x v="6"/>
    <x v="0"/>
    <x v="2"/>
    <x v="6"/>
    <x v="6"/>
    <x v="0"/>
    <x v="0"/>
    <x v="0"/>
    <x v="0"/>
  </r>
  <r>
    <x v="1055"/>
    <x v="148"/>
    <x v="296"/>
    <x v="2"/>
    <x v="6"/>
    <x v="1"/>
    <x v="11"/>
    <x v="1"/>
    <x v="0"/>
    <x v="11"/>
    <x v="78"/>
    <x v="0"/>
    <x v="2"/>
    <x v="0"/>
    <x v="4"/>
  </r>
  <r>
    <x v="1056"/>
    <x v="148"/>
    <x v="480"/>
    <x v="2"/>
    <x v="6"/>
    <x v="0"/>
    <x v="7"/>
    <x v="2"/>
    <x v="2"/>
    <x v="7"/>
    <x v="9"/>
    <x v="1"/>
    <x v="0"/>
    <x v="2"/>
    <x v="2"/>
  </r>
  <r>
    <x v="1057"/>
    <x v="148"/>
    <x v="124"/>
    <x v="2"/>
    <x v="6"/>
    <x v="0"/>
    <x v="7"/>
    <x v="2"/>
    <x v="2"/>
    <x v="7"/>
    <x v="9"/>
    <x v="1"/>
    <x v="0"/>
    <x v="0"/>
    <x v="4"/>
  </r>
  <r>
    <x v="1058"/>
    <x v="148"/>
    <x v="369"/>
    <x v="2"/>
    <x v="6"/>
    <x v="1"/>
    <x v="2"/>
    <x v="2"/>
    <x v="2"/>
    <x v="2"/>
    <x v="57"/>
    <x v="0"/>
    <x v="2"/>
    <x v="0"/>
    <x v="1"/>
  </r>
  <r>
    <x v="1059"/>
    <x v="149"/>
    <x v="503"/>
    <x v="9"/>
    <x v="0"/>
    <x v="0"/>
    <x v="1"/>
    <x v="1"/>
    <x v="2"/>
    <x v="1"/>
    <x v="8"/>
    <x v="1"/>
    <x v="0"/>
    <x v="0"/>
    <x v="4"/>
  </r>
  <r>
    <x v="1060"/>
    <x v="149"/>
    <x v="504"/>
    <x v="0"/>
    <x v="0"/>
    <x v="0"/>
    <x v="11"/>
    <x v="1"/>
    <x v="0"/>
    <x v="11"/>
    <x v="39"/>
    <x v="0"/>
    <x v="0"/>
    <x v="2"/>
    <x v="4"/>
  </r>
  <r>
    <x v="1061"/>
    <x v="149"/>
    <x v="7"/>
    <x v="1"/>
    <x v="0"/>
    <x v="0"/>
    <x v="2"/>
    <x v="2"/>
    <x v="1"/>
    <x v="2"/>
    <x v="40"/>
    <x v="1"/>
    <x v="0"/>
    <x v="2"/>
    <x v="0"/>
  </r>
  <r>
    <x v="1062"/>
    <x v="149"/>
    <x v="184"/>
    <x v="1"/>
    <x v="0"/>
    <x v="0"/>
    <x v="11"/>
    <x v="1"/>
    <x v="2"/>
    <x v="11"/>
    <x v="24"/>
    <x v="1"/>
    <x v="0"/>
    <x v="0"/>
    <x v="0"/>
  </r>
  <r>
    <x v="1063"/>
    <x v="149"/>
    <x v="242"/>
    <x v="1"/>
    <x v="0"/>
    <x v="0"/>
    <x v="11"/>
    <x v="1"/>
    <x v="0"/>
    <x v="11"/>
    <x v="39"/>
    <x v="0"/>
    <x v="0"/>
    <x v="0"/>
    <x v="3"/>
  </r>
  <r>
    <x v="1064"/>
    <x v="149"/>
    <x v="107"/>
    <x v="3"/>
    <x v="0"/>
    <x v="1"/>
    <x v="5"/>
    <x v="1"/>
    <x v="2"/>
    <x v="5"/>
    <x v="5"/>
    <x v="1"/>
    <x v="0"/>
    <x v="2"/>
    <x v="2"/>
  </r>
  <r>
    <x v="1065"/>
    <x v="149"/>
    <x v="186"/>
    <x v="3"/>
    <x v="0"/>
    <x v="2"/>
    <x v="8"/>
    <x v="2"/>
    <x v="2"/>
    <x v="8"/>
    <x v="43"/>
    <x v="1"/>
    <x v="3"/>
    <x v="0"/>
    <x v="2"/>
  </r>
  <r>
    <x v="1066"/>
    <x v="149"/>
    <x v="125"/>
    <x v="2"/>
    <x v="0"/>
    <x v="0"/>
    <x v="6"/>
    <x v="0"/>
    <x v="2"/>
    <x v="6"/>
    <x v="6"/>
    <x v="1"/>
    <x v="0"/>
    <x v="0"/>
    <x v="1"/>
  </r>
  <r>
    <x v="1067"/>
    <x v="149"/>
    <x v="359"/>
    <x v="2"/>
    <x v="0"/>
    <x v="0"/>
    <x v="4"/>
    <x v="1"/>
    <x v="0"/>
    <x v="4"/>
    <x v="61"/>
    <x v="1"/>
    <x v="3"/>
    <x v="0"/>
    <x v="0"/>
  </r>
  <r>
    <x v="1068"/>
    <x v="150"/>
    <x v="300"/>
    <x v="5"/>
    <x v="1"/>
    <x v="1"/>
    <x v="5"/>
    <x v="1"/>
    <x v="2"/>
    <x v="5"/>
    <x v="5"/>
    <x v="1"/>
    <x v="0"/>
    <x v="0"/>
    <x v="0"/>
  </r>
  <r>
    <x v="1069"/>
    <x v="150"/>
    <x v="179"/>
    <x v="3"/>
    <x v="1"/>
    <x v="0"/>
    <x v="0"/>
    <x v="0"/>
    <x v="2"/>
    <x v="0"/>
    <x v="7"/>
    <x v="1"/>
    <x v="0"/>
    <x v="0"/>
    <x v="0"/>
  </r>
  <r>
    <x v="1070"/>
    <x v="150"/>
    <x v="238"/>
    <x v="3"/>
    <x v="1"/>
    <x v="0"/>
    <x v="6"/>
    <x v="0"/>
    <x v="2"/>
    <x v="6"/>
    <x v="6"/>
    <x v="1"/>
    <x v="0"/>
    <x v="0"/>
    <x v="3"/>
  </r>
  <r>
    <x v="1071"/>
    <x v="150"/>
    <x v="296"/>
    <x v="2"/>
    <x v="1"/>
    <x v="0"/>
    <x v="2"/>
    <x v="2"/>
    <x v="2"/>
    <x v="2"/>
    <x v="2"/>
    <x v="0"/>
    <x v="0"/>
    <x v="2"/>
    <x v="3"/>
  </r>
  <r>
    <x v="1072"/>
    <x v="150"/>
    <x v="288"/>
    <x v="2"/>
    <x v="1"/>
    <x v="0"/>
    <x v="6"/>
    <x v="0"/>
    <x v="2"/>
    <x v="6"/>
    <x v="6"/>
    <x v="0"/>
    <x v="0"/>
    <x v="0"/>
    <x v="4"/>
  </r>
  <r>
    <x v="1073"/>
    <x v="150"/>
    <x v="152"/>
    <x v="4"/>
    <x v="1"/>
    <x v="1"/>
    <x v="8"/>
    <x v="2"/>
    <x v="1"/>
    <x v="8"/>
    <x v="5"/>
    <x v="0"/>
    <x v="0"/>
    <x v="0"/>
    <x v="3"/>
  </r>
  <r>
    <x v="1074"/>
    <x v="151"/>
    <x v="505"/>
    <x v="6"/>
    <x v="2"/>
    <x v="1"/>
    <x v="3"/>
    <x v="3"/>
    <x v="0"/>
    <x v="3"/>
    <x v="14"/>
    <x v="0"/>
    <x v="0"/>
    <x v="0"/>
    <x v="3"/>
  </r>
  <r>
    <x v="1075"/>
    <x v="151"/>
    <x v="75"/>
    <x v="4"/>
    <x v="2"/>
    <x v="1"/>
    <x v="10"/>
    <x v="4"/>
    <x v="2"/>
    <x v="10"/>
    <x v="13"/>
    <x v="1"/>
    <x v="0"/>
    <x v="0"/>
    <x v="1"/>
  </r>
  <r>
    <x v="1076"/>
    <x v="152"/>
    <x v="77"/>
    <x v="7"/>
    <x v="3"/>
    <x v="2"/>
    <x v="10"/>
    <x v="4"/>
    <x v="2"/>
    <x v="10"/>
    <x v="13"/>
    <x v="1"/>
    <x v="0"/>
    <x v="0"/>
    <x v="0"/>
  </r>
  <r>
    <x v="1077"/>
    <x v="152"/>
    <x v="192"/>
    <x v="12"/>
    <x v="3"/>
    <x v="0"/>
    <x v="3"/>
    <x v="3"/>
    <x v="2"/>
    <x v="3"/>
    <x v="3"/>
    <x v="1"/>
    <x v="0"/>
    <x v="2"/>
    <x v="2"/>
  </r>
  <r>
    <x v="1078"/>
    <x v="152"/>
    <x v="44"/>
    <x v="5"/>
    <x v="3"/>
    <x v="2"/>
    <x v="4"/>
    <x v="1"/>
    <x v="2"/>
    <x v="4"/>
    <x v="15"/>
    <x v="1"/>
    <x v="0"/>
    <x v="0"/>
    <x v="3"/>
  </r>
  <r>
    <x v="1079"/>
    <x v="152"/>
    <x v="168"/>
    <x v="3"/>
    <x v="3"/>
    <x v="0"/>
    <x v="13"/>
    <x v="0"/>
    <x v="2"/>
    <x v="2"/>
    <x v="2"/>
    <x v="0"/>
    <x v="0"/>
    <x v="1"/>
    <x v="0"/>
  </r>
  <r>
    <x v="1080"/>
    <x v="152"/>
    <x v="85"/>
    <x v="3"/>
    <x v="3"/>
    <x v="0"/>
    <x v="2"/>
    <x v="2"/>
    <x v="2"/>
    <x v="2"/>
    <x v="2"/>
    <x v="0"/>
    <x v="0"/>
    <x v="0"/>
    <x v="2"/>
  </r>
  <r>
    <x v="1081"/>
    <x v="152"/>
    <x v="131"/>
    <x v="2"/>
    <x v="3"/>
    <x v="1"/>
    <x v="6"/>
    <x v="0"/>
    <x v="2"/>
    <x v="6"/>
    <x v="6"/>
    <x v="0"/>
    <x v="0"/>
    <x v="0"/>
    <x v="1"/>
  </r>
  <r>
    <x v="1082"/>
    <x v="152"/>
    <x v="506"/>
    <x v="4"/>
    <x v="3"/>
    <x v="1"/>
    <x v="7"/>
    <x v="2"/>
    <x v="2"/>
    <x v="7"/>
    <x v="9"/>
    <x v="0"/>
    <x v="0"/>
    <x v="0"/>
    <x v="4"/>
  </r>
  <r>
    <x v="1083"/>
    <x v="153"/>
    <x v="378"/>
    <x v="0"/>
    <x v="4"/>
    <x v="2"/>
    <x v="3"/>
    <x v="3"/>
    <x v="0"/>
    <x v="3"/>
    <x v="14"/>
    <x v="0"/>
    <x v="0"/>
    <x v="0"/>
    <x v="2"/>
  </r>
  <r>
    <x v="1084"/>
    <x v="153"/>
    <x v="507"/>
    <x v="0"/>
    <x v="4"/>
    <x v="2"/>
    <x v="0"/>
    <x v="0"/>
    <x v="2"/>
    <x v="0"/>
    <x v="7"/>
    <x v="0"/>
    <x v="0"/>
    <x v="3"/>
    <x v="4"/>
  </r>
  <r>
    <x v="1085"/>
    <x v="153"/>
    <x v="151"/>
    <x v="8"/>
    <x v="4"/>
    <x v="1"/>
    <x v="7"/>
    <x v="2"/>
    <x v="2"/>
    <x v="7"/>
    <x v="25"/>
    <x v="0"/>
    <x v="1"/>
    <x v="0"/>
    <x v="0"/>
  </r>
  <r>
    <x v="1086"/>
    <x v="153"/>
    <x v="508"/>
    <x v="5"/>
    <x v="4"/>
    <x v="1"/>
    <x v="11"/>
    <x v="1"/>
    <x v="2"/>
    <x v="11"/>
    <x v="34"/>
    <x v="1"/>
    <x v="3"/>
    <x v="0"/>
    <x v="2"/>
  </r>
  <r>
    <x v="1087"/>
    <x v="153"/>
    <x v="234"/>
    <x v="5"/>
    <x v="4"/>
    <x v="1"/>
    <x v="7"/>
    <x v="2"/>
    <x v="0"/>
    <x v="7"/>
    <x v="22"/>
    <x v="1"/>
    <x v="3"/>
    <x v="0"/>
    <x v="4"/>
  </r>
  <r>
    <x v="1088"/>
    <x v="153"/>
    <x v="172"/>
    <x v="3"/>
    <x v="4"/>
    <x v="2"/>
    <x v="0"/>
    <x v="0"/>
    <x v="2"/>
    <x v="0"/>
    <x v="7"/>
    <x v="1"/>
    <x v="0"/>
    <x v="0"/>
    <x v="0"/>
  </r>
  <r>
    <x v="1089"/>
    <x v="153"/>
    <x v="134"/>
    <x v="2"/>
    <x v="4"/>
    <x v="2"/>
    <x v="4"/>
    <x v="1"/>
    <x v="2"/>
    <x v="4"/>
    <x v="52"/>
    <x v="0"/>
    <x v="3"/>
    <x v="2"/>
    <x v="4"/>
  </r>
  <r>
    <x v="1090"/>
    <x v="153"/>
    <x v="14"/>
    <x v="2"/>
    <x v="4"/>
    <x v="0"/>
    <x v="7"/>
    <x v="2"/>
    <x v="2"/>
    <x v="7"/>
    <x v="9"/>
    <x v="0"/>
    <x v="0"/>
    <x v="0"/>
    <x v="0"/>
  </r>
  <r>
    <x v="1091"/>
    <x v="154"/>
    <x v="165"/>
    <x v="10"/>
    <x v="5"/>
    <x v="0"/>
    <x v="2"/>
    <x v="2"/>
    <x v="1"/>
    <x v="2"/>
    <x v="79"/>
    <x v="1"/>
    <x v="3"/>
    <x v="2"/>
    <x v="0"/>
  </r>
  <r>
    <x v="1092"/>
    <x v="154"/>
    <x v="455"/>
    <x v="0"/>
    <x v="5"/>
    <x v="0"/>
    <x v="6"/>
    <x v="0"/>
    <x v="2"/>
    <x v="6"/>
    <x v="6"/>
    <x v="0"/>
    <x v="0"/>
    <x v="3"/>
    <x v="2"/>
  </r>
  <r>
    <x v="1093"/>
    <x v="154"/>
    <x v="94"/>
    <x v="0"/>
    <x v="5"/>
    <x v="1"/>
    <x v="3"/>
    <x v="3"/>
    <x v="2"/>
    <x v="3"/>
    <x v="3"/>
    <x v="0"/>
    <x v="0"/>
    <x v="1"/>
    <x v="3"/>
  </r>
  <r>
    <x v="1094"/>
    <x v="154"/>
    <x v="509"/>
    <x v="12"/>
    <x v="5"/>
    <x v="2"/>
    <x v="4"/>
    <x v="1"/>
    <x v="2"/>
    <x v="4"/>
    <x v="15"/>
    <x v="1"/>
    <x v="0"/>
    <x v="0"/>
    <x v="3"/>
  </r>
  <r>
    <x v="1095"/>
    <x v="154"/>
    <x v="510"/>
    <x v="11"/>
    <x v="5"/>
    <x v="2"/>
    <x v="3"/>
    <x v="3"/>
    <x v="2"/>
    <x v="3"/>
    <x v="3"/>
    <x v="1"/>
    <x v="0"/>
    <x v="2"/>
    <x v="0"/>
  </r>
  <r>
    <x v="1096"/>
    <x v="154"/>
    <x v="508"/>
    <x v="5"/>
    <x v="5"/>
    <x v="2"/>
    <x v="11"/>
    <x v="1"/>
    <x v="2"/>
    <x v="11"/>
    <x v="24"/>
    <x v="0"/>
    <x v="0"/>
    <x v="0"/>
    <x v="4"/>
  </r>
  <r>
    <x v="1097"/>
    <x v="154"/>
    <x v="54"/>
    <x v="1"/>
    <x v="5"/>
    <x v="0"/>
    <x v="5"/>
    <x v="1"/>
    <x v="0"/>
    <x v="5"/>
    <x v="17"/>
    <x v="0"/>
    <x v="0"/>
    <x v="0"/>
    <x v="1"/>
  </r>
  <r>
    <x v="1098"/>
    <x v="154"/>
    <x v="114"/>
    <x v="1"/>
    <x v="5"/>
    <x v="2"/>
    <x v="10"/>
    <x v="4"/>
    <x v="0"/>
    <x v="10"/>
    <x v="32"/>
    <x v="1"/>
    <x v="0"/>
    <x v="0"/>
    <x v="2"/>
  </r>
  <r>
    <x v="1099"/>
    <x v="154"/>
    <x v="55"/>
    <x v="3"/>
    <x v="5"/>
    <x v="1"/>
    <x v="3"/>
    <x v="3"/>
    <x v="2"/>
    <x v="3"/>
    <x v="3"/>
    <x v="1"/>
    <x v="0"/>
    <x v="0"/>
    <x v="1"/>
  </r>
  <r>
    <x v="1100"/>
    <x v="154"/>
    <x v="277"/>
    <x v="3"/>
    <x v="5"/>
    <x v="1"/>
    <x v="7"/>
    <x v="2"/>
    <x v="2"/>
    <x v="7"/>
    <x v="9"/>
    <x v="0"/>
    <x v="0"/>
    <x v="0"/>
    <x v="1"/>
  </r>
  <r>
    <x v="1101"/>
    <x v="154"/>
    <x v="301"/>
    <x v="3"/>
    <x v="5"/>
    <x v="1"/>
    <x v="6"/>
    <x v="0"/>
    <x v="2"/>
    <x v="6"/>
    <x v="6"/>
    <x v="0"/>
    <x v="0"/>
    <x v="0"/>
    <x v="4"/>
  </r>
  <r>
    <x v="1102"/>
    <x v="154"/>
    <x v="72"/>
    <x v="3"/>
    <x v="5"/>
    <x v="0"/>
    <x v="0"/>
    <x v="0"/>
    <x v="2"/>
    <x v="0"/>
    <x v="7"/>
    <x v="1"/>
    <x v="0"/>
    <x v="1"/>
    <x v="2"/>
  </r>
  <r>
    <x v="1103"/>
    <x v="155"/>
    <x v="190"/>
    <x v="7"/>
    <x v="6"/>
    <x v="2"/>
    <x v="6"/>
    <x v="0"/>
    <x v="0"/>
    <x v="6"/>
    <x v="2"/>
    <x v="0"/>
    <x v="0"/>
    <x v="0"/>
    <x v="2"/>
  </r>
  <r>
    <x v="1104"/>
    <x v="155"/>
    <x v="511"/>
    <x v="8"/>
    <x v="6"/>
    <x v="0"/>
    <x v="0"/>
    <x v="0"/>
    <x v="0"/>
    <x v="0"/>
    <x v="0"/>
    <x v="1"/>
    <x v="0"/>
    <x v="2"/>
    <x v="3"/>
  </r>
  <r>
    <x v="1105"/>
    <x v="155"/>
    <x v="338"/>
    <x v="5"/>
    <x v="6"/>
    <x v="0"/>
    <x v="4"/>
    <x v="1"/>
    <x v="2"/>
    <x v="4"/>
    <x v="15"/>
    <x v="0"/>
    <x v="0"/>
    <x v="1"/>
    <x v="4"/>
  </r>
  <r>
    <x v="1106"/>
    <x v="155"/>
    <x v="12"/>
    <x v="1"/>
    <x v="6"/>
    <x v="0"/>
    <x v="6"/>
    <x v="0"/>
    <x v="2"/>
    <x v="6"/>
    <x v="56"/>
    <x v="1"/>
    <x v="1"/>
    <x v="0"/>
    <x v="4"/>
  </r>
  <r>
    <x v="1107"/>
    <x v="155"/>
    <x v="235"/>
    <x v="1"/>
    <x v="6"/>
    <x v="1"/>
    <x v="11"/>
    <x v="1"/>
    <x v="2"/>
    <x v="11"/>
    <x v="24"/>
    <x v="0"/>
    <x v="0"/>
    <x v="0"/>
    <x v="3"/>
  </r>
  <r>
    <x v="1108"/>
    <x v="156"/>
    <x v="512"/>
    <x v="6"/>
    <x v="0"/>
    <x v="1"/>
    <x v="8"/>
    <x v="2"/>
    <x v="2"/>
    <x v="8"/>
    <x v="36"/>
    <x v="0"/>
    <x v="1"/>
    <x v="3"/>
    <x v="4"/>
  </r>
  <r>
    <x v="1109"/>
    <x v="155"/>
    <x v="429"/>
    <x v="3"/>
    <x v="6"/>
    <x v="1"/>
    <x v="3"/>
    <x v="3"/>
    <x v="2"/>
    <x v="3"/>
    <x v="3"/>
    <x v="0"/>
    <x v="0"/>
    <x v="0"/>
    <x v="3"/>
  </r>
  <r>
    <x v="1110"/>
    <x v="155"/>
    <x v="506"/>
    <x v="4"/>
    <x v="6"/>
    <x v="0"/>
    <x v="0"/>
    <x v="0"/>
    <x v="2"/>
    <x v="0"/>
    <x v="7"/>
    <x v="0"/>
    <x v="0"/>
    <x v="3"/>
    <x v="4"/>
  </r>
  <r>
    <x v="1111"/>
    <x v="155"/>
    <x v="282"/>
    <x v="1"/>
    <x v="6"/>
    <x v="2"/>
    <x v="2"/>
    <x v="2"/>
    <x v="0"/>
    <x v="2"/>
    <x v="10"/>
    <x v="1"/>
    <x v="0"/>
    <x v="0"/>
    <x v="4"/>
  </r>
  <r>
    <x v="1112"/>
    <x v="156"/>
    <x v="129"/>
    <x v="5"/>
    <x v="0"/>
    <x v="1"/>
    <x v="7"/>
    <x v="2"/>
    <x v="2"/>
    <x v="7"/>
    <x v="9"/>
    <x v="0"/>
    <x v="0"/>
    <x v="0"/>
    <x v="0"/>
  </r>
  <r>
    <x v="1113"/>
    <x v="156"/>
    <x v="226"/>
    <x v="5"/>
    <x v="0"/>
    <x v="0"/>
    <x v="0"/>
    <x v="0"/>
    <x v="2"/>
    <x v="0"/>
    <x v="7"/>
    <x v="0"/>
    <x v="0"/>
    <x v="2"/>
    <x v="0"/>
  </r>
  <r>
    <x v="1114"/>
    <x v="156"/>
    <x v="57"/>
    <x v="2"/>
    <x v="0"/>
    <x v="1"/>
    <x v="2"/>
    <x v="2"/>
    <x v="2"/>
    <x v="2"/>
    <x v="2"/>
    <x v="1"/>
    <x v="0"/>
    <x v="0"/>
    <x v="0"/>
  </r>
  <r>
    <x v="1115"/>
    <x v="157"/>
    <x v="507"/>
    <x v="0"/>
    <x v="1"/>
    <x v="0"/>
    <x v="4"/>
    <x v="1"/>
    <x v="2"/>
    <x v="4"/>
    <x v="15"/>
    <x v="1"/>
    <x v="0"/>
    <x v="0"/>
    <x v="1"/>
  </r>
  <r>
    <x v="1116"/>
    <x v="157"/>
    <x v="12"/>
    <x v="1"/>
    <x v="1"/>
    <x v="2"/>
    <x v="0"/>
    <x v="0"/>
    <x v="0"/>
    <x v="0"/>
    <x v="0"/>
    <x v="0"/>
    <x v="0"/>
    <x v="2"/>
    <x v="3"/>
  </r>
  <r>
    <x v="1117"/>
    <x v="157"/>
    <x v="61"/>
    <x v="1"/>
    <x v="1"/>
    <x v="0"/>
    <x v="7"/>
    <x v="2"/>
    <x v="2"/>
    <x v="7"/>
    <x v="9"/>
    <x v="0"/>
    <x v="0"/>
    <x v="0"/>
    <x v="1"/>
  </r>
  <r>
    <x v="1118"/>
    <x v="157"/>
    <x v="430"/>
    <x v="3"/>
    <x v="1"/>
    <x v="0"/>
    <x v="12"/>
    <x v="4"/>
    <x v="2"/>
    <x v="8"/>
    <x v="10"/>
    <x v="0"/>
    <x v="0"/>
    <x v="2"/>
    <x v="4"/>
  </r>
  <r>
    <x v="1119"/>
    <x v="157"/>
    <x v="41"/>
    <x v="3"/>
    <x v="1"/>
    <x v="0"/>
    <x v="6"/>
    <x v="0"/>
    <x v="0"/>
    <x v="6"/>
    <x v="55"/>
    <x v="0"/>
    <x v="3"/>
    <x v="0"/>
    <x v="1"/>
  </r>
  <r>
    <x v="1120"/>
    <x v="157"/>
    <x v="48"/>
    <x v="2"/>
    <x v="1"/>
    <x v="1"/>
    <x v="0"/>
    <x v="0"/>
    <x v="2"/>
    <x v="0"/>
    <x v="7"/>
    <x v="1"/>
    <x v="0"/>
    <x v="0"/>
    <x v="2"/>
  </r>
  <r>
    <x v="1121"/>
    <x v="157"/>
    <x v="327"/>
    <x v="2"/>
    <x v="1"/>
    <x v="0"/>
    <x v="12"/>
    <x v="4"/>
    <x v="0"/>
    <x v="8"/>
    <x v="70"/>
    <x v="0"/>
    <x v="1"/>
    <x v="0"/>
    <x v="3"/>
  </r>
  <r>
    <x v="1122"/>
    <x v="157"/>
    <x v="444"/>
    <x v="2"/>
    <x v="1"/>
    <x v="1"/>
    <x v="8"/>
    <x v="2"/>
    <x v="2"/>
    <x v="8"/>
    <x v="10"/>
    <x v="0"/>
    <x v="0"/>
    <x v="0"/>
    <x v="1"/>
  </r>
  <r>
    <x v="1123"/>
    <x v="158"/>
    <x v="233"/>
    <x v="5"/>
    <x v="2"/>
    <x v="0"/>
    <x v="7"/>
    <x v="2"/>
    <x v="2"/>
    <x v="7"/>
    <x v="9"/>
    <x v="0"/>
    <x v="0"/>
    <x v="0"/>
    <x v="2"/>
  </r>
  <r>
    <x v="1124"/>
    <x v="158"/>
    <x v="81"/>
    <x v="5"/>
    <x v="2"/>
    <x v="0"/>
    <x v="0"/>
    <x v="0"/>
    <x v="2"/>
    <x v="0"/>
    <x v="7"/>
    <x v="0"/>
    <x v="0"/>
    <x v="0"/>
    <x v="4"/>
  </r>
  <r>
    <x v="1125"/>
    <x v="158"/>
    <x v="121"/>
    <x v="5"/>
    <x v="2"/>
    <x v="0"/>
    <x v="6"/>
    <x v="0"/>
    <x v="2"/>
    <x v="6"/>
    <x v="6"/>
    <x v="1"/>
    <x v="0"/>
    <x v="1"/>
    <x v="4"/>
  </r>
  <r>
    <x v="1126"/>
    <x v="158"/>
    <x v="176"/>
    <x v="3"/>
    <x v="2"/>
    <x v="1"/>
    <x v="4"/>
    <x v="1"/>
    <x v="1"/>
    <x v="4"/>
    <x v="80"/>
    <x v="0"/>
    <x v="2"/>
    <x v="2"/>
    <x v="2"/>
  </r>
  <r>
    <x v="1127"/>
    <x v="158"/>
    <x v="45"/>
    <x v="3"/>
    <x v="2"/>
    <x v="0"/>
    <x v="1"/>
    <x v="1"/>
    <x v="2"/>
    <x v="1"/>
    <x v="8"/>
    <x v="0"/>
    <x v="0"/>
    <x v="0"/>
    <x v="4"/>
  </r>
  <r>
    <x v="1128"/>
    <x v="158"/>
    <x v="48"/>
    <x v="2"/>
    <x v="2"/>
    <x v="2"/>
    <x v="6"/>
    <x v="0"/>
    <x v="2"/>
    <x v="6"/>
    <x v="6"/>
    <x v="1"/>
    <x v="0"/>
    <x v="0"/>
    <x v="4"/>
  </r>
  <r>
    <x v="1129"/>
    <x v="158"/>
    <x v="230"/>
    <x v="2"/>
    <x v="2"/>
    <x v="0"/>
    <x v="13"/>
    <x v="0"/>
    <x v="0"/>
    <x v="2"/>
    <x v="10"/>
    <x v="0"/>
    <x v="0"/>
    <x v="0"/>
    <x v="3"/>
  </r>
  <r>
    <x v="1130"/>
    <x v="158"/>
    <x v="20"/>
    <x v="2"/>
    <x v="2"/>
    <x v="0"/>
    <x v="1"/>
    <x v="1"/>
    <x v="2"/>
    <x v="1"/>
    <x v="67"/>
    <x v="0"/>
    <x v="1"/>
    <x v="2"/>
    <x v="1"/>
  </r>
  <r>
    <x v="1131"/>
    <x v="159"/>
    <x v="134"/>
    <x v="2"/>
    <x v="4"/>
    <x v="1"/>
    <x v="7"/>
    <x v="2"/>
    <x v="2"/>
    <x v="7"/>
    <x v="9"/>
    <x v="0"/>
    <x v="0"/>
    <x v="0"/>
    <x v="1"/>
  </r>
  <r>
    <x v="1132"/>
    <x v="160"/>
    <x v="363"/>
    <x v="5"/>
    <x v="3"/>
    <x v="2"/>
    <x v="8"/>
    <x v="2"/>
    <x v="2"/>
    <x v="8"/>
    <x v="10"/>
    <x v="0"/>
    <x v="0"/>
    <x v="0"/>
    <x v="2"/>
  </r>
  <r>
    <x v="1133"/>
    <x v="160"/>
    <x v="427"/>
    <x v="5"/>
    <x v="3"/>
    <x v="1"/>
    <x v="9"/>
    <x v="3"/>
    <x v="2"/>
    <x v="7"/>
    <x v="9"/>
    <x v="1"/>
    <x v="0"/>
    <x v="0"/>
    <x v="0"/>
  </r>
  <r>
    <x v="1134"/>
    <x v="160"/>
    <x v="471"/>
    <x v="5"/>
    <x v="3"/>
    <x v="0"/>
    <x v="11"/>
    <x v="1"/>
    <x v="2"/>
    <x v="11"/>
    <x v="24"/>
    <x v="1"/>
    <x v="0"/>
    <x v="0"/>
    <x v="2"/>
  </r>
  <r>
    <x v="1135"/>
    <x v="160"/>
    <x v="195"/>
    <x v="5"/>
    <x v="3"/>
    <x v="1"/>
    <x v="6"/>
    <x v="0"/>
    <x v="2"/>
    <x v="6"/>
    <x v="6"/>
    <x v="1"/>
    <x v="0"/>
    <x v="0"/>
    <x v="3"/>
  </r>
  <r>
    <x v="1136"/>
    <x v="160"/>
    <x v="1"/>
    <x v="1"/>
    <x v="3"/>
    <x v="2"/>
    <x v="2"/>
    <x v="2"/>
    <x v="2"/>
    <x v="2"/>
    <x v="2"/>
    <x v="0"/>
    <x v="0"/>
    <x v="3"/>
    <x v="3"/>
  </r>
  <r>
    <x v="1137"/>
    <x v="160"/>
    <x v="420"/>
    <x v="3"/>
    <x v="3"/>
    <x v="0"/>
    <x v="6"/>
    <x v="0"/>
    <x v="2"/>
    <x v="6"/>
    <x v="6"/>
    <x v="1"/>
    <x v="0"/>
    <x v="0"/>
    <x v="3"/>
  </r>
  <r>
    <x v="1138"/>
    <x v="160"/>
    <x v="513"/>
    <x v="2"/>
    <x v="3"/>
    <x v="1"/>
    <x v="5"/>
    <x v="1"/>
    <x v="2"/>
    <x v="5"/>
    <x v="5"/>
    <x v="0"/>
    <x v="0"/>
    <x v="0"/>
    <x v="4"/>
  </r>
  <r>
    <x v="1139"/>
    <x v="159"/>
    <x v="208"/>
    <x v="5"/>
    <x v="4"/>
    <x v="0"/>
    <x v="8"/>
    <x v="2"/>
    <x v="0"/>
    <x v="8"/>
    <x v="21"/>
    <x v="1"/>
    <x v="0"/>
    <x v="2"/>
    <x v="1"/>
  </r>
  <r>
    <x v="1140"/>
    <x v="159"/>
    <x v="100"/>
    <x v="3"/>
    <x v="4"/>
    <x v="0"/>
    <x v="0"/>
    <x v="0"/>
    <x v="0"/>
    <x v="0"/>
    <x v="0"/>
    <x v="1"/>
    <x v="0"/>
    <x v="2"/>
    <x v="3"/>
  </r>
  <r>
    <x v="1141"/>
    <x v="159"/>
    <x v="71"/>
    <x v="3"/>
    <x v="4"/>
    <x v="0"/>
    <x v="2"/>
    <x v="2"/>
    <x v="2"/>
    <x v="2"/>
    <x v="2"/>
    <x v="1"/>
    <x v="0"/>
    <x v="0"/>
    <x v="2"/>
  </r>
  <r>
    <x v="1142"/>
    <x v="158"/>
    <x v="116"/>
    <x v="2"/>
    <x v="2"/>
    <x v="1"/>
    <x v="7"/>
    <x v="2"/>
    <x v="0"/>
    <x v="7"/>
    <x v="12"/>
    <x v="0"/>
    <x v="0"/>
    <x v="0"/>
    <x v="1"/>
  </r>
  <r>
    <x v="1143"/>
    <x v="161"/>
    <x v="514"/>
    <x v="10"/>
    <x v="5"/>
    <x v="2"/>
    <x v="8"/>
    <x v="2"/>
    <x v="2"/>
    <x v="8"/>
    <x v="10"/>
    <x v="1"/>
    <x v="0"/>
    <x v="0"/>
    <x v="3"/>
  </r>
  <r>
    <x v="1144"/>
    <x v="161"/>
    <x v="515"/>
    <x v="10"/>
    <x v="5"/>
    <x v="0"/>
    <x v="7"/>
    <x v="2"/>
    <x v="2"/>
    <x v="7"/>
    <x v="9"/>
    <x v="0"/>
    <x v="0"/>
    <x v="0"/>
    <x v="2"/>
  </r>
  <r>
    <x v="1145"/>
    <x v="161"/>
    <x v="119"/>
    <x v="0"/>
    <x v="5"/>
    <x v="0"/>
    <x v="3"/>
    <x v="3"/>
    <x v="2"/>
    <x v="3"/>
    <x v="3"/>
    <x v="0"/>
    <x v="0"/>
    <x v="2"/>
    <x v="1"/>
  </r>
  <r>
    <x v="1146"/>
    <x v="161"/>
    <x v="226"/>
    <x v="5"/>
    <x v="5"/>
    <x v="0"/>
    <x v="3"/>
    <x v="3"/>
    <x v="2"/>
    <x v="3"/>
    <x v="3"/>
    <x v="0"/>
    <x v="0"/>
    <x v="3"/>
    <x v="1"/>
  </r>
  <r>
    <x v="1147"/>
    <x v="161"/>
    <x v="122"/>
    <x v="1"/>
    <x v="5"/>
    <x v="0"/>
    <x v="0"/>
    <x v="0"/>
    <x v="2"/>
    <x v="0"/>
    <x v="7"/>
    <x v="0"/>
    <x v="0"/>
    <x v="0"/>
    <x v="4"/>
  </r>
  <r>
    <x v="1148"/>
    <x v="161"/>
    <x v="266"/>
    <x v="1"/>
    <x v="5"/>
    <x v="2"/>
    <x v="7"/>
    <x v="2"/>
    <x v="2"/>
    <x v="7"/>
    <x v="9"/>
    <x v="0"/>
    <x v="0"/>
    <x v="0"/>
    <x v="2"/>
  </r>
  <r>
    <x v="1149"/>
    <x v="161"/>
    <x v="45"/>
    <x v="3"/>
    <x v="5"/>
    <x v="0"/>
    <x v="0"/>
    <x v="0"/>
    <x v="0"/>
    <x v="0"/>
    <x v="0"/>
    <x v="1"/>
    <x v="0"/>
    <x v="0"/>
    <x v="3"/>
  </r>
  <r>
    <x v="1150"/>
    <x v="161"/>
    <x v="67"/>
    <x v="3"/>
    <x v="5"/>
    <x v="0"/>
    <x v="8"/>
    <x v="2"/>
    <x v="2"/>
    <x v="8"/>
    <x v="10"/>
    <x v="1"/>
    <x v="0"/>
    <x v="2"/>
    <x v="0"/>
  </r>
  <r>
    <x v="1151"/>
    <x v="161"/>
    <x v="9"/>
    <x v="3"/>
    <x v="5"/>
    <x v="1"/>
    <x v="5"/>
    <x v="1"/>
    <x v="2"/>
    <x v="5"/>
    <x v="5"/>
    <x v="0"/>
    <x v="0"/>
    <x v="2"/>
    <x v="2"/>
  </r>
  <r>
    <x v="1152"/>
    <x v="161"/>
    <x v="172"/>
    <x v="3"/>
    <x v="5"/>
    <x v="1"/>
    <x v="3"/>
    <x v="3"/>
    <x v="2"/>
    <x v="3"/>
    <x v="3"/>
    <x v="0"/>
    <x v="0"/>
    <x v="2"/>
    <x v="2"/>
  </r>
  <r>
    <x v="1153"/>
    <x v="161"/>
    <x v="162"/>
    <x v="3"/>
    <x v="5"/>
    <x v="1"/>
    <x v="3"/>
    <x v="3"/>
    <x v="2"/>
    <x v="3"/>
    <x v="3"/>
    <x v="0"/>
    <x v="0"/>
    <x v="2"/>
    <x v="2"/>
  </r>
  <r>
    <x v="1154"/>
    <x v="161"/>
    <x v="162"/>
    <x v="3"/>
    <x v="5"/>
    <x v="0"/>
    <x v="10"/>
    <x v="4"/>
    <x v="2"/>
    <x v="10"/>
    <x v="13"/>
    <x v="0"/>
    <x v="0"/>
    <x v="2"/>
    <x v="4"/>
  </r>
  <r>
    <x v="1155"/>
    <x v="161"/>
    <x v="442"/>
    <x v="4"/>
    <x v="5"/>
    <x v="0"/>
    <x v="7"/>
    <x v="2"/>
    <x v="2"/>
    <x v="7"/>
    <x v="9"/>
    <x v="0"/>
    <x v="0"/>
    <x v="0"/>
    <x v="2"/>
  </r>
  <r>
    <x v="1156"/>
    <x v="161"/>
    <x v="486"/>
    <x v="4"/>
    <x v="5"/>
    <x v="1"/>
    <x v="11"/>
    <x v="1"/>
    <x v="2"/>
    <x v="11"/>
    <x v="24"/>
    <x v="0"/>
    <x v="0"/>
    <x v="0"/>
    <x v="0"/>
  </r>
  <r>
    <x v="1157"/>
    <x v="162"/>
    <x v="68"/>
    <x v="10"/>
    <x v="6"/>
    <x v="0"/>
    <x v="7"/>
    <x v="2"/>
    <x v="2"/>
    <x v="7"/>
    <x v="9"/>
    <x v="0"/>
    <x v="0"/>
    <x v="0"/>
    <x v="1"/>
  </r>
  <r>
    <x v="1158"/>
    <x v="162"/>
    <x v="516"/>
    <x v="7"/>
    <x v="6"/>
    <x v="0"/>
    <x v="7"/>
    <x v="2"/>
    <x v="2"/>
    <x v="7"/>
    <x v="9"/>
    <x v="1"/>
    <x v="0"/>
    <x v="0"/>
    <x v="0"/>
  </r>
  <r>
    <x v="1159"/>
    <x v="162"/>
    <x v="517"/>
    <x v="12"/>
    <x v="6"/>
    <x v="0"/>
    <x v="3"/>
    <x v="3"/>
    <x v="0"/>
    <x v="3"/>
    <x v="14"/>
    <x v="1"/>
    <x v="0"/>
    <x v="0"/>
    <x v="4"/>
  </r>
  <r>
    <x v="1160"/>
    <x v="162"/>
    <x v="465"/>
    <x v="11"/>
    <x v="6"/>
    <x v="0"/>
    <x v="2"/>
    <x v="2"/>
    <x v="0"/>
    <x v="2"/>
    <x v="10"/>
    <x v="0"/>
    <x v="0"/>
    <x v="0"/>
    <x v="4"/>
  </r>
  <r>
    <x v="1161"/>
    <x v="162"/>
    <x v="418"/>
    <x v="11"/>
    <x v="6"/>
    <x v="0"/>
    <x v="0"/>
    <x v="0"/>
    <x v="2"/>
    <x v="0"/>
    <x v="7"/>
    <x v="0"/>
    <x v="0"/>
    <x v="0"/>
    <x v="1"/>
  </r>
  <r>
    <x v="1162"/>
    <x v="162"/>
    <x v="518"/>
    <x v="6"/>
    <x v="6"/>
    <x v="1"/>
    <x v="5"/>
    <x v="1"/>
    <x v="2"/>
    <x v="5"/>
    <x v="5"/>
    <x v="0"/>
    <x v="0"/>
    <x v="0"/>
    <x v="0"/>
  </r>
  <r>
    <x v="1163"/>
    <x v="162"/>
    <x v="167"/>
    <x v="5"/>
    <x v="6"/>
    <x v="0"/>
    <x v="2"/>
    <x v="2"/>
    <x v="2"/>
    <x v="2"/>
    <x v="2"/>
    <x v="0"/>
    <x v="0"/>
    <x v="0"/>
    <x v="0"/>
  </r>
  <r>
    <x v="1164"/>
    <x v="162"/>
    <x v="61"/>
    <x v="1"/>
    <x v="6"/>
    <x v="1"/>
    <x v="7"/>
    <x v="2"/>
    <x v="2"/>
    <x v="7"/>
    <x v="9"/>
    <x v="1"/>
    <x v="0"/>
    <x v="2"/>
    <x v="3"/>
  </r>
  <r>
    <x v="1165"/>
    <x v="162"/>
    <x v="4"/>
    <x v="2"/>
    <x v="6"/>
    <x v="0"/>
    <x v="8"/>
    <x v="2"/>
    <x v="2"/>
    <x v="8"/>
    <x v="10"/>
    <x v="0"/>
    <x v="0"/>
    <x v="0"/>
    <x v="1"/>
  </r>
  <r>
    <x v="1166"/>
    <x v="162"/>
    <x v="204"/>
    <x v="2"/>
    <x v="6"/>
    <x v="0"/>
    <x v="6"/>
    <x v="0"/>
    <x v="2"/>
    <x v="6"/>
    <x v="56"/>
    <x v="1"/>
    <x v="1"/>
    <x v="0"/>
    <x v="3"/>
  </r>
  <r>
    <x v="1167"/>
    <x v="162"/>
    <x v="49"/>
    <x v="2"/>
    <x v="6"/>
    <x v="2"/>
    <x v="2"/>
    <x v="2"/>
    <x v="0"/>
    <x v="2"/>
    <x v="36"/>
    <x v="1"/>
    <x v="1"/>
    <x v="0"/>
    <x v="3"/>
  </r>
  <r>
    <x v="1168"/>
    <x v="162"/>
    <x v="315"/>
    <x v="4"/>
    <x v="6"/>
    <x v="1"/>
    <x v="3"/>
    <x v="3"/>
    <x v="2"/>
    <x v="3"/>
    <x v="48"/>
    <x v="1"/>
    <x v="3"/>
    <x v="2"/>
    <x v="4"/>
  </r>
  <r>
    <x v="1169"/>
    <x v="163"/>
    <x v="519"/>
    <x v="6"/>
    <x v="0"/>
    <x v="2"/>
    <x v="0"/>
    <x v="0"/>
    <x v="0"/>
    <x v="0"/>
    <x v="0"/>
    <x v="0"/>
    <x v="0"/>
    <x v="2"/>
    <x v="2"/>
  </r>
  <r>
    <x v="1170"/>
    <x v="163"/>
    <x v="40"/>
    <x v="5"/>
    <x v="0"/>
    <x v="1"/>
    <x v="11"/>
    <x v="1"/>
    <x v="2"/>
    <x v="11"/>
    <x v="45"/>
    <x v="1"/>
    <x v="1"/>
    <x v="0"/>
    <x v="4"/>
  </r>
  <r>
    <x v="1171"/>
    <x v="163"/>
    <x v="348"/>
    <x v="5"/>
    <x v="0"/>
    <x v="1"/>
    <x v="1"/>
    <x v="1"/>
    <x v="2"/>
    <x v="1"/>
    <x v="8"/>
    <x v="1"/>
    <x v="0"/>
    <x v="2"/>
    <x v="4"/>
  </r>
  <r>
    <x v="1172"/>
    <x v="163"/>
    <x v="209"/>
    <x v="1"/>
    <x v="0"/>
    <x v="0"/>
    <x v="6"/>
    <x v="0"/>
    <x v="2"/>
    <x v="6"/>
    <x v="6"/>
    <x v="1"/>
    <x v="0"/>
    <x v="0"/>
    <x v="3"/>
  </r>
  <r>
    <x v="1173"/>
    <x v="163"/>
    <x v="482"/>
    <x v="1"/>
    <x v="0"/>
    <x v="0"/>
    <x v="1"/>
    <x v="1"/>
    <x v="2"/>
    <x v="1"/>
    <x v="8"/>
    <x v="0"/>
    <x v="0"/>
    <x v="0"/>
    <x v="2"/>
  </r>
  <r>
    <x v="1174"/>
    <x v="163"/>
    <x v="71"/>
    <x v="3"/>
    <x v="0"/>
    <x v="0"/>
    <x v="8"/>
    <x v="2"/>
    <x v="2"/>
    <x v="8"/>
    <x v="10"/>
    <x v="0"/>
    <x v="0"/>
    <x v="0"/>
    <x v="4"/>
  </r>
  <r>
    <x v="1175"/>
    <x v="163"/>
    <x v="520"/>
    <x v="2"/>
    <x v="0"/>
    <x v="1"/>
    <x v="4"/>
    <x v="1"/>
    <x v="2"/>
    <x v="4"/>
    <x v="15"/>
    <x v="1"/>
    <x v="0"/>
    <x v="0"/>
    <x v="0"/>
  </r>
  <r>
    <x v="1176"/>
    <x v="163"/>
    <x v="454"/>
    <x v="2"/>
    <x v="0"/>
    <x v="0"/>
    <x v="11"/>
    <x v="1"/>
    <x v="2"/>
    <x v="11"/>
    <x v="45"/>
    <x v="0"/>
    <x v="1"/>
    <x v="0"/>
    <x v="1"/>
  </r>
  <r>
    <x v="1177"/>
    <x v="163"/>
    <x v="521"/>
    <x v="4"/>
    <x v="0"/>
    <x v="1"/>
    <x v="12"/>
    <x v="4"/>
    <x v="2"/>
    <x v="8"/>
    <x v="10"/>
    <x v="0"/>
    <x v="0"/>
    <x v="0"/>
    <x v="0"/>
  </r>
  <r>
    <x v="1178"/>
    <x v="163"/>
    <x v="74"/>
    <x v="4"/>
    <x v="0"/>
    <x v="1"/>
    <x v="3"/>
    <x v="3"/>
    <x v="2"/>
    <x v="3"/>
    <x v="3"/>
    <x v="1"/>
    <x v="0"/>
    <x v="2"/>
    <x v="1"/>
  </r>
  <r>
    <x v="1179"/>
    <x v="164"/>
    <x v="219"/>
    <x v="6"/>
    <x v="1"/>
    <x v="2"/>
    <x v="11"/>
    <x v="1"/>
    <x v="0"/>
    <x v="11"/>
    <x v="39"/>
    <x v="1"/>
    <x v="0"/>
    <x v="1"/>
    <x v="3"/>
  </r>
  <r>
    <x v="1180"/>
    <x v="164"/>
    <x v="293"/>
    <x v="5"/>
    <x v="1"/>
    <x v="0"/>
    <x v="7"/>
    <x v="2"/>
    <x v="2"/>
    <x v="7"/>
    <x v="9"/>
    <x v="0"/>
    <x v="0"/>
    <x v="0"/>
    <x v="3"/>
  </r>
  <r>
    <x v="1181"/>
    <x v="164"/>
    <x v="234"/>
    <x v="5"/>
    <x v="1"/>
    <x v="0"/>
    <x v="4"/>
    <x v="1"/>
    <x v="2"/>
    <x v="4"/>
    <x v="15"/>
    <x v="0"/>
    <x v="0"/>
    <x v="2"/>
    <x v="1"/>
  </r>
  <r>
    <x v="1182"/>
    <x v="164"/>
    <x v="324"/>
    <x v="5"/>
    <x v="1"/>
    <x v="1"/>
    <x v="12"/>
    <x v="4"/>
    <x v="2"/>
    <x v="8"/>
    <x v="10"/>
    <x v="0"/>
    <x v="0"/>
    <x v="3"/>
    <x v="4"/>
  </r>
  <r>
    <x v="1183"/>
    <x v="164"/>
    <x v="236"/>
    <x v="1"/>
    <x v="1"/>
    <x v="1"/>
    <x v="0"/>
    <x v="0"/>
    <x v="2"/>
    <x v="0"/>
    <x v="7"/>
    <x v="1"/>
    <x v="0"/>
    <x v="0"/>
    <x v="1"/>
  </r>
  <r>
    <x v="1184"/>
    <x v="164"/>
    <x v="115"/>
    <x v="3"/>
    <x v="1"/>
    <x v="1"/>
    <x v="6"/>
    <x v="0"/>
    <x v="0"/>
    <x v="6"/>
    <x v="2"/>
    <x v="0"/>
    <x v="0"/>
    <x v="2"/>
    <x v="1"/>
  </r>
  <r>
    <x v="1185"/>
    <x v="164"/>
    <x v="374"/>
    <x v="2"/>
    <x v="1"/>
    <x v="1"/>
    <x v="6"/>
    <x v="0"/>
    <x v="0"/>
    <x v="6"/>
    <x v="2"/>
    <x v="0"/>
    <x v="0"/>
    <x v="0"/>
    <x v="2"/>
  </r>
  <r>
    <x v="1186"/>
    <x v="165"/>
    <x v="522"/>
    <x v="9"/>
    <x v="2"/>
    <x v="0"/>
    <x v="11"/>
    <x v="1"/>
    <x v="2"/>
    <x v="11"/>
    <x v="24"/>
    <x v="1"/>
    <x v="0"/>
    <x v="0"/>
    <x v="0"/>
  </r>
  <r>
    <x v="1187"/>
    <x v="165"/>
    <x v="523"/>
    <x v="7"/>
    <x v="2"/>
    <x v="2"/>
    <x v="0"/>
    <x v="0"/>
    <x v="0"/>
    <x v="0"/>
    <x v="0"/>
    <x v="0"/>
    <x v="0"/>
    <x v="2"/>
    <x v="3"/>
  </r>
  <r>
    <x v="1188"/>
    <x v="165"/>
    <x v="128"/>
    <x v="7"/>
    <x v="2"/>
    <x v="0"/>
    <x v="14"/>
    <x v="3"/>
    <x v="2"/>
    <x v="14"/>
    <x v="25"/>
    <x v="1"/>
    <x v="0"/>
    <x v="3"/>
    <x v="1"/>
  </r>
  <r>
    <x v="1189"/>
    <x v="165"/>
    <x v="161"/>
    <x v="3"/>
    <x v="2"/>
    <x v="0"/>
    <x v="6"/>
    <x v="0"/>
    <x v="2"/>
    <x v="6"/>
    <x v="6"/>
    <x v="0"/>
    <x v="0"/>
    <x v="0"/>
    <x v="0"/>
  </r>
  <r>
    <x v="1190"/>
    <x v="166"/>
    <x v="38"/>
    <x v="0"/>
    <x v="3"/>
    <x v="0"/>
    <x v="13"/>
    <x v="0"/>
    <x v="2"/>
    <x v="2"/>
    <x v="2"/>
    <x v="1"/>
    <x v="0"/>
    <x v="0"/>
    <x v="2"/>
  </r>
  <r>
    <x v="1191"/>
    <x v="166"/>
    <x v="399"/>
    <x v="8"/>
    <x v="3"/>
    <x v="0"/>
    <x v="8"/>
    <x v="2"/>
    <x v="2"/>
    <x v="8"/>
    <x v="10"/>
    <x v="1"/>
    <x v="0"/>
    <x v="3"/>
    <x v="2"/>
  </r>
  <r>
    <x v="1192"/>
    <x v="167"/>
    <x v="208"/>
    <x v="5"/>
    <x v="6"/>
    <x v="0"/>
    <x v="4"/>
    <x v="1"/>
    <x v="2"/>
    <x v="4"/>
    <x v="15"/>
    <x v="0"/>
    <x v="0"/>
    <x v="0"/>
    <x v="4"/>
  </r>
  <r>
    <x v="1193"/>
    <x v="166"/>
    <x v="236"/>
    <x v="1"/>
    <x v="3"/>
    <x v="0"/>
    <x v="3"/>
    <x v="3"/>
    <x v="2"/>
    <x v="3"/>
    <x v="3"/>
    <x v="0"/>
    <x v="0"/>
    <x v="1"/>
    <x v="0"/>
  </r>
  <r>
    <x v="1194"/>
    <x v="166"/>
    <x v="281"/>
    <x v="1"/>
    <x v="3"/>
    <x v="2"/>
    <x v="7"/>
    <x v="2"/>
    <x v="1"/>
    <x v="7"/>
    <x v="8"/>
    <x v="0"/>
    <x v="0"/>
    <x v="0"/>
    <x v="4"/>
  </r>
  <r>
    <x v="1195"/>
    <x v="166"/>
    <x v="70"/>
    <x v="1"/>
    <x v="3"/>
    <x v="0"/>
    <x v="1"/>
    <x v="1"/>
    <x v="2"/>
    <x v="1"/>
    <x v="21"/>
    <x v="0"/>
    <x v="2"/>
    <x v="0"/>
    <x v="3"/>
  </r>
  <r>
    <x v="1196"/>
    <x v="166"/>
    <x v="325"/>
    <x v="1"/>
    <x v="3"/>
    <x v="1"/>
    <x v="8"/>
    <x v="2"/>
    <x v="2"/>
    <x v="8"/>
    <x v="36"/>
    <x v="0"/>
    <x v="1"/>
    <x v="2"/>
    <x v="2"/>
  </r>
  <r>
    <x v="1197"/>
    <x v="166"/>
    <x v="457"/>
    <x v="3"/>
    <x v="3"/>
    <x v="1"/>
    <x v="13"/>
    <x v="0"/>
    <x v="2"/>
    <x v="2"/>
    <x v="2"/>
    <x v="0"/>
    <x v="0"/>
    <x v="1"/>
    <x v="3"/>
  </r>
  <r>
    <x v="1198"/>
    <x v="166"/>
    <x v="186"/>
    <x v="3"/>
    <x v="3"/>
    <x v="2"/>
    <x v="9"/>
    <x v="3"/>
    <x v="2"/>
    <x v="7"/>
    <x v="9"/>
    <x v="0"/>
    <x v="0"/>
    <x v="0"/>
    <x v="0"/>
  </r>
  <r>
    <x v="1199"/>
    <x v="166"/>
    <x v="86"/>
    <x v="2"/>
    <x v="3"/>
    <x v="1"/>
    <x v="10"/>
    <x v="4"/>
    <x v="0"/>
    <x v="10"/>
    <x v="32"/>
    <x v="0"/>
    <x v="0"/>
    <x v="0"/>
    <x v="1"/>
  </r>
  <r>
    <x v="1200"/>
    <x v="166"/>
    <x v="524"/>
    <x v="4"/>
    <x v="3"/>
    <x v="1"/>
    <x v="11"/>
    <x v="1"/>
    <x v="2"/>
    <x v="11"/>
    <x v="24"/>
    <x v="1"/>
    <x v="0"/>
    <x v="0"/>
    <x v="2"/>
  </r>
  <r>
    <x v="1201"/>
    <x v="168"/>
    <x v="207"/>
    <x v="4"/>
    <x v="3"/>
    <x v="1"/>
    <x v="6"/>
    <x v="0"/>
    <x v="0"/>
    <x v="6"/>
    <x v="2"/>
    <x v="0"/>
    <x v="0"/>
    <x v="0"/>
    <x v="3"/>
  </r>
  <r>
    <x v="1202"/>
    <x v="169"/>
    <x v="64"/>
    <x v="7"/>
    <x v="4"/>
    <x v="0"/>
    <x v="7"/>
    <x v="2"/>
    <x v="0"/>
    <x v="7"/>
    <x v="12"/>
    <x v="1"/>
    <x v="0"/>
    <x v="2"/>
    <x v="2"/>
  </r>
  <r>
    <x v="1203"/>
    <x v="169"/>
    <x v="455"/>
    <x v="0"/>
    <x v="4"/>
    <x v="0"/>
    <x v="1"/>
    <x v="1"/>
    <x v="2"/>
    <x v="1"/>
    <x v="8"/>
    <x v="1"/>
    <x v="0"/>
    <x v="0"/>
    <x v="1"/>
  </r>
  <r>
    <x v="1204"/>
    <x v="169"/>
    <x v="16"/>
    <x v="6"/>
    <x v="4"/>
    <x v="0"/>
    <x v="2"/>
    <x v="2"/>
    <x v="2"/>
    <x v="2"/>
    <x v="2"/>
    <x v="0"/>
    <x v="0"/>
    <x v="0"/>
    <x v="1"/>
  </r>
  <r>
    <x v="1205"/>
    <x v="169"/>
    <x v="525"/>
    <x v="8"/>
    <x v="4"/>
    <x v="0"/>
    <x v="6"/>
    <x v="0"/>
    <x v="2"/>
    <x v="6"/>
    <x v="6"/>
    <x v="1"/>
    <x v="0"/>
    <x v="2"/>
    <x v="3"/>
  </r>
  <r>
    <x v="1206"/>
    <x v="169"/>
    <x v="282"/>
    <x v="1"/>
    <x v="4"/>
    <x v="0"/>
    <x v="0"/>
    <x v="0"/>
    <x v="2"/>
    <x v="0"/>
    <x v="7"/>
    <x v="0"/>
    <x v="0"/>
    <x v="0"/>
    <x v="1"/>
  </r>
  <r>
    <x v="1207"/>
    <x v="169"/>
    <x v="385"/>
    <x v="3"/>
    <x v="4"/>
    <x v="1"/>
    <x v="1"/>
    <x v="1"/>
    <x v="2"/>
    <x v="1"/>
    <x v="8"/>
    <x v="1"/>
    <x v="0"/>
    <x v="0"/>
    <x v="4"/>
  </r>
  <r>
    <x v="1208"/>
    <x v="169"/>
    <x v="176"/>
    <x v="3"/>
    <x v="4"/>
    <x v="1"/>
    <x v="1"/>
    <x v="1"/>
    <x v="2"/>
    <x v="1"/>
    <x v="8"/>
    <x v="1"/>
    <x v="0"/>
    <x v="0"/>
    <x v="0"/>
  </r>
  <r>
    <x v="1209"/>
    <x v="169"/>
    <x v="52"/>
    <x v="3"/>
    <x v="4"/>
    <x v="1"/>
    <x v="7"/>
    <x v="2"/>
    <x v="2"/>
    <x v="7"/>
    <x v="9"/>
    <x v="0"/>
    <x v="0"/>
    <x v="0"/>
    <x v="4"/>
  </r>
  <r>
    <x v="1210"/>
    <x v="169"/>
    <x v="278"/>
    <x v="3"/>
    <x v="4"/>
    <x v="2"/>
    <x v="9"/>
    <x v="3"/>
    <x v="2"/>
    <x v="7"/>
    <x v="9"/>
    <x v="0"/>
    <x v="0"/>
    <x v="2"/>
    <x v="2"/>
  </r>
  <r>
    <x v="1211"/>
    <x v="169"/>
    <x v="4"/>
    <x v="2"/>
    <x v="4"/>
    <x v="1"/>
    <x v="10"/>
    <x v="4"/>
    <x v="2"/>
    <x v="10"/>
    <x v="13"/>
    <x v="0"/>
    <x v="0"/>
    <x v="0"/>
    <x v="3"/>
  </r>
  <r>
    <x v="1212"/>
    <x v="36"/>
    <x v="526"/>
    <x v="7"/>
    <x v="6"/>
    <x v="0"/>
    <x v="0"/>
    <x v="0"/>
    <x v="2"/>
    <x v="0"/>
    <x v="7"/>
    <x v="1"/>
    <x v="0"/>
    <x v="2"/>
    <x v="4"/>
  </r>
  <r>
    <x v="1213"/>
    <x v="170"/>
    <x v="527"/>
    <x v="7"/>
    <x v="5"/>
    <x v="0"/>
    <x v="11"/>
    <x v="1"/>
    <x v="2"/>
    <x v="11"/>
    <x v="34"/>
    <x v="0"/>
    <x v="3"/>
    <x v="1"/>
    <x v="0"/>
  </r>
  <r>
    <x v="1214"/>
    <x v="170"/>
    <x v="451"/>
    <x v="6"/>
    <x v="5"/>
    <x v="2"/>
    <x v="5"/>
    <x v="1"/>
    <x v="3"/>
    <x v="5"/>
    <x v="65"/>
    <x v="0"/>
    <x v="3"/>
    <x v="0"/>
    <x v="3"/>
  </r>
  <r>
    <x v="1215"/>
    <x v="170"/>
    <x v="24"/>
    <x v="8"/>
    <x v="5"/>
    <x v="2"/>
    <x v="5"/>
    <x v="1"/>
    <x v="2"/>
    <x v="5"/>
    <x v="5"/>
    <x v="0"/>
    <x v="0"/>
    <x v="0"/>
    <x v="1"/>
  </r>
  <r>
    <x v="1216"/>
    <x v="170"/>
    <x v="528"/>
    <x v="5"/>
    <x v="5"/>
    <x v="0"/>
    <x v="5"/>
    <x v="1"/>
    <x v="2"/>
    <x v="5"/>
    <x v="5"/>
    <x v="1"/>
    <x v="0"/>
    <x v="2"/>
    <x v="3"/>
  </r>
  <r>
    <x v="1217"/>
    <x v="170"/>
    <x v="529"/>
    <x v="5"/>
    <x v="5"/>
    <x v="1"/>
    <x v="3"/>
    <x v="3"/>
    <x v="2"/>
    <x v="3"/>
    <x v="3"/>
    <x v="0"/>
    <x v="0"/>
    <x v="1"/>
    <x v="0"/>
  </r>
  <r>
    <x v="1218"/>
    <x v="36"/>
    <x v="156"/>
    <x v="5"/>
    <x v="6"/>
    <x v="2"/>
    <x v="3"/>
    <x v="3"/>
    <x v="2"/>
    <x v="3"/>
    <x v="3"/>
    <x v="1"/>
    <x v="0"/>
    <x v="0"/>
    <x v="2"/>
  </r>
  <r>
    <x v="1219"/>
    <x v="170"/>
    <x v="122"/>
    <x v="1"/>
    <x v="5"/>
    <x v="2"/>
    <x v="7"/>
    <x v="2"/>
    <x v="2"/>
    <x v="7"/>
    <x v="9"/>
    <x v="1"/>
    <x v="0"/>
    <x v="3"/>
    <x v="0"/>
  </r>
  <r>
    <x v="1220"/>
    <x v="170"/>
    <x v="210"/>
    <x v="1"/>
    <x v="5"/>
    <x v="2"/>
    <x v="3"/>
    <x v="3"/>
    <x v="2"/>
    <x v="16"/>
    <x v="81"/>
    <x v="1"/>
    <x v="3"/>
    <x v="0"/>
    <x v="2"/>
  </r>
  <r>
    <x v="1221"/>
    <x v="170"/>
    <x v="71"/>
    <x v="3"/>
    <x v="5"/>
    <x v="1"/>
    <x v="5"/>
    <x v="1"/>
    <x v="2"/>
    <x v="5"/>
    <x v="5"/>
    <x v="1"/>
    <x v="0"/>
    <x v="0"/>
    <x v="0"/>
  </r>
  <r>
    <x v="1222"/>
    <x v="170"/>
    <x v="375"/>
    <x v="4"/>
    <x v="5"/>
    <x v="1"/>
    <x v="0"/>
    <x v="0"/>
    <x v="2"/>
    <x v="0"/>
    <x v="7"/>
    <x v="1"/>
    <x v="0"/>
    <x v="0"/>
    <x v="1"/>
  </r>
  <r>
    <x v="1223"/>
    <x v="167"/>
    <x v="401"/>
    <x v="7"/>
    <x v="6"/>
    <x v="0"/>
    <x v="9"/>
    <x v="3"/>
    <x v="2"/>
    <x v="7"/>
    <x v="9"/>
    <x v="1"/>
    <x v="0"/>
    <x v="2"/>
    <x v="2"/>
  </r>
  <r>
    <x v="1224"/>
    <x v="167"/>
    <x v="530"/>
    <x v="7"/>
    <x v="6"/>
    <x v="2"/>
    <x v="0"/>
    <x v="0"/>
    <x v="2"/>
    <x v="0"/>
    <x v="38"/>
    <x v="0"/>
    <x v="1"/>
    <x v="0"/>
    <x v="3"/>
  </r>
  <r>
    <x v="1225"/>
    <x v="167"/>
    <x v="531"/>
    <x v="0"/>
    <x v="6"/>
    <x v="0"/>
    <x v="4"/>
    <x v="1"/>
    <x v="1"/>
    <x v="4"/>
    <x v="82"/>
    <x v="0"/>
    <x v="0"/>
    <x v="1"/>
    <x v="1"/>
  </r>
  <r>
    <x v="1226"/>
    <x v="167"/>
    <x v="509"/>
    <x v="12"/>
    <x v="6"/>
    <x v="0"/>
    <x v="8"/>
    <x v="2"/>
    <x v="0"/>
    <x v="8"/>
    <x v="21"/>
    <x v="0"/>
    <x v="0"/>
    <x v="0"/>
    <x v="2"/>
  </r>
  <r>
    <x v="1227"/>
    <x v="167"/>
    <x v="411"/>
    <x v="5"/>
    <x v="6"/>
    <x v="1"/>
    <x v="3"/>
    <x v="3"/>
    <x v="2"/>
    <x v="3"/>
    <x v="3"/>
    <x v="1"/>
    <x v="0"/>
    <x v="0"/>
    <x v="1"/>
  </r>
  <r>
    <x v="1228"/>
    <x v="167"/>
    <x v="363"/>
    <x v="5"/>
    <x v="6"/>
    <x v="2"/>
    <x v="6"/>
    <x v="0"/>
    <x v="2"/>
    <x v="6"/>
    <x v="6"/>
    <x v="1"/>
    <x v="0"/>
    <x v="2"/>
    <x v="1"/>
  </r>
  <r>
    <x v="1229"/>
    <x v="168"/>
    <x v="475"/>
    <x v="5"/>
    <x v="3"/>
    <x v="1"/>
    <x v="8"/>
    <x v="2"/>
    <x v="0"/>
    <x v="8"/>
    <x v="21"/>
    <x v="0"/>
    <x v="0"/>
    <x v="0"/>
    <x v="4"/>
  </r>
  <r>
    <x v="1230"/>
    <x v="167"/>
    <x v="178"/>
    <x v="1"/>
    <x v="6"/>
    <x v="0"/>
    <x v="3"/>
    <x v="3"/>
    <x v="2"/>
    <x v="3"/>
    <x v="3"/>
    <x v="1"/>
    <x v="0"/>
    <x v="0"/>
    <x v="4"/>
  </r>
  <r>
    <x v="1231"/>
    <x v="167"/>
    <x v="8"/>
    <x v="1"/>
    <x v="6"/>
    <x v="2"/>
    <x v="1"/>
    <x v="1"/>
    <x v="2"/>
    <x v="1"/>
    <x v="8"/>
    <x v="0"/>
    <x v="0"/>
    <x v="0"/>
    <x v="1"/>
  </r>
  <r>
    <x v="1232"/>
    <x v="167"/>
    <x v="374"/>
    <x v="2"/>
    <x v="6"/>
    <x v="1"/>
    <x v="8"/>
    <x v="2"/>
    <x v="2"/>
    <x v="8"/>
    <x v="10"/>
    <x v="0"/>
    <x v="0"/>
    <x v="0"/>
    <x v="4"/>
  </r>
  <r>
    <x v="1233"/>
    <x v="167"/>
    <x v="532"/>
    <x v="4"/>
    <x v="6"/>
    <x v="1"/>
    <x v="2"/>
    <x v="2"/>
    <x v="2"/>
    <x v="2"/>
    <x v="2"/>
    <x v="0"/>
    <x v="0"/>
    <x v="0"/>
    <x v="3"/>
  </r>
  <r>
    <x v="1234"/>
    <x v="105"/>
    <x v="138"/>
    <x v="12"/>
    <x v="0"/>
    <x v="0"/>
    <x v="0"/>
    <x v="0"/>
    <x v="1"/>
    <x v="0"/>
    <x v="2"/>
    <x v="1"/>
    <x v="0"/>
    <x v="0"/>
    <x v="4"/>
  </r>
  <r>
    <x v="1235"/>
    <x v="105"/>
    <x v="408"/>
    <x v="5"/>
    <x v="0"/>
    <x v="0"/>
    <x v="6"/>
    <x v="0"/>
    <x v="2"/>
    <x v="6"/>
    <x v="6"/>
    <x v="0"/>
    <x v="0"/>
    <x v="0"/>
    <x v="0"/>
  </r>
  <r>
    <x v="1236"/>
    <x v="104"/>
    <x v="533"/>
    <x v="2"/>
    <x v="4"/>
    <x v="0"/>
    <x v="9"/>
    <x v="3"/>
    <x v="1"/>
    <x v="7"/>
    <x v="8"/>
    <x v="1"/>
    <x v="0"/>
    <x v="0"/>
    <x v="0"/>
  </r>
  <r>
    <x v="1237"/>
    <x v="137"/>
    <x v="516"/>
    <x v="7"/>
    <x v="1"/>
    <x v="2"/>
    <x v="6"/>
    <x v="0"/>
    <x v="2"/>
    <x v="6"/>
    <x v="6"/>
    <x v="0"/>
    <x v="0"/>
    <x v="3"/>
    <x v="4"/>
  </r>
  <r>
    <x v="1238"/>
    <x v="137"/>
    <x v="64"/>
    <x v="7"/>
    <x v="1"/>
    <x v="0"/>
    <x v="0"/>
    <x v="0"/>
    <x v="2"/>
    <x v="0"/>
    <x v="7"/>
    <x v="0"/>
    <x v="0"/>
    <x v="0"/>
    <x v="1"/>
  </r>
  <r>
    <x v="1239"/>
    <x v="137"/>
    <x v="531"/>
    <x v="0"/>
    <x v="1"/>
    <x v="1"/>
    <x v="2"/>
    <x v="2"/>
    <x v="0"/>
    <x v="2"/>
    <x v="36"/>
    <x v="0"/>
    <x v="1"/>
    <x v="0"/>
    <x v="0"/>
  </r>
  <r>
    <x v="1240"/>
    <x v="137"/>
    <x v="247"/>
    <x v="12"/>
    <x v="1"/>
    <x v="1"/>
    <x v="2"/>
    <x v="2"/>
    <x v="0"/>
    <x v="2"/>
    <x v="36"/>
    <x v="0"/>
    <x v="1"/>
    <x v="0"/>
    <x v="3"/>
  </r>
  <r>
    <x v="1241"/>
    <x v="137"/>
    <x v="100"/>
    <x v="3"/>
    <x v="1"/>
    <x v="2"/>
    <x v="5"/>
    <x v="1"/>
    <x v="2"/>
    <x v="5"/>
    <x v="5"/>
    <x v="1"/>
    <x v="0"/>
    <x v="0"/>
    <x v="1"/>
  </r>
  <r>
    <x v="1242"/>
    <x v="137"/>
    <x v="29"/>
    <x v="3"/>
    <x v="1"/>
    <x v="0"/>
    <x v="2"/>
    <x v="2"/>
    <x v="2"/>
    <x v="2"/>
    <x v="2"/>
    <x v="0"/>
    <x v="0"/>
    <x v="3"/>
    <x v="4"/>
  </r>
  <r>
    <x v="1243"/>
    <x v="137"/>
    <x v="333"/>
    <x v="3"/>
    <x v="1"/>
    <x v="0"/>
    <x v="0"/>
    <x v="0"/>
    <x v="2"/>
    <x v="0"/>
    <x v="7"/>
    <x v="0"/>
    <x v="0"/>
    <x v="0"/>
    <x v="0"/>
  </r>
  <r>
    <x v="1244"/>
    <x v="137"/>
    <x v="187"/>
    <x v="2"/>
    <x v="1"/>
    <x v="1"/>
    <x v="6"/>
    <x v="0"/>
    <x v="2"/>
    <x v="6"/>
    <x v="56"/>
    <x v="0"/>
    <x v="1"/>
    <x v="0"/>
    <x v="3"/>
  </r>
  <r>
    <x v="1245"/>
    <x v="171"/>
    <x v="252"/>
    <x v="8"/>
    <x v="2"/>
    <x v="2"/>
    <x v="0"/>
    <x v="0"/>
    <x v="0"/>
    <x v="0"/>
    <x v="0"/>
    <x v="1"/>
    <x v="0"/>
    <x v="3"/>
    <x v="2"/>
  </r>
  <r>
    <x v="1246"/>
    <x v="172"/>
    <x v="534"/>
    <x v="6"/>
    <x v="3"/>
    <x v="0"/>
    <x v="11"/>
    <x v="1"/>
    <x v="0"/>
    <x v="11"/>
    <x v="39"/>
    <x v="0"/>
    <x v="0"/>
    <x v="0"/>
    <x v="0"/>
  </r>
  <r>
    <x v="1247"/>
    <x v="173"/>
    <x v="379"/>
    <x v="5"/>
    <x v="5"/>
    <x v="0"/>
    <x v="2"/>
    <x v="2"/>
    <x v="2"/>
    <x v="2"/>
    <x v="30"/>
    <x v="1"/>
    <x v="1"/>
    <x v="3"/>
    <x v="2"/>
  </r>
  <r>
    <x v="1248"/>
    <x v="172"/>
    <x v="326"/>
    <x v="3"/>
    <x v="3"/>
    <x v="0"/>
    <x v="13"/>
    <x v="0"/>
    <x v="2"/>
    <x v="2"/>
    <x v="2"/>
    <x v="1"/>
    <x v="0"/>
    <x v="0"/>
    <x v="1"/>
  </r>
  <r>
    <x v="1249"/>
    <x v="172"/>
    <x v="535"/>
    <x v="4"/>
    <x v="3"/>
    <x v="1"/>
    <x v="7"/>
    <x v="2"/>
    <x v="2"/>
    <x v="7"/>
    <x v="9"/>
    <x v="0"/>
    <x v="0"/>
    <x v="2"/>
    <x v="4"/>
  </r>
  <r>
    <x v="1250"/>
    <x v="172"/>
    <x v="72"/>
    <x v="3"/>
    <x v="3"/>
    <x v="0"/>
    <x v="8"/>
    <x v="2"/>
    <x v="2"/>
    <x v="8"/>
    <x v="10"/>
    <x v="1"/>
    <x v="0"/>
    <x v="2"/>
    <x v="1"/>
  </r>
  <r>
    <x v="1251"/>
    <x v="174"/>
    <x v="536"/>
    <x v="12"/>
    <x v="4"/>
    <x v="0"/>
    <x v="6"/>
    <x v="0"/>
    <x v="2"/>
    <x v="6"/>
    <x v="6"/>
    <x v="0"/>
    <x v="0"/>
    <x v="0"/>
    <x v="0"/>
  </r>
  <r>
    <x v="1252"/>
    <x v="174"/>
    <x v="293"/>
    <x v="5"/>
    <x v="4"/>
    <x v="1"/>
    <x v="2"/>
    <x v="2"/>
    <x v="0"/>
    <x v="2"/>
    <x v="10"/>
    <x v="0"/>
    <x v="0"/>
    <x v="0"/>
    <x v="0"/>
  </r>
  <r>
    <x v="1253"/>
    <x v="174"/>
    <x v="121"/>
    <x v="5"/>
    <x v="4"/>
    <x v="1"/>
    <x v="13"/>
    <x v="0"/>
    <x v="1"/>
    <x v="2"/>
    <x v="40"/>
    <x v="1"/>
    <x v="0"/>
    <x v="0"/>
    <x v="1"/>
  </r>
  <r>
    <x v="1254"/>
    <x v="174"/>
    <x v="408"/>
    <x v="5"/>
    <x v="4"/>
    <x v="0"/>
    <x v="0"/>
    <x v="0"/>
    <x v="0"/>
    <x v="0"/>
    <x v="0"/>
    <x v="0"/>
    <x v="0"/>
    <x v="2"/>
    <x v="3"/>
  </r>
  <r>
    <x v="1255"/>
    <x v="174"/>
    <x v="158"/>
    <x v="1"/>
    <x v="4"/>
    <x v="2"/>
    <x v="11"/>
    <x v="1"/>
    <x v="2"/>
    <x v="11"/>
    <x v="24"/>
    <x v="0"/>
    <x v="0"/>
    <x v="0"/>
    <x v="1"/>
  </r>
  <r>
    <x v="1256"/>
    <x v="174"/>
    <x v="389"/>
    <x v="3"/>
    <x v="4"/>
    <x v="1"/>
    <x v="2"/>
    <x v="2"/>
    <x v="2"/>
    <x v="2"/>
    <x v="57"/>
    <x v="0"/>
    <x v="2"/>
    <x v="0"/>
    <x v="4"/>
  </r>
  <r>
    <x v="1257"/>
    <x v="174"/>
    <x v="228"/>
    <x v="3"/>
    <x v="4"/>
    <x v="0"/>
    <x v="10"/>
    <x v="4"/>
    <x v="2"/>
    <x v="10"/>
    <x v="13"/>
    <x v="1"/>
    <x v="0"/>
    <x v="0"/>
    <x v="1"/>
  </r>
  <r>
    <x v="1258"/>
    <x v="174"/>
    <x v="454"/>
    <x v="2"/>
    <x v="4"/>
    <x v="0"/>
    <x v="14"/>
    <x v="3"/>
    <x v="2"/>
    <x v="14"/>
    <x v="25"/>
    <x v="0"/>
    <x v="0"/>
    <x v="0"/>
    <x v="3"/>
  </r>
  <r>
    <x v="1259"/>
    <x v="174"/>
    <x v="436"/>
    <x v="2"/>
    <x v="4"/>
    <x v="0"/>
    <x v="14"/>
    <x v="3"/>
    <x v="2"/>
    <x v="14"/>
    <x v="25"/>
    <x v="0"/>
    <x v="0"/>
    <x v="3"/>
    <x v="2"/>
  </r>
  <r>
    <x v="1260"/>
    <x v="174"/>
    <x v="442"/>
    <x v="4"/>
    <x v="4"/>
    <x v="1"/>
    <x v="14"/>
    <x v="3"/>
    <x v="2"/>
    <x v="14"/>
    <x v="25"/>
    <x v="0"/>
    <x v="0"/>
    <x v="4"/>
    <x v="3"/>
  </r>
  <r>
    <x v="1261"/>
    <x v="175"/>
    <x v="199"/>
    <x v="4"/>
    <x v="1"/>
    <x v="1"/>
    <x v="4"/>
    <x v="1"/>
    <x v="2"/>
    <x v="4"/>
    <x v="15"/>
    <x v="0"/>
    <x v="0"/>
    <x v="2"/>
    <x v="2"/>
  </r>
  <r>
    <x v="1262"/>
    <x v="176"/>
    <x v="306"/>
    <x v="0"/>
    <x v="3"/>
    <x v="1"/>
    <x v="13"/>
    <x v="0"/>
    <x v="2"/>
    <x v="2"/>
    <x v="2"/>
    <x v="1"/>
    <x v="0"/>
    <x v="0"/>
    <x v="1"/>
  </r>
  <r>
    <x v="1263"/>
    <x v="177"/>
    <x v="537"/>
    <x v="12"/>
    <x v="5"/>
    <x v="0"/>
    <x v="14"/>
    <x v="3"/>
    <x v="2"/>
    <x v="14"/>
    <x v="58"/>
    <x v="0"/>
    <x v="1"/>
    <x v="3"/>
    <x v="0"/>
  </r>
  <r>
    <x v="1264"/>
    <x v="177"/>
    <x v="538"/>
    <x v="6"/>
    <x v="5"/>
    <x v="1"/>
    <x v="8"/>
    <x v="2"/>
    <x v="2"/>
    <x v="8"/>
    <x v="10"/>
    <x v="0"/>
    <x v="0"/>
    <x v="2"/>
    <x v="3"/>
  </r>
  <r>
    <x v="1265"/>
    <x v="177"/>
    <x v="40"/>
    <x v="5"/>
    <x v="5"/>
    <x v="1"/>
    <x v="3"/>
    <x v="3"/>
    <x v="2"/>
    <x v="3"/>
    <x v="3"/>
    <x v="0"/>
    <x v="0"/>
    <x v="0"/>
    <x v="0"/>
  </r>
  <r>
    <x v="1266"/>
    <x v="177"/>
    <x v="17"/>
    <x v="5"/>
    <x v="5"/>
    <x v="2"/>
    <x v="0"/>
    <x v="0"/>
    <x v="1"/>
    <x v="0"/>
    <x v="2"/>
    <x v="1"/>
    <x v="0"/>
    <x v="0"/>
    <x v="2"/>
  </r>
  <r>
    <x v="1267"/>
    <x v="177"/>
    <x v="17"/>
    <x v="5"/>
    <x v="5"/>
    <x v="1"/>
    <x v="3"/>
    <x v="3"/>
    <x v="2"/>
    <x v="3"/>
    <x v="3"/>
    <x v="1"/>
    <x v="0"/>
    <x v="0"/>
    <x v="1"/>
  </r>
  <r>
    <x v="1268"/>
    <x v="177"/>
    <x v="237"/>
    <x v="1"/>
    <x v="5"/>
    <x v="0"/>
    <x v="3"/>
    <x v="3"/>
    <x v="2"/>
    <x v="3"/>
    <x v="3"/>
    <x v="1"/>
    <x v="0"/>
    <x v="0"/>
    <x v="2"/>
  </r>
  <r>
    <x v="1269"/>
    <x v="177"/>
    <x v="130"/>
    <x v="1"/>
    <x v="5"/>
    <x v="0"/>
    <x v="7"/>
    <x v="2"/>
    <x v="2"/>
    <x v="7"/>
    <x v="9"/>
    <x v="1"/>
    <x v="0"/>
    <x v="0"/>
    <x v="4"/>
  </r>
  <r>
    <x v="1270"/>
    <x v="177"/>
    <x v="259"/>
    <x v="1"/>
    <x v="5"/>
    <x v="1"/>
    <x v="2"/>
    <x v="2"/>
    <x v="0"/>
    <x v="2"/>
    <x v="10"/>
    <x v="0"/>
    <x v="0"/>
    <x v="2"/>
    <x v="2"/>
  </r>
  <r>
    <x v="1271"/>
    <x v="177"/>
    <x v="84"/>
    <x v="3"/>
    <x v="5"/>
    <x v="1"/>
    <x v="4"/>
    <x v="1"/>
    <x v="0"/>
    <x v="4"/>
    <x v="35"/>
    <x v="1"/>
    <x v="0"/>
    <x v="1"/>
    <x v="3"/>
  </r>
  <r>
    <x v="1272"/>
    <x v="177"/>
    <x v="492"/>
    <x v="2"/>
    <x v="5"/>
    <x v="1"/>
    <x v="2"/>
    <x v="2"/>
    <x v="2"/>
    <x v="2"/>
    <x v="2"/>
    <x v="0"/>
    <x v="0"/>
    <x v="0"/>
    <x v="2"/>
  </r>
  <r>
    <x v="1273"/>
    <x v="178"/>
    <x v="539"/>
    <x v="0"/>
    <x v="6"/>
    <x v="0"/>
    <x v="6"/>
    <x v="0"/>
    <x v="2"/>
    <x v="6"/>
    <x v="6"/>
    <x v="0"/>
    <x v="0"/>
    <x v="0"/>
    <x v="4"/>
  </r>
  <r>
    <x v="1274"/>
    <x v="178"/>
    <x v="540"/>
    <x v="11"/>
    <x v="6"/>
    <x v="1"/>
    <x v="5"/>
    <x v="1"/>
    <x v="0"/>
    <x v="5"/>
    <x v="17"/>
    <x v="1"/>
    <x v="0"/>
    <x v="3"/>
    <x v="0"/>
  </r>
  <r>
    <x v="1275"/>
    <x v="178"/>
    <x v="541"/>
    <x v="8"/>
    <x v="6"/>
    <x v="0"/>
    <x v="0"/>
    <x v="0"/>
    <x v="2"/>
    <x v="0"/>
    <x v="7"/>
    <x v="0"/>
    <x v="0"/>
    <x v="0"/>
    <x v="4"/>
  </r>
  <r>
    <x v="1276"/>
    <x v="178"/>
    <x v="340"/>
    <x v="5"/>
    <x v="6"/>
    <x v="0"/>
    <x v="0"/>
    <x v="0"/>
    <x v="0"/>
    <x v="0"/>
    <x v="53"/>
    <x v="1"/>
    <x v="1"/>
    <x v="2"/>
    <x v="2"/>
  </r>
  <r>
    <x v="1277"/>
    <x v="178"/>
    <x v="130"/>
    <x v="1"/>
    <x v="6"/>
    <x v="2"/>
    <x v="0"/>
    <x v="0"/>
    <x v="2"/>
    <x v="0"/>
    <x v="7"/>
    <x v="1"/>
    <x v="0"/>
    <x v="2"/>
    <x v="0"/>
  </r>
  <r>
    <x v="1278"/>
    <x v="178"/>
    <x v="96"/>
    <x v="2"/>
    <x v="6"/>
    <x v="2"/>
    <x v="11"/>
    <x v="1"/>
    <x v="2"/>
    <x v="11"/>
    <x v="24"/>
    <x v="0"/>
    <x v="0"/>
    <x v="0"/>
    <x v="3"/>
  </r>
  <r>
    <x v="1279"/>
    <x v="178"/>
    <x v="365"/>
    <x v="2"/>
    <x v="6"/>
    <x v="1"/>
    <x v="3"/>
    <x v="3"/>
    <x v="0"/>
    <x v="3"/>
    <x v="14"/>
    <x v="0"/>
    <x v="0"/>
    <x v="1"/>
    <x v="0"/>
  </r>
  <r>
    <x v="1280"/>
    <x v="179"/>
    <x v="308"/>
    <x v="0"/>
    <x v="0"/>
    <x v="0"/>
    <x v="0"/>
    <x v="0"/>
    <x v="2"/>
    <x v="0"/>
    <x v="7"/>
    <x v="0"/>
    <x v="0"/>
    <x v="0"/>
    <x v="0"/>
  </r>
  <r>
    <x v="1281"/>
    <x v="179"/>
    <x v="536"/>
    <x v="12"/>
    <x v="0"/>
    <x v="2"/>
    <x v="7"/>
    <x v="2"/>
    <x v="0"/>
    <x v="7"/>
    <x v="12"/>
    <x v="1"/>
    <x v="0"/>
    <x v="0"/>
    <x v="3"/>
  </r>
  <r>
    <x v="1282"/>
    <x v="179"/>
    <x v="474"/>
    <x v="8"/>
    <x v="0"/>
    <x v="2"/>
    <x v="5"/>
    <x v="1"/>
    <x v="2"/>
    <x v="5"/>
    <x v="71"/>
    <x v="0"/>
    <x v="1"/>
    <x v="0"/>
    <x v="0"/>
  </r>
  <r>
    <x v="1283"/>
    <x v="179"/>
    <x v="301"/>
    <x v="3"/>
    <x v="0"/>
    <x v="1"/>
    <x v="3"/>
    <x v="3"/>
    <x v="2"/>
    <x v="3"/>
    <x v="3"/>
    <x v="0"/>
    <x v="0"/>
    <x v="2"/>
    <x v="3"/>
  </r>
  <r>
    <x v="1284"/>
    <x v="179"/>
    <x v="296"/>
    <x v="2"/>
    <x v="0"/>
    <x v="1"/>
    <x v="1"/>
    <x v="1"/>
    <x v="2"/>
    <x v="1"/>
    <x v="8"/>
    <x v="0"/>
    <x v="0"/>
    <x v="0"/>
    <x v="3"/>
  </r>
  <r>
    <x v="1285"/>
    <x v="180"/>
    <x v="542"/>
    <x v="10"/>
    <x v="1"/>
    <x v="2"/>
    <x v="7"/>
    <x v="2"/>
    <x v="0"/>
    <x v="7"/>
    <x v="12"/>
    <x v="0"/>
    <x v="0"/>
    <x v="2"/>
    <x v="2"/>
  </r>
  <r>
    <x v="1286"/>
    <x v="180"/>
    <x v="543"/>
    <x v="8"/>
    <x v="1"/>
    <x v="2"/>
    <x v="6"/>
    <x v="0"/>
    <x v="1"/>
    <x v="6"/>
    <x v="23"/>
    <x v="1"/>
    <x v="2"/>
    <x v="0"/>
    <x v="1"/>
  </r>
  <r>
    <x v="1287"/>
    <x v="180"/>
    <x v="267"/>
    <x v="3"/>
    <x v="1"/>
    <x v="1"/>
    <x v="1"/>
    <x v="1"/>
    <x v="2"/>
    <x v="1"/>
    <x v="8"/>
    <x v="1"/>
    <x v="0"/>
    <x v="0"/>
    <x v="3"/>
  </r>
  <r>
    <x v="1288"/>
    <x v="180"/>
    <x v="124"/>
    <x v="2"/>
    <x v="1"/>
    <x v="1"/>
    <x v="7"/>
    <x v="2"/>
    <x v="2"/>
    <x v="7"/>
    <x v="9"/>
    <x v="1"/>
    <x v="0"/>
    <x v="2"/>
    <x v="0"/>
  </r>
  <r>
    <x v="1289"/>
    <x v="180"/>
    <x v="288"/>
    <x v="2"/>
    <x v="1"/>
    <x v="1"/>
    <x v="7"/>
    <x v="2"/>
    <x v="2"/>
    <x v="7"/>
    <x v="9"/>
    <x v="1"/>
    <x v="0"/>
    <x v="0"/>
    <x v="4"/>
  </r>
  <r>
    <x v="1290"/>
    <x v="180"/>
    <x v="86"/>
    <x v="2"/>
    <x v="1"/>
    <x v="0"/>
    <x v="11"/>
    <x v="1"/>
    <x v="0"/>
    <x v="11"/>
    <x v="39"/>
    <x v="1"/>
    <x v="0"/>
    <x v="3"/>
    <x v="2"/>
  </r>
  <r>
    <x v="1291"/>
    <x v="181"/>
    <x v="280"/>
    <x v="7"/>
    <x v="2"/>
    <x v="2"/>
    <x v="0"/>
    <x v="0"/>
    <x v="2"/>
    <x v="0"/>
    <x v="7"/>
    <x v="0"/>
    <x v="0"/>
    <x v="0"/>
    <x v="1"/>
  </r>
  <r>
    <x v="1292"/>
    <x v="181"/>
    <x v="223"/>
    <x v="8"/>
    <x v="2"/>
    <x v="2"/>
    <x v="11"/>
    <x v="1"/>
    <x v="2"/>
    <x v="11"/>
    <x v="24"/>
    <x v="0"/>
    <x v="0"/>
    <x v="0"/>
    <x v="0"/>
  </r>
  <r>
    <x v="1293"/>
    <x v="181"/>
    <x v="202"/>
    <x v="1"/>
    <x v="2"/>
    <x v="0"/>
    <x v="8"/>
    <x v="2"/>
    <x v="2"/>
    <x v="8"/>
    <x v="10"/>
    <x v="0"/>
    <x v="0"/>
    <x v="0"/>
    <x v="4"/>
  </r>
  <r>
    <x v="1294"/>
    <x v="181"/>
    <x v="248"/>
    <x v="3"/>
    <x v="2"/>
    <x v="0"/>
    <x v="9"/>
    <x v="3"/>
    <x v="2"/>
    <x v="7"/>
    <x v="9"/>
    <x v="1"/>
    <x v="0"/>
    <x v="3"/>
    <x v="4"/>
  </r>
  <r>
    <x v="1295"/>
    <x v="181"/>
    <x v="466"/>
    <x v="3"/>
    <x v="2"/>
    <x v="1"/>
    <x v="11"/>
    <x v="1"/>
    <x v="2"/>
    <x v="11"/>
    <x v="24"/>
    <x v="0"/>
    <x v="0"/>
    <x v="0"/>
    <x v="1"/>
  </r>
  <r>
    <x v="1296"/>
    <x v="181"/>
    <x v="101"/>
    <x v="2"/>
    <x v="2"/>
    <x v="0"/>
    <x v="2"/>
    <x v="2"/>
    <x v="0"/>
    <x v="2"/>
    <x v="10"/>
    <x v="0"/>
    <x v="0"/>
    <x v="0"/>
    <x v="4"/>
  </r>
  <r>
    <x v="1297"/>
    <x v="181"/>
    <x v="460"/>
    <x v="4"/>
    <x v="2"/>
    <x v="2"/>
    <x v="12"/>
    <x v="4"/>
    <x v="2"/>
    <x v="8"/>
    <x v="10"/>
    <x v="0"/>
    <x v="0"/>
    <x v="0"/>
    <x v="0"/>
  </r>
  <r>
    <x v="1298"/>
    <x v="182"/>
    <x v="173"/>
    <x v="7"/>
    <x v="3"/>
    <x v="2"/>
    <x v="4"/>
    <x v="1"/>
    <x v="0"/>
    <x v="4"/>
    <x v="35"/>
    <x v="1"/>
    <x v="0"/>
    <x v="0"/>
    <x v="0"/>
  </r>
  <r>
    <x v="1299"/>
    <x v="182"/>
    <x v="332"/>
    <x v="7"/>
    <x v="3"/>
    <x v="2"/>
    <x v="0"/>
    <x v="0"/>
    <x v="2"/>
    <x v="0"/>
    <x v="7"/>
    <x v="0"/>
    <x v="0"/>
    <x v="0"/>
    <x v="0"/>
  </r>
  <r>
    <x v="1300"/>
    <x v="182"/>
    <x v="502"/>
    <x v="7"/>
    <x v="3"/>
    <x v="0"/>
    <x v="4"/>
    <x v="1"/>
    <x v="2"/>
    <x v="4"/>
    <x v="15"/>
    <x v="1"/>
    <x v="0"/>
    <x v="0"/>
    <x v="0"/>
  </r>
  <r>
    <x v="1301"/>
    <x v="182"/>
    <x v="510"/>
    <x v="11"/>
    <x v="3"/>
    <x v="0"/>
    <x v="14"/>
    <x v="3"/>
    <x v="2"/>
    <x v="14"/>
    <x v="58"/>
    <x v="0"/>
    <x v="1"/>
    <x v="3"/>
    <x v="2"/>
  </r>
  <r>
    <x v="1302"/>
    <x v="182"/>
    <x v="544"/>
    <x v="8"/>
    <x v="3"/>
    <x v="2"/>
    <x v="5"/>
    <x v="1"/>
    <x v="0"/>
    <x v="5"/>
    <x v="47"/>
    <x v="1"/>
    <x v="1"/>
    <x v="0"/>
    <x v="1"/>
  </r>
  <r>
    <x v="1303"/>
    <x v="182"/>
    <x v="299"/>
    <x v="8"/>
    <x v="3"/>
    <x v="2"/>
    <x v="3"/>
    <x v="3"/>
    <x v="2"/>
    <x v="3"/>
    <x v="3"/>
    <x v="1"/>
    <x v="0"/>
    <x v="0"/>
    <x v="2"/>
  </r>
  <r>
    <x v="1304"/>
    <x v="182"/>
    <x v="475"/>
    <x v="5"/>
    <x v="3"/>
    <x v="1"/>
    <x v="14"/>
    <x v="3"/>
    <x v="2"/>
    <x v="14"/>
    <x v="58"/>
    <x v="1"/>
    <x v="1"/>
    <x v="3"/>
    <x v="2"/>
  </r>
  <r>
    <x v="1305"/>
    <x v="182"/>
    <x v="123"/>
    <x v="3"/>
    <x v="3"/>
    <x v="1"/>
    <x v="4"/>
    <x v="1"/>
    <x v="2"/>
    <x v="4"/>
    <x v="15"/>
    <x v="0"/>
    <x v="0"/>
    <x v="0"/>
    <x v="4"/>
  </r>
  <r>
    <x v="1306"/>
    <x v="182"/>
    <x v="177"/>
    <x v="3"/>
    <x v="3"/>
    <x v="1"/>
    <x v="2"/>
    <x v="2"/>
    <x v="0"/>
    <x v="2"/>
    <x v="10"/>
    <x v="0"/>
    <x v="0"/>
    <x v="0"/>
    <x v="1"/>
  </r>
  <r>
    <x v="1307"/>
    <x v="182"/>
    <x v="179"/>
    <x v="3"/>
    <x v="3"/>
    <x v="1"/>
    <x v="5"/>
    <x v="1"/>
    <x v="2"/>
    <x v="5"/>
    <x v="5"/>
    <x v="0"/>
    <x v="0"/>
    <x v="0"/>
    <x v="4"/>
  </r>
  <r>
    <x v="1308"/>
    <x v="182"/>
    <x v="297"/>
    <x v="2"/>
    <x v="3"/>
    <x v="2"/>
    <x v="7"/>
    <x v="2"/>
    <x v="1"/>
    <x v="7"/>
    <x v="8"/>
    <x v="0"/>
    <x v="0"/>
    <x v="0"/>
    <x v="2"/>
  </r>
  <r>
    <x v="1309"/>
    <x v="182"/>
    <x v="506"/>
    <x v="4"/>
    <x v="3"/>
    <x v="0"/>
    <x v="1"/>
    <x v="1"/>
    <x v="2"/>
    <x v="1"/>
    <x v="8"/>
    <x v="1"/>
    <x v="0"/>
    <x v="1"/>
    <x v="2"/>
  </r>
  <r>
    <x v="1310"/>
    <x v="182"/>
    <x v="545"/>
    <x v="4"/>
    <x v="3"/>
    <x v="0"/>
    <x v="2"/>
    <x v="2"/>
    <x v="0"/>
    <x v="2"/>
    <x v="10"/>
    <x v="0"/>
    <x v="0"/>
    <x v="0"/>
    <x v="2"/>
  </r>
  <r>
    <x v="1311"/>
    <x v="182"/>
    <x v="152"/>
    <x v="4"/>
    <x v="3"/>
    <x v="1"/>
    <x v="13"/>
    <x v="0"/>
    <x v="2"/>
    <x v="2"/>
    <x v="2"/>
    <x v="0"/>
    <x v="0"/>
    <x v="0"/>
    <x v="0"/>
  </r>
  <r>
    <x v="1312"/>
    <x v="183"/>
    <x v="255"/>
    <x v="7"/>
    <x v="4"/>
    <x v="1"/>
    <x v="7"/>
    <x v="2"/>
    <x v="2"/>
    <x v="7"/>
    <x v="25"/>
    <x v="0"/>
    <x v="1"/>
    <x v="0"/>
    <x v="1"/>
  </r>
  <r>
    <x v="1313"/>
    <x v="183"/>
    <x v="347"/>
    <x v="12"/>
    <x v="4"/>
    <x v="1"/>
    <x v="2"/>
    <x v="2"/>
    <x v="2"/>
    <x v="17"/>
    <x v="83"/>
    <x v="1"/>
    <x v="1"/>
    <x v="0"/>
    <x v="4"/>
  </r>
  <r>
    <x v="1314"/>
    <x v="183"/>
    <x v="546"/>
    <x v="6"/>
    <x v="4"/>
    <x v="2"/>
    <x v="14"/>
    <x v="3"/>
    <x v="2"/>
    <x v="14"/>
    <x v="25"/>
    <x v="1"/>
    <x v="0"/>
    <x v="4"/>
    <x v="4"/>
  </r>
  <r>
    <x v="1315"/>
    <x v="183"/>
    <x v="362"/>
    <x v="8"/>
    <x v="4"/>
    <x v="2"/>
    <x v="9"/>
    <x v="3"/>
    <x v="2"/>
    <x v="7"/>
    <x v="9"/>
    <x v="0"/>
    <x v="0"/>
    <x v="0"/>
    <x v="2"/>
  </r>
  <r>
    <x v="1316"/>
    <x v="183"/>
    <x v="1"/>
    <x v="1"/>
    <x v="4"/>
    <x v="1"/>
    <x v="6"/>
    <x v="0"/>
    <x v="2"/>
    <x v="6"/>
    <x v="6"/>
    <x v="0"/>
    <x v="0"/>
    <x v="0"/>
    <x v="0"/>
  </r>
  <r>
    <x v="1317"/>
    <x v="183"/>
    <x v="61"/>
    <x v="1"/>
    <x v="4"/>
    <x v="1"/>
    <x v="3"/>
    <x v="3"/>
    <x v="2"/>
    <x v="3"/>
    <x v="44"/>
    <x v="0"/>
    <x v="2"/>
    <x v="0"/>
    <x v="2"/>
  </r>
  <r>
    <x v="1318"/>
    <x v="183"/>
    <x v="389"/>
    <x v="3"/>
    <x v="4"/>
    <x v="0"/>
    <x v="10"/>
    <x v="4"/>
    <x v="0"/>
    <x v="10"/>
    <x v="32"/>
    <x v="0"/>
    <x v="0"/>
    <x v="1"/>
    <x v="3"/>
  </r>
  <r>
    <x v="1319"/>
    <x v="183"/>
    <x v="71"/>
    <x v="3"/>
    <x v="4"/>
    <x v="1"/>
    <x v="1"/>
    <x v="1"/>
    <x v="2"/>
    <x v="1"/>
    <x v="8"/>
    <x v="1"/>
    <x v="0"/>
    <x v="0"/>
    <x v="0"/>
  </r>
  <r>
    <x v="1320"/>
    <x v="183"/>
    <x v="547"/>
    <x v="3"/>
    <x v="4"/>
    <x v="1"/>
    <x v="1"/>
    <x v="1"/>
    <x v="2"/>
    <x v="1"/>
    <x v="8"/>
    <x v="1"/>
    <x v="0"/>
    <x v="0"/>
    <x v="2"/>
  </r>
  <r>
    <x v="1321"/>
    <x v="183"/>
    <x v="417"/>
    <x v="3"/>
    <x v="4"/>
    <x v="0"/>
    <x v="8"/>
    <x v="2"/>
    <x v="2"/>
    <x v="8"/>
    <x v="10"/>
    <x v="1"/>
    <x v="0"/>
    <x v="0"/>
    <x v="1"/>
  </r>
  <r>
    <x v="1322"/>
    <x v="183"/>
    <x v="48"/>
    <x v="2"/>
    <x v="4"/>
    <x v="1"/>
    <x v="8"/>
    <x v="2"/>
    <x v="2"/>
    <x v="8"/>
    <x v="10"/>
    <x v="0"/>
    <x v="0"/>
    <x v="0"/>
    <x v="2"/>
  </r>
  <r>
    <x v="1323"/>
    <x v="183"/>
    <x v="125"/>
    <x v="2"/>
    <x v="4"/>
    <x v="1"/>
    <x v="5"/>
    <x v="1"/>
    <x v="2"/>
    <x v="5"/>
    <x v="5"/>
    <x v="1"/>
    <x v="0"/>
    <x v="2"/>
    <x v="1"/>
  </r>
  <r>
    <x v="1324"/>
    <x v="183"/>
    <x v="459"/>
    <x v="2"/>
    <x v="4"/>
    <x v="1"/>
    <x v="5"/>
    <x v="1"/>
    <x v="2"/>
    <x v="5"/>
    <x v="71"/>
    <x v="1"/>
    <x v="1"/>
    <x v="0"/>
    <x v="0"/>
  </r>
  <r>
    <x v="1325"/>
    <x v="183"/>
    <x v="5"/>
    <x v="2"/>
    <x v="4"/>
    <x v="0"/>
    <x v="8"/>
    <x v="2"/>
    <x v="2"/>
    <x v="8"/>
    <x v="36"/>
    <x v="0"/>
    <x v="1"/>
    <x v="0"/>
    <x v="2"/>
  </r>
  <r>
    <x v="1326"/>
    <x v="183"/>
    <x v="5"/>
    <x v="2"/>
    <x v="4"/>
    <x v="1"/>
    <x v="8"/>
    <x v="2"/>
    <x v="0"/>
    <x v="8"/>
    <x v="21"/>
    <x v="1"/>
    <x v="0"/>
    <x v="0"/>
    <x v="0"/>
  </r>
  <r>
    <x v="1327"/>
    <x v="183"/>
    <x v="76"/>
    <x v="4"/>
    <x v="4"/>
    <x v="1"/>
    <x v="5"/>
    <x v="1"/>
    <x v="0"/>
    <x v="5"/>
    <x v="17"/>
    <x v="0"/>
    <x v="0"/>
    <x v="3"/>
    <x v="1"/>
  </r>
  <r>
    <x v="1328"/>
    <x v="184"/>
    <x v="377"/>
    <x v="10"/>
    <x v="5"/>
    <x v="0"/>
    <x v="7"/>
    <x v="2"/>
    <x v="1"/>
    <x v="7"/>
    <x v="8"/>
    <x v="1"/>
    <x v="0"/>
    <x v="1"/>
    <x v="0"/>
  </r>
  <r>
    <x v="1329"/>
    <x v="184"/>
    <x v="548"/>
    <x v="7"/>
    <x v="5"/>
    <x v="1"/>
    <x v="11"/>
    <x v="1"/>
    <x v="1"/>
    <x v="11"/>
    <x v="19"/>
    <x v="0"/>
    <x v="0"/>
    <x v="2"/>
    <x v="1"/>
  </r>
  <r>
    <x v="1330"/>
    <x v="184"/>
    <x v="120"/>
    <x v="5"/>
    <x v="5"/>
    <x v="1"/>
    <x v="0"/>
    <x v="0"/>
    <x v="1"/>
    <x v="0"/>
    <x v="2"/>
    <x v="0"/>
    <x v="0"/>
    <x v="2"/>
    <x v="3"/>
  </r>
  <r>
    <x v="1331"/>
    <x v="184"/>
    <x v="195"/>
    <x v="5"/>
    <x v="5"/>
    <x v="1"/>
    <x v="4"/>
    <x v="1"/>
    <x v="2"/>
    <x v="4"/>
    <x v="15"/>
    <x v="0"/>
    <x v="0"/>
    <x v="0"/>
    <x v="2"/>
  </r>
  <r>
    <x v="1332"/>
    <x v="184"/>
    <x v="158"/>
    <x v="1"/>
    <x v="5"/>
    <x v="0"/>
    <x v="0"/>
    <x v="0"/>
    <x v="0"/>
    <x v="0"/>
    <x v="0"/>
    <x v="0"/>
    <x v="0"/>
    <x v="2"/>
    <x v="4"/>
  </r>
  <r>
    <x v="1333"/>
    <x v="184"/>
    <x v="159"/>
    <x v="3"/>
    <x v="5"/>
    <x v="2"/>
    <x v="4"/>
    <x v="1"/>
    <x v="2"/>
    <x v="4"/>
    <x v="15"/>
    <x v="0"/>
    <x v="0"/>
    <x v="2"/>
    <x v="2"/>
  </r>
  <r>
    <x v="1334"/>
    <x v="184"/>
    <x v="47"/>
    <x v="3"/>
    <x v="5"/>
    <x v="0"/>
    <x v="6"/>
    <x v="0"/>
    <x v="2"/>
    <x v="6"/>
    <x v="60"/>
    <x v="1"/>
    <x v="3"/>
    <x v="0"/>
    <x v="4"/>
  </r>
  <r>
    <x v="1335"/>
    <x v="184"/>
    <x v="58"/>
    <x v="2"/>
    <x v="5"/>
    <x v="1"/>
    <x v="7"/>
    <x v="2"/>
    <x v="2"/>
    <x v="7"/>
    <x v="9"/>
    <x v="1"/>
    <x v="0"/>
    <x v="0"/>
    <x v="2"/>
  </r>
  <r>
    <x v="1336"/>
    <x v="185"/>
    <x v="549"/>
    <x v="10"/>
    <x v="6"/>
    <x v="0"/>
    <x v="6"/>
    <x v="0"/>
    <x v="0"/>
    <x v="6"/>
    <x v="2"/>
    <x v="0"/>
    <x v="0"/>
    <x v="0"/>
    <x v="4"/>
  </r>
  <r>
    <x v="1337"/>
    <x v="185"/>
    <x v="469"/>
    <x v="0"/>
    <x v="6"/>
    <x v="0"/>
    <x v="8"/>
    <x v="2"/>
    <x v="2"/>
    <x v="8"/>
    <x v="10"/>
    <x v="0"/>
    <x v="0"/>
    <x v="0"/>
    <x v="3"/>
  </r>
  <r>
    <x v="1338"/>
    <x v="185"/>
    <x v="59"/>
    <x v="8"/>
    <x v="6"/>
    <x v="1"/>
    <x v="5"/>
    <x v="1"/>
    <x v="1"/>
    <x v="5"/>
    <x v="28"/>
    <x v="1"/>
    <x v="0"/>
    <x v="0"/>
    <x v="0"/>
  </r>
  <r>
    <x v="1339"/>
    <x v="185"/>
    <x v="175"/>
    <x v="5"/>
    <x v="6"/>
    <x v="1"/>
    <x v="4"/>
    <x v="1"/>
    <x v="2"/>
    <x v="4"/>
    <x v="15"/>
    <x v="1"/>
    <x v="0"/>
    <x v="1"/>
    <x v="4"/>
  </r>
  <r>
    <x v="1340"/>
    <x v="185"/>
    <x v="276"/>
    <x v="1"/>
    <x v="6"/>
    <x v="2"/>
    <x v="6"/>
    <x v="0"/>
    <x v="2"/>
    <x v="6"/>
    <x v="6"/>
    <x v="0"/>
    <x v="0"/>
    <x v="1"/>
    <x v="1"/>
  </r>
  <r>
    <x v="1341"/>
    <x v="185"/>
    <x v="66"/>
    <x v="1"/>
    <x v="6"/>
    <x v="0"/>
    <x v="0"/>
    <x v="0"/>
    <x v="2"/>
    <x v="0"/>
    <x v="7"/>
    <x v="1"/>
    <x v="0"/>
    <x v="0"/>
    <x v="2"/>
  </r>
  <r>
    <x v="1342"/>
    <x v="185"/>
    <x v="258"/>
    <x v="1"/>
    <x v="6"/>
    <x v="2"/>
    <x v="6"/>
    <x v="0"/>
    <x v="2"/>
    <x v="6"/>
    <x v="6"/>
    <x v="1"/>
    <x v="0"/>
    <x v="0"/>
    <x v="2"/>
  </r>
  <r>
    <x v="1343"/>
    <x v="185"/>
    <x v="259"/>
    <x v="1"/>
    <x v="6"/>
    <x v="2"/>
    <x v="7"/>
    <x v="2"/>
    <x v="2"/>
    <x v="7"/>
    <x v="9"/>
    <x v="0"/>
    <x v="0"/>
    <x v="3"/>
    <x v="1"/>
  </r>
  <r>
    <x v="1344"/>
    <x v="185"/>
    <x v="482"/>
    <x v="1"/>
    <x v="6"/>
    <x v="2"/>
    <x v="6"/>
    <x v="0"/>
    <x v="2"/>
    <x v="6"/>
    <x v="6"/>
    <x v="0"/>
    <x v="0"/>
    <x v="0"/>
    <x v="0"/>
  </r>
  <r>
    <x v="1345"/>
    <x v="185"/>
    <x v="71"/>
    <x v="3"/>
    <x v="6"/>
    <x v="0"/>
    <x v="11"/>
    <x v="1"/>
    <x v="0"/>
    <x v="11"/>
    <x v="39"/>
    <x v="1"/>
    <x v="0"/>
    <x v="1"/>
    <x v="4"/>
  </r>
  <r>
    <x v="1346"/>
    <x v="185"/>
    <x v="249"/>
    <x v="3"/>
    <x v="6"/>
    <x v="0"/>
    <x v="6"/>
    <x v="0"/>
    <x v="0"/>
    <x v="6"/>
    <x v="2"/>
    <x v="0"/>
    <x v="0"/>
    <x v="0"/>
    <x v="0"/>
  </r>
  <r>
    <x v="1347"/>
    <x v="185"/>
    <x v="32"/>
    <x v="2"/>
    <x v="6"/>
    <x v="1"/>
    <x v="5"/>
    <x v="1"/>
    <x v="2"/>
    <x v="5"/>
    <x v="5"/>
    <x v="1"/>
    <x v="0"/>
    <x v="2"/>
    <x v="2"/>
  </r>
  <r>
    <x v="1348"/>
    <x v="185"/>
    <x v="380"/>
    <x v="2"/>
    <x v="6"/>
    <x v="0"/>
    <x v="8"/>
    <x v="2"/>
    <x v="1"/>
    <x v="8"/>
    <x v="5"/>
    <x v="1"/>
    <x v="0"/>
    <x v="0"/>
    <x v="4"/>
  </r>
  <r>
    <x v="1349"/>
    <x v="186"/>
    <x v="166"/>
    <x v="10"/>
    <x v="0"/>
    <x v="0"/>
    <x v="6"/>
    <x v="0"/>
    <x v="2"/>
    <x v="6"/>
    <x v="6"/>
    <x v="1"/>
    <x v="0"/>
    <x v="0"/>
    <x v="4"/>
  </r>
  <r>
    <x v="1350"/>
    <x v="186"/>
    <x v="408"/>
    <x v="5"/>
    <x v="0"/>
    <x v="2"/>
    <x v="8"/>
    <x v="2"/>
    <x v="2"/>
    <x v="8"/>
    <x v="10"/>
    <x v="1"/>
    <x v="0"/>
    <x v="0"/>
    <x v="2"/>
  </r>
  <r>
    <x v="1351"/>
    <x v="186"/>
    <x v="13"/>
    <x v="1"/>
    <x v="0"/>
    <x v="1"/>
    <x v="14"/>
    <x v="3"/>
    <x v="2"/>
    <x v="14"/>
    <x v="25"/>
    <x v="0"/>
    <x v="0"/>
    <x v="3"/>
    <x v="4"/>
  </r>
  <r>
    <x v="1352"/>
    <x v="186"/>
    <x v="171"/>
    <x v="1"/>
    <x v="0"/>
    <x v="0"/>
    <x v="7"/>
    <x v="2"/>
    <x v="2"/>
    <x v="7"/>
    <x v="9"/>
    <x v="1"/>
    <x v="0"/>
    <x v="0"/>
    <x v="0"/>
  </r>
  <r>
    <x v="1353"/>
    <x v="186"/>
    <x v="277"/>
    <x v="3"/>
    <x v="0"/>
    <x v="0"/>
    <x v="4"/>
    <x v="1"/>
    <x v="0"/>
    <x v="4"/>
    <x v="35"/>
    <x v="0"/>
    <x v="0"/>
    <x v="0"/>
    <x v="4"/>
  </r>
  <r>
    <x v="1354"/>
    <x v="187"/>
    <x v="550"/>
    <x v="9"/>
    <x v="1"/>
    <x v="0"/>
    <x v="1"/>
    <x v="1"/>
    <x v="2"/>
    <x v="1"/>
    <x v="8"/>
    <x v="1"/>
    <x v="0"/>
    <x v="0"/>
    <x v="0"/>
  </r>
  <r>
    <x v="1355"/>
    <x v="187"/>
    <x v="456"/>
    <x v="0"/>
    <x v="1"/>
    <x v="0"/>
    <x v="2"/>
    <x v="2"/>
    <x v="0"/>
    <x v="2"/>
    <x v="10"/>
    <x v="1"/>
    <x v="0"/>
    <x v="2"/>
    <x v="1"/>
  </r>
  <r>
    <x v="1356"/>
    <x v="187"/>
    <x v="282"/>
    <x v="1"/>
    <x v="1"/>
    <x v="0"/>
    <x v="6"/>
    <x v="0"/>
    <x v="2"/>
    <x v="6"/>
    <x v="6"/>
    <x v="0"/>
    <x v="0"/>
    <x v="3"/>
    <x v="1"/>
  </r>
  <r>
    <x v="1357"/>
    <x v="187"/>
    <x v="8"/>
    <x v="1"/>
    <x v="1"/>
    <x v="0"/>
    <x v="6"/>
    <x v="0"/>
    <x v="0"/>
    <x v="6"/>
    <x v="2"/>
    <x v="0"/>
    <x v="0"/>
    <x v="3"/>
    <x v="2"/>
  </r>
  <r>
    <x v="1358"/>
    <x v="187"/>
    <x v="171"/>
    <x v="1"/>
    <x v="1"/>
    <x v="0"/>
    <x v="5"/>
    <x v="1"/>
    <x v="2"/>
    <x v="5"/>
    <x v="5"/>
    <x v="0"/>
    <x v="0"/>
    <x v="2"/>
    <x v="2"/>
  </r>
  <r>
    <x v="1359"/>
    <x v="187"/>
    <x v="179"/>
    <x v="3"/>
    <x v="1"/>
    <x v="0"/>
    <x v="6"/>
    <x v="0"/>
    <x v="2"/>
    <x v="6"/>
    <x v="6"/>
    <x v="1"/>
    <x v="0"/>
    <x v="0"/>
    <x v="0"/>
  </r>
  <r>
    <x v="1360"/>
    <x v="187"/>
    <x v="31"/>
    <x v="3"/>
    <x v="1"/>
    <x v="1"/>
    <x v="10"/>
    <x v="4"/>
    <x v="0"/>
    <x v="10"/>
    <x v="32"/>
    <x v="1"/>
    <x v="0"/>
    <x v="0"/>
    <x v="3"/>
  </r>
  <r>
    <x v="1361"/>
    <x v="187"/>
    <x v="125"/>
    <x v="2"/>
    <x v="1"/>
    <x v="2"/>
    <x v="6"/>
    <x v="0"/>
    <x v="2"/>
    <x v="6"/>
    <x v="6"/>
    <x v="0"/>
    <x v="0"/>
    <x v="0"/>
    <x v="4"/>
  </r>
  <r>
    <x v="1362"/>
    <x v="188"/>
    <x v="333"/>
    <x v="3"/>
    <x v="2"/>
    <x v="0"/>
    <x v="1"/>
    <x v="1"/>
    <x v="2"/>
    <x v="1"/>
    <x v="76"/>
    <x v="0"/>
    <x v="3"/>
    <x v="1"/>
    <x v="4"/>
  </r>
  <r>
    <x v="1363"/>
    <x v="189"/>
    <x v="551"/>
    <x v="10"/>
    <x v="3"/>
    <x v="1"/>
    <x v="6"/>
    <x v="0"/>
    <x v="0"/>
    <x v="6"/>
    <x v="2"/>
    <x v="1"/>
    <x v="0"/>
    <x v="2"/>
    <x v="2"/>
  </r>
  <r>
    <x v="1364"/>
    <x v="189"/>
    <x v="104"/>
    <x v="10"/>
    <x v="3"/>
    <x v="1"/>
    <x v="1"/>
    <x v="1"/>
    <x v="0"/>
    <x v="1"/>
    <x v="16"/>
    <x v="1"/>
    <x v="0"/>
    <x v="3"/>
    <x v="1"/>
  </r>
  <r>
    <x v="1365"/>
    <x v="189"/>
    <x v="552"/>
    <x v="7"/>
    <x v="3"/>
    <x v="1"/>
    <x v="13"/>
    <x v="0"/>
    <x v="2"/>
    <x v="2"/>
    <x v="2"/>
    <x v="1"/>
    <x v="0"/>
    <x v="0"/>
    <x v="1"/>
  </r>
  <r>
    <x v="1366"/>
    <x v="189"/>
    <x v="553"/>
    <x v="11"/>
    <x v="3"/>
    <x v="1"/>
    <x v="6"/>
    <x v="0"/>
    <x v="2"/>
    <x v="6"/>
    <x v="6"/>
    <x v="0"/>
    <x v="0"/>
    <x v="2"/>
    <x v="1"/>
  </r>
  <r>
    <x v="1367"/>
    <x v="189"/>
    <x v="226"/>
    <x v="5"/>
    <x v="3"/>
    <x v="1"/>
    <x v="4"/>
    <x v="1"/>
    <x v="2"/>
    <x v="4"/>
    <x v="15"/>
    <x v="0"/>
    <x v="0"/>
    <x v="0"/>
    <x v="3"/>
  </r>
  <r>
    <x v="1368"/>
    <x v="189"/>
    <x v="428"/>
    <x v="1"/>
    <x v="3"/>
    <x v="1"/>
    <x v="2"/>
    <x v="2"/>
    <x v="2"/>
    <x v="2"/>
    <x v="2"/>
    <x v="0"/>
    <x v="0"/>
    <x v="0"/>
    <x v="2"/>
  </r>
  <r>
    <x v="1369"/>
    <x v="189"/>
    <x v="67"/>
    <x v="3"/>
    <x v="3"/>
    <x v="1"/>
    <x v="8"/>
    <x v="2"/>
    <x v="2"/>
    <x v="8"/>
    <x v="10"/>
    <x v="0"/>
    <x v="0"/>
    <x v="2"/>
    <x v="4"/>
  </r>
  <r>
    <x v="1370"/>
    <x v="189"/>
    <x v="440"/>
    <x v="2"/>
    <x v="3"/>
    <x v="1"/>
    <x v="5"/>
    <x v="1"/>
    <x v="2"/>
    <x v="5"/>
    <x v="5"/>
    <x v="0"/>
    <x v="0"/>
    <x v="2"/>
    <x v="4"/>
  </r>
  <r>
    <x v="1371"/>
    <x v="189"/>
    <x v="513"/>
    <x v="2"/>
    <x v="3"/>
    <x v="0"/>
    <x v="0"/>
    <x v="0"/>
    <x v="2"/>
    <x v="0"/>
    <x v="7"/>
    <x v="0"/>
    <x v="0"/>
    <x v="0"/>
    <x v="2"/>
  </r>
  <r>
    <x v="1372"/>
    <x v="190"/>
    <x v="554"/>
    <x v="12"/>
    <x v="4"/>
    <x v="2"/>
    <x v="2"/>
    <x v="2"/>
    <x v="2"/>
    <x v="2"/>
    <x v="2"/>
    <x v="0"/>
    <x v="0"/>
    <x v="0"/>
    <x v="1"/>
  </r>
  <r>
    <x v="1373"/>
    <x v="190"/>
    <x v="555"/>
    <x v="8"/>
    <x v="4"/>
    <x v="0"/>
    <x v="5"/>
    <x v="1"/>
    <x v="2"/>
    <x v="5"/>
    <x v="5"/>
    <x v="1"/>
    <x v="0"/>
    <x v="0"/>
    <x v="3"/>
  </r>
  <r>
    <x v="1374"/>
    <x v="190"/>
    <x v="556"/>
    <x v="8"/>
    <x v="4"/>
    <x v="2"/>
    <x v="9"/>
    <x v="3"/>
    <x v="0"/>
    <x v="7"/>
    <x v="12"/>
    <x v="1"/>
    <x v="0"/>
    <x v="0"/>
    <x v="3"/>
  </r>
  <r>
    <x v="1375"/>
    <x v="190"/>
    <x v="44"/>
    <x v="5"/>
    <x v="4"/>
    <x v="1"/>
    <x v="0"/>
    <x v="0"/>
    <x v="2"/>
    <x v="0"/>
    <x v="7"/>
    <x v="0"/>
    <x v="0"/>
    <x v="0"/>
    <x v="1"/>
  </r>
  <r>
    <x v="1376"/>
    <x v="190"/>
    <x v="107"/>
    <x v="3"/>
    <x v="4"/>
    <x v="1"/>
    <x v="7"/>
    <x v="2"/>
    <x v="0"/>
    <x v="7"/>
    <x v="12"/>
    <x v="0"/>
    <x v="0"/>
    <x v="2"/>
    <x v="3"/>
  </r>
  <r>
    <x v="1377"/>
    <x v="190"/>
    <x v="95"/>
    <x v="3"/>
    <x v="4"/>
    <x v="0"/>
    <x v="1"/>
    <x v="1"/>
    <x v="2"/>
    <x v="1"/>
    <x v="8"/>
    <x v="0"/>
    <x v="0"/>
    <x v="2"/>
    <x v="4"/>
  </r>
  <r>
    <x v="1378"/>
    <x v="190"/>
    <x v="238"/>
    <x v="3"/>
    <x v="4"/>
    <x v="1"/>
    <x v="1"/>
    <x v="1"/>
    <x v="2"/>
    <x v="1"/>
    <x v="8"/>
    <x v="0"/>
    <x v="0"/>
    <x v="0"/>
    <x v="3"/>
  </r>
  <r>
    <x v="1379"/>
    <x v="190"/>
    <x v="76"/>
    <x v="4"/>
    <x v="4"/>
    <x v="1"/>
    <x v="10"/>
    <x v="4"/>
    <x v="2"/>
    <x v="10"/>
    <x v="13"/>
    <x v="0"/>
    <x v="0"/>
    <x v="1"/>
    <x v="4"/>
  </r>
  <r>
    <x v="1380"/>
    <x v="191"/>
    <x v="557"/>
    <x v="7"/>
    <x v="5"/>
    <x v="2"/>
    <x v="8"/>
    <x v="2"/>
    <x v="2"/>
    <x v="8"/>
    <x v="10"/>
    <x v="1"/>
    <x v="0"/>
    <x v="0"/>
    <x v="3"/>
  </r>
  <r>
    <x v="1381"/>
    <x v="191"/>
    <x v="498"/>
    <x v="0"/>
    <x v="5"/>
    <x v="2"/>
    <x v="3"/>
    <x v="3"/>
    <x v="0"/>
    <x v="3"/>
    <x v="14"/>
    <x v="0"/>
    <x v="0"/>
    <x v="2"/>
    <x v="0"/>
  </r>
  <r>
    <x v="1382"/>
    <x v="191"/>
    <x v="0"/>
    <x v="0"/>
    <x v="5"/>
    <x v="2"/>
    <x v="0"/>
    <x v="0"/>
    <x v="2"/>
    <x v="0"/>
    <x v="7"/>
    <x v="0"/>
    <x v="0"/>
    <x v="0"/>
    <x v="1"/>
  </r>
  <r>
    <x v="1383"/>
    <x v="191"/>
    <x v="558"/>
    <x v="8"/>
    <x v="5"/>
    <x v="1"/>
    <x v="8"/>
    <x v="2"/>
    <x v="2"/>
    <x v="8"/>
    <x v="10"/>
    <x v="1"/>
    <x v="0"/>
    <x v="0"/>
    <x v="0"/>
  </r>
  <r>
    <x v="1384"/>
    <x v="191"/>
    <x v="387"/>
    <x v="8"/>
    <x v="5"/>
    <x v="0"/>
    <x v="6"/>
    <x v="0"/>
    <x v="2"/>
    <x v="6"/>
    <x v="6"/>
    <x v="0"/>
    <x v="0"/>
    <x v="0"/>
    <x v="0"/>
  </r>
  <r>
    <x v="1385"/>
    <x v="191"/>
    <x v="177"/>
    <x v="3"/>
    <x v="5"/>
    <x v="1"/>
    <x v="5"/>
    <x v="1"/>
    <x v="0"/>
    <x v="5"/>
    <x v="17"/>
    <x v="1"/>
    <x v="0"/>
    <x v="0"/>
    <x v="3"/>
  </r>
  <r>
    <x v="1386"/>
    <x v="191"/>
    <x v="213"/>
    <x v="2"/>
    <x v="5"/>
    <x v="1"/>
    <x v="4"/>
    <x v="1"/>
    <x v="1"/>
    <x v="4"/>
    <x v="82"/>
    <x v="0"/>
    <x v="0"/>
    <x v="2"/>
    <x v="4"/>
  </r>
  <r>
    <x v="1387"/>
    <x v="191"/>
    <x v="359"/>
    <x v="2"/>
    <x v="5"/>
    <x v="1"/>
    <x v="11"/>
    <x v="1"/>
    <x v="2"/>
    <x v="11"/>
    <x v="24"/>
    <x v="1"/>
    <x v="0"/>
    <x v="1"/>
    <x v="1"/>
  </r>
  <r>
    <x v="1388"/>
    <x v="192"/>
    <x v="559"/>
    <x v="7"/>
    <x v="6"/>
    <x v="0"/>
    <x v="7"/>
    <x v="2"/>
    <x v="2"/>
    <x v="7"/>
    <x v="25"/>
    <x v="1"/>
    <x v="1"/>
    <x v="0"/>
    <x v="1"/>
  </r>
  <r>
    <x v="1389"/>
    <x v="192"/>
    <x v="560"/>
    <x v="11"/>
    <x v="6"/>
    <x v="0"/>
    <x v="1"/>
    <x v="1"/>
    <x v="2"/>
    <x v="1"/>
    <x v="8"/>
    <x v="1"/>
    <x v="0"/>
    <x v="0"/>
    <x v="2"/>
  </r>
  <r>
    <x v="1390"/>
    <x v="192"/>
    <x v="561"/>
    <x v="6"/>
    <x v="6"/>
    <x v="0"/>
    <x v="4"/>
    <x v="1"/>
    <x v="2"/>
    <x v="4"/>
    <x v="15"/>
    <x v="1"/>
    <x v="0"/>
    <x v="0"/>
    <x v="3"/>
  </r>
  <r>
    <x v="1391"/>
    <x v="192"/>
    <x v="226"/>
    <x v="5"/>
    <x v="6"/>
    <x v="0"/>
    <x v="6"/>
    <x v="0"/>
    <x v="2"/>
    <x v="6"/>
    <x v="6"/>
    <x v="0"/>
    <x v="0"/>
    <x v="3"/>
    <x v="3"/>
  </r>
  <r>
    <x v="1392"/>
    <x v="192"/>
    <x v="11"/>
    <x v="5"/>
    <x v="6"/>
    <x v="2"/>
    <x v="11"/>
    <x v="1"/>
    <x v="2"/>
    <x v="11"/>
    <x v="24"/>
    <x v="1"/>
    <x v="0"/>
    <x v="0"/>
    <x v="1"/>
  </r>
  <r>
    <x v="1393"/>
    <x v="192"/>
    <x v="427"/>
    <x v="5"/>
    <x v="6"/>
    <x v="1"/>
    <x v="0"/>
    <x v="0"/>
    <x v="2"/>
    <x v="0"/>
    <x v="38"/>
    <x v="0"/>
    <x v="1"/>
    <x v="0"/>
    <x v="3"/>
  </r>
  <r>
    <x v="1394"/>
    <x v="192"/>
    <x v="6"/>
    <x v="1"/>
    <x v="6"/>
    <x v="1"/>
    <x v="13"/>
    <x v="0"/>
    <x v="2"/>
    <x v="2"/>
    <x v="2"/>
    <x v="1"/>
    <x v="0"/>
    <x v="1"/>
    <x v="0"/>
  </r>
  <r>
    <x v="1395"/>
    <x v="192"/>
    <x v="113"/>
    <x v="1"/>
    <x v="6"/>
    <x v="0"/>
    <x v="0"/>
    <x v="0"/>
    <x v="2"/>
    <x v="0"/>
    <x v="7"/>
    <x v="0"/>
    <x v="0"/>
    <x v="0"/>
    <x v="3"/>
  </r>
  <r>
    <x v="1396"/>
    <x v="192"/>
    <x v="430"/>
    <x v="3"/>
    <x v="6"/>
    <x v="0"/>
    <x v="13"/>
    <x v="0"/>
    <x v="2"/>
    <x v="2"/>
    <x v="2"/>
    <x v="1"/>
    <x v="0"/>
    <x v="0"/>
    <x v="0"/>
  </r>
  <r>
    <x v="1397"/>
    <x v="192"/>
    <x v="124"/>
    <x v="2"/>
    <x v="6"/>
    <x v="1"/>
    <x v="6"/>
    <x v="0"/>
    <x v="0"/>
    <x v="6"/>
    <x v="2"/>
    <x v="1"/>
    <x v="0"/>
    <x v="0"/>
    <x v="2"/>
  </r>
  <r>
    <x v="1398"/>
    <x v="192"/>
    <x v="187"/>
    <x v="2"/>
    <x v="6"/>
    <x v="1"/>
    <x v="6"/>
    <x v="0"/>
    <x v="0"/>
    <x v="6"/>
    <x v="2"/>
    <x v="0"/>
    <x v="0"/>
    <x v="0"/>
    <x v="1"/>
  </r>
  <r>
    <x v="1399"/>
    <x v="192"/>
    <x v="207"/>
    <x v="4"/>
    <x v="6"/>
    <x v="0"/>
    <x v="0"/>
    <x v="0"/>
    <x v="2"/>
    <x v="0"/>
    <x v="7"/>
    <x v="0"/>
    <x v="0"/>
    <x v="0"/>
    <x v="3"/>
  </r>
  <r>
    <x v="1400"/>
    <x v="193"/>
    <x v="516"/>
    <x v="7"/>
    <x v="0"/>
    <x v="2"/>
    <x v="6"/>
    <x v="0"/>
    <x v="2"/>
    <x v="6"/>
    <x v="6"/>
    <x v="1"/>
    <x v="0"/>
    <x v="0"/>
    <x v="4"/>
  </r>
  <r>
    <x v="1401"/>
    <x v="193"/>
    <x v="562"/>
    <x v="0"/>
    <x v="0"/>
    <x v="1"/>
    <x v="7"/>
    <x v="2"/>
    <x v="2"/>
    <x v="7"/>
    <x v="9"/>
    <x v="0"/>
    <x v="0"/>
    <x v="2"/>
    <x v="3"/>
  </r>
  <r>
    <x v="1402"/>
    <x v="193"/>
    <x v="487"/>
    <x v="0"/>
    <x v="0"/>
    <x v="2"/>
    <x v="6"/>
    <x v="0"/>
    <x v="2"/>
    <x v="6"/>
    <x v="6"/>
    <x v="1"/>
    <x v="0"/>
    <x v="0"/>
    <x v="0"/>
  </r>
  <r>
    <x v="1403"/>
    <x v="193"/>
    <x v="563"/>
    <x v="6"/>
    <x v="0"/>
    <x v="2"/>
    <x v="6"/>
    <x v="0"/>
    <x v="2"/>
    <x v="6"/>
    <x v="56"/>
    <x v="1"/>
    <x v="1"/>
    <x v="0"/>
    <x v="4"/>
  </r>
  <r>
    <x v="1404"/>
    <x v="193"/>
    <x v="259"/>
    <x v="1"/>
    <x v="0"/>
    <x v="2"/>
    <x v="6"/>
    <x v="0"/>
    <x v="0"/>
    <x v="6"/>
    <x v="2"/>
    <x v="0"/>
    <x v="0"/>
    <x v="2"/>
    <x v="3"/>
  </r>
  <r>
    <x v="1405"/>
    <x v="193"/>
    <x v="437"/>
    <x v="4"/>
    <x v="0"/>
    <x v="1"/>
    <x v="6"/>
    <x v="0"/>
    <x v="2"/>
    <x v="6"/>
    <x v="6"/>
    <x v="1"/>
    <x v="0"/>
    <x v="0"/>
    <x v="4"/>
  </r>
  <r>
    <x v="1406"/>
    <x v="194"/>
    <x v="564"/>
    <x v="10"/>
    <x v="1"/>
    <x v="2"/>
    <x v="8"/>
    <x v="2"/>
    <x v="2"/>
    <x v="8"/>
    <x v="10"/>
    <x v="1"/>
    <x v="0"/>
    <x v="0"/>
    <x v="2"/>
  </r>
  <r>
    <x v="1407"/>
    <x v="194"/>
    <x v="27"/>
    <x v="5"/>
    <x v="1"/>
    <x v="0"/>
    <x v="1"/>
    <x v="1"/>
    <x v="0"/>
    <x v="1"/>
    <x v="16"/>
    <x v="1"/>
    <x v="0"/>
    <x v="2"/>
    <x v="1"/>
  </r>
  <r>
    <x v="1408"/>
    <x v="194"/>
    <x v="528"/>
    <x v="5"/>
    <x v="1"/>
    <x v="1"/>
    <x v="4"/>
    <x v="1"/>
    <x v="2"/>
    <x v="4"/>
    <x v="15"/>
    <x v="1"/>
    <x v="0"/>
    <x v="0"/>
    <x v="0"/>
  </r>
  <r>
    <x v="1409"/>
    <x v="194"/>
    <x v="208"/>
    <x v="5"/>
    <x v="1"/>
    <x v="2"/>
    <x v="11"/>
    <x v="1"/>
    <x v="2"/>
    <x v="11"/>
    <x v="24"/>
    <x v="1"/>
    <x v="0"/>
    <x v="0"/>
    <x v="0"/>
  </r>
  <r>
    <x v="1410"/>
    <x v="194"/>
    <x v="8"/>
    <x v="1"/>
    <x v="1"/>
    <x v="0"/>
    <x v="6"/>
    <x v="0"/>
    <x v="2"/>
    <x v="6"/>
    <x v="6"/>
    <x v="0"/>
    <x v="0"/>
    <x v="0"/>
    <x v="0"/>
  </r>
  <r>
    <x v="1411"/>
    <x v="194"/>
    <x v="476"/>
    <x v="2"/>
    <x v="1"/>
    <x v="0"/>
    <x v="8"/>
    <x v="2"/>
    <x v="2"/>
    <x v="8"/>
    <x v="10"/>
    <x v="0"/>
    <x v="0"/>
    <x v="2"/>
    <x v="1"/>
  </r>
  <r>
    <x v="1412"/>
    <x v="194"/>
    <x v="404"/>
    <x v="2"/>
    <x v="1"/>
    <x v="1"/>
    <x v="5"/>
    <x v="1"/>
    <x v="2"/>
    <x v="5"/>
    <x v="5"/>
    <x v="0"/>
    <x v="0"/>
    <x v="2"/>
    <x v="2"/>
  </r>
  <r>
    <x v="1413"/>
    <x v="195"/>
    <x v="239"/>
    <x v="3"/>
    <x v="5"/>
    <x v="1"/>
    <x v="6"/>
    <x v="0"/>
    <x v="2"/>
    <x v="6"/>
    <x v="6"/>
    <x v="0"/>
    <x v="0"/>
    <x v="0"/>
    <x v="0"/>
  </r>
  <r>
    <x v="1414"/>
    <x v="196"/>
    <x v="196"/>
    <x v="1"/>
    <x v="2"/>
    <x v="2"/>
    <x v="9"/>
    <x v="3"/>
    <x v="0"/>
    <x v="7"/>
    <x v="12"/>
    <x v="0"/>
    <x v="0"/>
    <x v="0"/>
    <x v="3"/>
  </r>
  <r>
    <x v="1415"/>
    <x v="196"/>
    <x v="114"/>
    <x v="1"/>
    <x v="2"/>
    <x v="1"/>
    <x v="0"/>
    <x v="0"/>
    <x v="2"/>
    <x v="0"/>
    <x v="7"/>
    <x v="0"/>
    <x v="0"/>
    <x v="0"/>
    <x v="0"/>
  </r>
  <r>
    <x v="1416"/>
    <x v="197"/>
    <x v="64"/>
    <x v="7"/>
    <x v="3"/>
    <x v="0"/>
    <x v="6"/>
    <x v="0"/>
    <x v="2"/>
    <x v="6"/>
    <x v="6"/>
    <x v="1"/>
    <x v="0"/>
    <x v="3"/>
    <x v="2"/>
  </r>
  <r>
    <x v="1417"/>
    <x v="197"/>
    <x v="154"/>
    <x v="0"/>
    <x v="3"/>
    <x v="2"/>
    <x v="11"/>
    <x v="1"/>
    <x v="2"/>
    <x v="11"/>
    <x v="24"/>
    <x v="1"/>
    <x v="0"/>
    <x v="0"/>
    <x v="4"/>
  </r>
  <r>
    <x v="1418"/>
    <x v="197"/>
    <x v="565"/>
    <x v="12"/>
    <x v="3"/>
    <x v="1"/>
    <x v="14"/>
    <x v="3"/>
    <x v="2"/>
    <x v="14"/>
    <x v="25"/>
    <x v="0"/>
    <x v="0"/>
    <x v="0"/>
    <x v="4"/>
  </r>
  <r>
    <x v="1419"/>
    <x v="197"/>
    <x v="423"/>
    <x v="5"/>
    <x v="3"/>
    <x v="1"/>
    <x v="7"/>
    <x v="2"/>
    <x v="2"/>
    <x v="7"/>
    <x v="9"/>
    <x v="0"/>
    <x v="0"/>
    <x v="0"/>
    <x v="4"/>
  </r>
  <r>
    <x v="1420"/>
    <x v="197"/>
    <x v="566"/>
    <x v="5"/>
    <x v="3"/>
    <x v="1"/>
    <x v="9"/>
    <x v="3"/>
    <x v="2"/>
    <x v="7"/>
    <x v="9"/>
    <x v="0"/>
    <x v="0"/>
    <x v="0"/>
    <x v="0"/>
  </r>
  <r>
    <x v="1421"/>
    <x v="197"/>
    <x v="161"/>
    <x v="3"/>
    <x v="3"/>
    <x v="0"/>
    <x v="14"/>
    <x v="3"/>
    <x v="2"/>
    <x v="14"/>
    <x v="25"/>
    <x v="1"/>
    <x v="0"/>
    <x v="0"/>
    <x v="4"/>
  </r>
  <r>
    <x v="1422"/>
    <x v="197"/>
    <x v="204"/>
    <x v="2"/>
    <x v="3"/>
    <x v="1"/>
    <x v="1"/>
    <x v="1"/>
    <x v="2"/>
    <x v="1"/>
    <x v="8"/>
    <x v="1"/>
    <x v="0"/>
    <x v="2"/>
    <x v="1"/>
  </r>
  <r>
    <x v="1423"/>
    <x v="197"/>
    <x v="436"/>
    <x v="2"/>
    <x v="3"/>
    <x v="1"/>
    <x v="6"/>
    <x v="0"/>
    <x v="2"/>
    <x v="6"/>
    <x v="6"/>
    <x v="1"/>
    <x v="0"/>
    <x v="0"/>
    <x v="4"/>
  </r>
  <r>
    <x v="1424"/>
    <x v="198"/>
    <x v="240"/>
    <x v="10"/>
    <x v="4"/>
    <x v="0"/>
    <x v="11"/>
    <x v="1"/>
    <x v="0"/>
    <x v="11"/>
    <x v="39"/>
    <x v="0"/>
    <x v="0"/>
    <x v="0"/>
    <x v="4"/>
  </r>
  <r>
    <x v="1425"/>
    <x v="198"/>
    <x v="306"/>
    <x v="0"/>
    <x v="4"/>
    <x v="0"/>
    <x v="0"/>
    <x v="0"/>
    <x v="2"/>
    <x v="0"/>
    <x v="7"/>
    <x v="0"/>
    <x v="0"/>
    <x v="0"/>
    <x v="3"/>
  </r>
  <r>
    <x v="1426"/>
    <x v="198"/>
    <x v="183"/>
    <x v="0"/>
    <x v="4"/>
    <x v="0"/>
    <x v="3"/>
    <x v="3"/>
    <x v="2"/>
    <x v="3"/>
    <x v="3"/>
    <x v="0"/>
    <x v="0"/>
    <x v="0"/>
    <x v="3"/>
  </r>
  <r>
    <x v="1427"/>
    <x v="198"/>
    <x v="567"/>
    <x v="11"/>
    <x v="4"/>
    <x v="0"/>
    <x v="13"/>
    <x v="0"/>
    <x v="0"/>
    <x v="2"/>
    <x v="10"/>
    <x v="1"/>
    <x v="0"/>
    <x v="0"/>
    <x v="3"/>
  </r>
  <r>
    <x v="1428"/>
    <x v="198"/>
    <x v="541"/>
    <x v="8"/>
    <x v="4"/>
    <x v="0"/>
    <x v="1"/>
    <x v="1"/>
    <x v="2"/>
    <x v="1"/>
    <x v="8"/>
    <x v="1"/>
    <x v="0"/>
    <x v="2"/>
    <x v="1"/>
  </r>
  <r>
    <x v="1429"/>
    <x v="198"/>
    <x v="13"/>
    <x v="1"/>
    <x v="4"/>
    <x v="1"/>
    <x v="10"/>
    <x v="4"/>
    <x v="2"/>
    <x v="10"/>
    <x v="13"/>
    <x v="0"/>
    <x v="0"/>
    <x v="0"/>
    <x v="2"/>
  </r>
  <r>
    <x v="1430"/>
    <x v="198"/>
    <x v="454"/>
    <x v="2"/>
    <x v="4"/>
    <x v="1"/>
    <x v="11"/>
    <x v="1"/>
    <x v="2"/>
    <x v="11"/>
    <x v="24"/>
    <x v="0"/>
    <x v="0"/>
    <x v="0"/>
    <x v="1"/>
  </r>
  <r>
    <x v="1431"/>
    <x v="195"/>
    <x v="568"/>
    <x v="9"/>
    <x v="5"/>
    <x v="0"/>
    <x v="7"/>
    <x v="2"/>
    <x v="2"/>
    <x v="7"/>
    <x v="9"/>
    <x v="0"/>
    <x v="0"/>
    <x v="1"/>
    <x v="4"/>
  </r>
  <r>
    <x v="1432"/>
    <x v="195"/>
    <x v="569"/>
    <x v="9"/>
    <x v="5"/>
    <x v="2"/>
    <x v="0"/>
    <x v="0"/>
    <x v="0"/>
    <x v="0"/>
    <x v="84"/>
    <x v="1"/>
    <x v="3"/>
    <x v="2"/>
    <x v="2"/>
  </r>
  <r>
    <x v="1433"/>
    <x v="195"/>
    <x v="570"/>
    <x v="10"/>
    <x v="5"/>
    <x v="0"/>
    <x v="7"/>
    <x v="2"/>
    <x v="2"/>
    <x v="7"/>
    <x v="9"/>
    <x v="0"/>
    <x v="0"/>
    <x v="0"/>
    <x v="4"/>
  </r>
  <r>
    <x v="1434"/>
    <x v="195"/>
    <x v="128"/>
    <x v="7"/>
    <x v="5"/>
    <x v="1"/>
    <x v="4"/>
    <x v="1"/>
    <x v="2"/>
    <x v="4"/>
    <x v="15"/>
    <x v="0"/>
    <x v="0"/>
    <x v="0"/>
    <x v="0"/>
  </r>
  <r>
    <x v="1435"/>
    <x v="195"/>
    <x v="473"/>
    <x v="0"/>
    <x v="5"/>
    <x v="0"/>
    <x v="11"/>
    <x v="1"/>
    <x v="2"/>
    <x v="11"/>
    <x v="24"/>
    <x v="1"/>
    <x v="0"/>
    <x v="0"/>
    <x v="1"/>
  </r>
  <r>
    <x v="1436"/>
    <x v="195"/>
    <x v="339"/>
    <x v="12"/>
    <x v="5"/>
    <x v="1"/>
    <x v="6"/>
    <x v="0"/>
    <x v="2"/>
    <x v="6"/>
    <x v="6"/>
    <x v="0"/>
    <x v="0"/>
    <x v="0"/>
    <x v="4"/>
  </r>
  <r>
    <x v="1437"/>
    <x v="195"/>
    <x v="541"/>
    <x v="8"/>
    <x v="5"/>
    <x v="0"/>
    <x v="4"/>
    <x v="1"/>
    <x v="2"/>
    <x v="4"/>
    <x v="15"/>
    <x v="0"/>
    <x v="0"/>
    <x v="2"/>
    <x v="0"/>
  </r>
  <r>
    <x v="1438"/>
    <x v="195"/>
    <x v="571"/>
    <x v="5"/>
    <x v="5"/>
    <x v="1"/>
    <x v="4"/>
    <x v="1"/>
    <x v="2"/>
    <x v="4"/>
    <x v="4"/>
    <x v="1"/>
    <x v="1"/>
    <x v="0"/>
    <x v="1"/>
  </r>
  <r>
    <x v="1439"/>
    <x v="195"/>
    <x v="40"/>
    <x v="5"/>
    <x v="5"/>
    <x v="1"/>
    <x v="2"/>
    <x v="2"/>
    <x v="0"/>
    <x v="2"/>
    <x v="43"/>
    <x v="0"/>
    <x v="3"/>
    <x v="0"/>
    <x v="1"/>
  </r>
  <r>
    <x v="1440"/>
    <x v="195"/>
    <x v="54"/>
    <x v="1"/>
    <x v="5"/>
    <x v="1"/>
    <x v="2"/>
    <x v="2"/>
    <x v="0"/>
    <x v="2"/>
    <x v="10"/>
    <x v="1"/>
    <x v="0"/>
    <x v="0"/>
    <x v="0"/>
  </r>
  <r>
    <x v="1441"/>
    <x v="195"/>
    <x v="141"/>
    <x v="1"/>
    <x v="5"/>
    <x v="0"/>
    <x v="14"/>
    <x v="3"/>
    <x v="2"/>
    <x v="14"/>
    <x v="25"/>
    <x v="1"/>
    <x v="0"/>
    <x v="4"/>
    <x v="3"/>
  </r>
  <r>
    <x v="1442"/>
    <x v="195"/>
    <x v="69"/>
    <x v="1"/>
    <x v="5"/>
    <x v="0"/>
    <x v="2"/>
    <x v="2"/>
    <x v="2"/>
    <x v="2"/>
    <x v="2"/>
    <x v="0"/>
    <x v="0"/>
    <x v="3"/>
    <x v="0"/>
  </r>
  <r>
    <x v="1443"/>
    <x v="195"/>
    <x v="143"/>
    <x v="1"/>
    <x v="5"/>
    <x v="1"/>
    <x v="6"/>
    <x v="0"/>
    <x v="2"/>
    <x v="6"/>
    <x v="6"/>
    <x v="0"/>
    <x v="0"/>
    <x v="3"/>
    <x v="4"/>
  </r>
  <r>
    <x v="1444"/>
    <x v="195"/>
    <x v="169"/>
    <x v="3"/>
    <x v="5"/>
    <x v="1"/>
    <x v="8"/>
    <x v="2"/>
    <x v="2"/>
    <x v="8"/>
    <x v="10"/>
    <x v="0"/>
    <x v="0"/>
    <x v="0"/>
    <x v="2"/>
  </r>
  <r>
    <x v="1445"/>
    <x v="195"/>
    <x v="177"/>
    <x v="3"/>
    <x v="5"/>
    <x v="1"/>
    <x v="8"/>
    <x v="2"/>
    <x v="2"/>
    <x v="8"/>
    <x v="37"/>
    <x v="1"/>
    <x v="2"/>
    <x v="1"/>
    <x v="1"/>
  </r>
  <r>
    <x v="1446"/>
    <x v="196"/>
    <x v="167"/>
    <x v="5"/>
    <x v="2"/>
    <x v="1"/>
    <x v="7"/>
    <x v="2"/>
    <x v="0"/>
    <x v="7"/>
    <x v="12"/>
    <x v="0"/>
    <x v="0"/>
    <x v="0"/>
    <x v="4"/>
  </r>
  <r>
    <x v="1447"/>
    <x v="195"/>
    <x v="170"/>
    <x v="2"/>
    <x v="5"/>
    <x v="1"/>
    <x v="6"/>
    <x v="0"/>
    <x v="0"/>
    <x v="6"/>
    <x v="2"/>
    <x v="0"/>
    <x v="0"/>
    <x v="0"/>
    <x v="2"/>
  </r>
  <r>
    <x v="1448"/>
    <x v="195"/>
    <x v="533"/>
    <x v="2"/>
    <x v="5"/>
    <x v="1"/>
    <x v="2"/>
    <x v="2"/>
    <x v="2"/>
    <x v="2"/>
    <x v="30"/>
    <x v="1"/>
    <x v="1"/>
    <x v="0"/>
    <x v="2"/>
  </r>
  <r>
    <x v="1449"/>
    <x v="195"/>
    <x v="125"/>
    <x v="2"/>
    <x v="5"/>
    <x v="0"/>
    <x v="7"/>
    <x v="2"/>
    <x v="2"/>
    <x v="7"/>
    <x v="9"/>
    <x v="0"/>
    <x v="0"/>
    <x v="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03-ِAnalysis" cacheId="1" autoFormatId="1" applyNumberFormats="0" applyBorderFormats="0" applyFontFormats="0" applyPatternFormats="0" applyAlignmentFormats="0" applyWidthHeightFormats="1" dataCaption="" updatedVersion="5" compact="0" compactData="0" showDrill="1">
  <location ref="A3:E5" firstHeaderRow="1" firstDataRow="2" firstDataCol="1" rowPageCount="1" colPageCount="1"/>
  <pivotFields count="15">
    <pivotField compact="0" outline="0" multipleItemSelectionAllowed="1" numFmtId="49" showAll="0"/>
    <pivotField axis="axisPage" compact="0" outline="0" multipleItemSelectionAllowed="1" numFmtId="179" showAll="0">
      <items count="200">
        <item x="64"/>
        <item x="99"/>
        <item x="168"/>
        <item x="0"/>
        <item x="1"/>
        <item x="2"/>
        <item x="3"/>
        <item x="4"/>
        <item x="5"/>
        <item x="7"/>
        <item x="8"/>
        <item x="9"/>
        <item x="11"/>
        <item x="13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67"/>
        <item x="35"/>
        <item x="37"/>
        <item x="36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5"/>
        <item x="66"/>
        <item x="68"/>
        <item x="69"/>
        <item x="70"/>
        <item x="71"/>
        <item x="72"/>
        <item x="73"/>
        <item x="74"/>
        <item x="76"/>
        <item x="78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4"/>
        <item x="95"/>
        <item x="96"/>
        <item x="97"/>
        <item x="93"/>
        <item x="98"/>
        <item x="100"/>
        <item x="38"/>
        <item x="101"/>
        <item x="102"/>
        <item x="103"/>
        <item x="104"/>
        <item x="106"/>
        <item x="108"/>
        <item x="109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1"/>
        <item x="132"/>
        <item x="133"/>
        <item x="6"/>
        <item x="134"/>
        <item x="130"/>
        <item x="135"/>
        <item x="136"/>
        <item x="138"/>
        <item x="139"/>
        <item x="141"/>
        <item x="142"/>
        <item x="144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60"/>
        <item x="159"/>
        <item x="161"/>
        <item x="162"/>
        <item x="163"/>
        <item x="164"/>
        <item x="165"/>
        <item x="166"/>
        <item x="169"/>
        <item x="170"/>
        <item x="167"/>
        <item x="105"/>
        <item x="137"/>
        <item x="171"/>
        <item x="172"/>
        <item x="174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6"/>
        <item x="197"/>
        <item x="198"/>
        <item x="195"/>
        <item x="107"/>
        <item x="140"/>
        <item x="173"/>
        <item x="10"/>
        <item x="175"/>
        <item x="12"/>
        <item x="75"/>
        <item x="143"/>
        <item x="176"/>
        <item x="14"/>
        <item x="77"/>
        <item x="110"/>
        <item x="145"/>
        <item x="79"/>
        <item x="146"/>
        <item t="default"/>
      </items>
    </pivotField>
    <pivotField compact="0" outline="0" multipleItemSelectionAllowed="1" numFmtId="180" showAll="0"/>
    <pivotField compact="0" outline="0" multipleItemSelectionAllowed="1" showAll="0"/>
    <pivotField compact="0" outline="0" multipleItemSelectionAllowed="1" numFmtId="49" showAll="0"/>
    <pivotField axis="axisCol" name="ز" compact="0" outline="0" multipleItemSelectionAllowed="1" numFmtId="49" showAll="0">
      <items count="4">
        <item x="1"/>
        <item x="0"/>
        <item x="2"/>
        <item t="default"/>
      </items>
    </pivotField>
    <pivotField compact="0" outline="0" multipleItemSelectionAllowed="1" numFmtId="49" showAll="0"/>
    <pivotField compact="0" outline="0" multipleItemSelectionAllowed="1" numFmtId="49" showAll="0"/>
    <pivotField compact="0" outline="0" multipleItemSelectionAllowed="1" showAll="0"/>
    <pivotField compact="0" outline="0" multipleItemSelectionAllowed="1" numFmtId="3" showAll="0"/>
    <pivotField dataField="1" compact="0" outline="0" multipleItemSelectionAllowed="1" numFmtId="3" showAll="0"/>
    <pivotField compact="0" outline="0" multipleItemSelectionAllowed="1" numFmtId="49" showAll="0"/>
    <pivotField compact="0" outline="0" multipleItemSelectionAllowed="1" showAll="0"/>
    <pivotField compact="0" outline="0" multipleItemSelectionAllowed="1" showAll="0"/>
    <pivotField compact="0" outline="0" multipleItemSelectionAllowed="1" numFmtId="49" showAll="0"/>
  </pivotFields>
  <rowItems count="1">
    <i/>
  </rowItems>
  <colFields count="1">
    <field x="5"/>
  </colFields>
  <colItems count="4">
    <i>
      <x/>
    </i>
    <i>
      <x v="1"/>
    </i>
    <i>
      <x v="2"/>
    </i>
    <i t="grand">
      <x/>
    </i>
  </colItems>
  <pageFields count="1">
    <pageField fld="1"/>
  </pageFields>
  <dataFields count="1">
    <dataField name=" " fld="10" baseField="0" baseItem="0"/>
  </dataFields>
  <pivotTableStyleInfo showRowHeaders="1" showColHeaders="1" showLastColumn="1"/>
</pivotTableDefinition>
</file>

<file path=xl/pivotTables/pivotTable2.xml><?xml version="1.0" encoding="utf-8"?>
<pivotTableDefinition xmlns="http://schemas.openxmlformats.org/spreadsheetml/2006/main" name="03-ِAnalysis 2" cacheId="0" autoFormatId="1" applyNumberFormats="0" applyBorderFormats="0" applyFontFormats="0" applyPatternFormats="0" applyAlignmentFormats="0" applyWidthHeightFormats="1" dataCaption="" updatedVersion="5" compact="0" compactData="0" showDrill="1">
  <location ref="G3:O18" firstHeaderRow="1" firstDataRow="2" firstDataCol="1"/>
  <pivotFields count="15">
    <pivotField dataField="1" compact="0" outline="0" multipleItemSelectionAllowed="1" numFmtId="49" showAll="0"/>
    <pivotField compact="0" outline="0" multipleItemSelectionAllowed="1" numFmtId="179" showAll="0"/>
    <pivotField compact="0" outline="0" multipleItemSelectionAllowed="1" numFmtId="180" showAll="0"/>
    <pivotField axis="axisRow" compact="0" outline="0" multipleItemSelectionAllowed="1" showAll="0">
      <items count="14">
        <item x="9"/>
        <item x="10"/>
        <item x="7"/>
        <item x="0"/>
        <item x="12"/>
        <item x="11"/>
        <item x="6"/>
        <item x="8"/>
        <item x="5"/>
        <item x="1"/>
        <item x="3"/>
        <item x="2"/>
        <item x="4"/>
        <item t="default"/>
      </items>
    </pivotField>
    <pivotField axis="axisCol" name="." compact="0" outline="0" multipleItemSelectionAllowed="1" numFmtId="49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outline="0" multipleItemSelectionAllowed="1" numFmtId="49" showAll="0"/>
    <pivotField compact="0" outline="0" multipleItemSelectionAllowed="1" numFmtId="49" showAll="0"/>
    <pivotField compact="0" outline="0" multipleItemSelectionAllowed="1" numFmtId="49" showAll="0"/>
    <pivotField compact="0" outline="0" multipleItemSelectionAllowed="1" showAll="0"/>
    <pivotField compact="0" outline="0" multipleItemSelectionAllowed="1" numFmtId="3" showAll="0"/>
    <pivotField compact="0" outline="0" multipleItemSelectionAllowed="1" numFmtId="3" showAll="0"/>
    <pivotField compact="0" outline="0" multipleItemSelectionAllowed="1" numFmtId="49" showAll="0"/>
    <pivotField compact="0" outline="0" multipleItemSelectionAllowed="1" showAll="0"/>
    <pivotField compact="0" outline="0" multipleItemSelectionAllowed="1" showAll="0"/>
    <pivotField compact="0" outline="0" multipleItemSelectionAllowed="1" numFmtId="49" showAll="0"/>
  </pivotFields>
  <rowFields count="1">
    <field x="3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4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.2" fld="0" subtotal="count" baseField="0" baseItem="0"/>
  </dataFields>
  <pivotTableStyleInfo showRowHeaders="1" showColHeaders="1" showLastColumn="1"/>
</pivotTableDefinition>
</file>

<file path=xl/pivotTables/pivotTable3.xml><?xml version="1.0" encoding="utf-8"?>
<pivotTableDefinition xmlns="http://schemas.openxmlformats.org/spreadsheetml/2006/main" name="03-ِAnalysis 4" cacheId="0" autoFormatId="1" applyNumberFormats="0" applyBorderFormats="0" applyFontFormats="0" applyPatternFormats="0" applyAlignmentFormats="0" applyWidthHeightFormats="1" dataCaption="" updatedVersion="5" compact="0" compactData="0" showDrill="1">
  <location ref="A23:B39" firstHeaderRow="1" firstDataRow="1" firstDataCol="1"/>
  <pivotFields count="15">
    <pivotField compact="0" outline="0" multipleItemSelectionAllowed="1" numFmtId="49" showAll="0"/>
    <pivotField compact="0" outline="0" multipleItemSelectionAllowed="1" numFmtId="179" showAll="0"/>
    <pivotField compact="0" outline="0" multipleItemSelectionAllowed="1" numFmtId="180" showAll="0"/>
    <pivotField compact="0" outline="0" multipleItemSelectionAllowed="1" showAll="0"/>
    <pivotField compact="0" outline="0" multipleItemSelectionAllowed="1" numFmtId="49" showAll="0"/>
    <pivotField compact="0" outline="0" multipleItemSelectionAllowed="1" numFmtId="49" showAll="0"/>
    <pivotField axis="axisRow" compact="0" outline="0" multipleItemSelectionAllowed="1" numFmtId="49" showAll="0">
      <items count="16">
        <item x="12"/>
        <item x="8"/>
        <item x="1"/>
        <item x="2"/>
        <item x="9"/>
        <item x="13"/>
        <item x="3"/>
        <item x="10"/>
        <item x="5"/>
        <item x="4"/>
        <item x="14"/>
        <item x="7"/>
        <item x="11"/>
        <item x="6"/>
        <item x="0"/>
        <item t="default"/>
      </items>
    </pivotField>
    <pivotField compact="0" outline="0" multipleItemSelectionAllowed="1" numFmtId="49" showAll="0"/>
    <pivotField compact="0" outline="0" multipleItemSelectionAllowed="1" showAll="0"/>
    <pivotField compact="0" outline="0" multipleItemSelectionAllowed="1" numFmtId="3" showAll="0"/>
    <pivotField compact="0" outline="0" multipleItemSelectionAllowed="1" numFmtId="3" showAll="0"/>
    <pivotField compact="0" outline="0" multipleItemSelectionAllowed="1" numFmtId="49" showAll="0"/>
    <pivotField compact="0" outline="0" multipleItemSelectionAllowed="1" showAll="0"/>
    <pivotField dataField="1" compact="0" outline="0" multipleItemSelectionAllowed="1" showAll="0"/>
    <pivotField compact="0" outline="0" multipleItemSelectionAllowed="1" numFmtId="49" showAll="0"/>
  </pivotFields>
  <rowFields count="1">
    <field x="6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AVERAGE rating" fld="13" subtotal="average" baseField="0" baseItem="0"/>
  </dataFields>
  <pivotTableStyleInfo showRowHeaders="1" showColHeaders="1" showLastColumn="1"/>
</pivotTableDefinition>
</file>

<file path=xl/pivotTables/pivotTable4.xml><?xml version="1.0" encoding="utf-8"?>
<pivotTableDefinition xmlns="http://schemas.openxmlformats.org/spreadsheetml/2006/main" name="03-ِAnalysis 5" cacheId="0" autoFormatId="1" applyNumberFormats="0" applyBorderFormats="0" applyFontFormats="0" applyPatternFormats="0" applyAlignmentFormats="0" applyWidthHeightFormats="1" dataCaption="" updatedVersion="5" compact="0" compactData="0" showDrill="1">
  <location ref="D23:E37" firstHeaderRow="1" firstDataRow="1" firstDataCol="1"/>
  <pivotFields count="15">
    <pivotField dataField="1" compact="0" outline="0" multipleItemSelectionAllowed="1" numFmtId="49" showAll="0"/>
    <pivotField compact="0" outline="0" multipleItemSelectionAllowed="1" numFmtId="179" showAll="0"/>
    <pivotField compact="0" outline="0" multipleItemSelectionAllowed="1" numFmtId="180" showAll="0"/>
    <pivotField axis="axisRow" name="hour " compact="0" outline="0" multipleItemSelectionAllowed="1" showAll="0">
      <items count="14">
        <item x="9"/>
        <item x="10"/>
        <item x="7"/>
        <item x="0"/>
        <item x="12"/>
        <item x="11"/>
        <item x="6"/>
        <item x="8"/>
        <item x="5"/>
        <item x="1"/>
        <item x="3"/>
        <item x="2"/>
        <item x="4"/>
        <item t="default"/>
      </items>
    </pivotField>
    <pivotField compact="0" outline="0" multipleItemSelectionAllowed="1" numFmtId="49" showAll="0"/>
    <pivotField compact="0" outline="0" multipleItemSelectionAllowed="1" numFmtId="49" showAll="0"/>
    <pivotField compact="0" outline="0" multipleItemSelectionAllowed="1" numFmtId="49" showAll="0"/>
    <pivotField compact="0" outline="0" multipleItemSelectionAllowed="1" numFmtId="49" showAll="0"/>
    <pivotField compact="0" outline="0" multipleItemSelectionAllowed="1" showAll="0"/>
    <pivotField compact="0" outline="0" multipleItemSelectionAllowed="1" numFmtId="3" showAll="0"/>
    <pivotField compact="0" outline="0" multipleItemSelectionAllowed="1" numFmtId="3" showAll="0"/>
    <pivotField compact="0" outline="0" multipleItemSelectionAllowed="1" numFmtId="49" showAll="0"/>
    <pivotField compact="0" outline="0" multipleItemSelectionAllowed="1" showAll="0"/>
    <pivotField compact="0" outline="0" multipleItemSelectionAllowed="1" showAll="0"/>
    <pivotField compact="0" outline="0" multipleItemSelectionAllowed="1" numFmtId="49" showAll="0"/>
  </pivotFields>
  <rowFields count="1">
    <field x="3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COUNTA of order_id" fld="0" subtotal="count" baseField="0" baseItem="0"/>
  </dataFields>
  <pivotTableStyleInfo showRowHeaders="1" showColHeaders="1" showLastColumn="1"/>
</pivotTableDefinition>
</file>

<file path=xl/pivotTables/pivotTable5.xml><?xml version="1.0" encoding="utf-8"?>
<pivotTableDefinition xmlns="http://schemas.openxmlformats.org/spreadsheetml/2006/main" name="03-ِAnalysis 7" cacheId="0" autoFormatId="1" applyNumberFormats="0" applyBorderFormats="0" applyFontFormats="0" applyPatternFormats="0" applyAlignmentFormats="0" applyWidthHeightFormats="1" dataCaption="" updatedVersion="5" compact="0" compactData="0" showDrill="1">
  <location ref="L23:N40" firstHeaderRow="1" firstDataRow="2" firstDataCol="1"/>
  <pivotFields count="15">
    <pivotField compact="0" outline="0" multipleItemSelectionAllowed="1" numFmtId="49" showAll="0"/>
    <pivotField compact="0" outline="0" multipleItemSelectionAllowed="1" numFmtId="179" showAll="0"/>
    <pivotField compact="0" outline="0" multipleItemSelectionAllowed="1" numFmtId="180" showAll="0"/>
    <pivotField compact="0" outline="0" multipleItemSelectionAllowed="1" showAll="0"/>
    <pivotField compact="0" outline="0" multipleItemSelectionAllowed="1" numFmtId="49" showAll="0"/>
    <pivotField compact="0" outline="0" multipleItemSelectionAllowed="1" numFmtId="49" showAll="0"/>
    <pivotField axis="axisRow" compact="0" outline="0" multipleItemSelectionAllowed="1" numFmtId="49" showAll="0">
      <items count="16">
        <item x="12"/>
        <item x="8"/>
        <item x="1"/>
        <item x="2"/>
        <item x="9"/>
        <item x="13"/>
        <item x="3"/>
        <item x="10"/>
        <item x="5"/>
        <item x="4"/>
        <item x="14"/>
        <item x="7"/>
        <item x="11"/>
        <item x="6"/>
        <item x="0"/>
        <item t="default"/>
      </items>
    </pivotField>
    <pivotField compact="0" outline="0" multipleItemSelectionAllowed="1" numFmtId="49" showAll="0"/>
    <pivotField dataField="1" compact="0" outline="0" multipleItemSelectionAllowed="1" showAll="0"/>
    <pivotField compact="0" outline="0" multipleItemSelectionAllowed="1" numFmtId="3" showAll="0"/>
    <pivotField dataField="1" compact="0" outline="0" multipleItemSelectionAllowed="1" numFmtId="3" showAll="0"/>
    <pivotField compact="0" outline="0" multipleItemSelectionAllowed="1" numFmtId="49" showAll="0"/>
    <pivotField compact="0" outline="0" multipleItemSelectionAllowed="1" showAll="0"/>
    <pivotField compact="0" outline="0" multipleItemSelectionAllowed="1" showAll="0"/>
    <pivotField compact="0" outline="0" multipleItemSelectionAllowed="1" numFmtId="49" showAll="0"/>
  </pivotFields>
  <rowFields count="1">
    <field x="6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8" baseField="0" baseItem="0"/>
    <dataField name="SUM of total_price" fld="10" baseField="0" baseItem="0"/>
  </dataFields>
  <pivotTableStyleInfo showRowHeaders="1" showColHeaders="1" showLastColumn="1"/>
</pivotTableDefinition>
</file>

<file path=xl/tables/table1.xml><?xml version="1.0" encoding="utf-8"?>
<table xmlns="http://schemas.openxmlformats.org/spreadsheetml/2006/main" id="1" name="Table_1" displayName="Table_1" ref="A1:O1451">
  <tableColumns count="15">
    <tableColumn id="1" name="order_id" dataDxfId="0"/>
    <tableColumn id="2" name="order_date" dataDxfId="1"/>
    <tableColumn id="3" name="order_time" dataDxfId="2"/>
    <tableColumn id="4" name="Hour" dataDxfId="3"/>
    <tableColumn id="5" name="weekday" dataDxfId="4"/>
    <tableColumn id="6" name="channel" dataDxfId="5"/>
    <tableColumn id="7" name="item_name" dataDxfId="6"/>
    <tableColumn id="8" name="category" dataDxfId="7"/>
    <tableColumn id="9" name="quantity" dataDxfId="8"/>
    <tableColumn id="10" name="unit_price" dataDxfId="9"/>
    <tableColumn id="11" name="total_price" dataDxfId="10"/>
    <tableColumn id="12" name="payment_method" dataDxfId="11"/>
    <tableColumn id="13" name="discount_pct" dataDxfId="12"/>
    <tableColumn id="14" name="customer_rating" dataDxfId="13"/>
    <tableColumn id="15" name="server_name" dataDxfId="14"/>
  </tableColumns>
  <tableStyleInfo name="01-clean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M2501"/>
  <sheetViews>
    <sheetView tabSelected="1" workbookViewId="0">
      <pane ySplit="1" topLeftCell="A2" activePane="bottomLeft" state="frozen"/>
      <selection/>
      <selection pane="bottomLeft" activeCell="K7" sqref="K7"/>
    </sheetView>
  </sheetViews>
  <sheetFormatPr defaultColWidth="12.6296296296296" defaultRowHeight="15.75" customHeight="1"/>
  <sheetData>
    <row r="1" customHeight="1" spans="1:13">
      <c r="A1" s="58" t="s">
        <v>0</v>
      </c>
      <c r="B1" s="58" t="s">
        <v>1</v>
      </c>
      <c r="C1" s="58" t="s">
        <v>2</v>
      </c>
      <c r="D1" s="58" t="s">
        <v>3</v>
      </c>
      <c r="E1" s="58" t="s">
        <v>4</v>
      </c>
      <c r="F1" s="58" t="s">
        <v>5</v>
      </c>
      <c r="G1" s="58" t="s">
        <v>6</v>
      </c>
      <c r="H1" s="58" t="s">
        <v>7</v>
      </c>
      <c r="I1" s="58" t="s">
        <v>8</v>
      </c>
      <c r="J1" s="58" t="s">
        <v>9</v>
      </c>
      <c r="K1" s="58" t="s">
        <v>10</v>
      </c>
      <c r="L1" s="58" t="s">
        <v>11</v>
      </c>
      <c r="M1" s="58" t="s">
        <v>12</v>
      </c>
    </row>
    <row r="2" customHeight="1" spans="1:13">
      <c r="A2" s="47" t="s">
        <v>13</v>
      </c>
      <c r="B2" s="47" t="s">
        <v>14</v>
      </c>
      <c r="C2" s="47" t="s">
        <v>15</v>
      </c>
      <c r="D2" s="47" t="s">
        <v>16</v>
      </c>
      <c r="E2" s="47" t="s">
        <v>17</v>
      </c>
      <c r="F2" s="47" t="s">
        <v>18</v>
      </c>
      <c r="G2" s="47" t="s">
        <v>19</v>
      </c>
      <c r="H2" s="47" t="s">
        <v>20</v>
      </c>
      <c r="I2" s="47" t="s">
        <v>21</v>
      </c>
      <c r="J2" s="47" t="s">
        <v>22</v>
      </c>
      <c r="K2" s="59" t="s">
        <v>23</v>
      </c>
      <c r="L2" s="59" t="s">
        <v>23</v>
      </c>
      <c r="M2" s="47" t="s">
        <v>24</v>
      </c>
    </row>
    <row r="3" customHeight="1" spans="1:13">
      <c r="A3" s="47" t="s">
        <v>25</v>
      </c>
      <c r="B3" s="47" t="s">
        <v>14</v>
      </c>
      <c r="C3" s="47" t="s">
        <v>26</v>
      </c>
      <c r="D3" s="47" t="s">
        <v>16</v>
      </c>
      <c r="E3" s="47" t="s">
        <v>27</v>
      </c>
      <c r="F3" s="47" t="s">
        <v>28</v>
      </c>
      <c r="G3" s="47" t="s">
        <v>29</v>
      </c>
      <c r="H3" s="47" t="s">
        <v>30</v>
      </c>
      <c r="I3" s="47" t="s">
        <v>31</v>
      </c>
      <c r="J3" s="47" t="s">
        <v>32</v>
      </c>
      <c r="K3" s="59" t="s">
        <v>23</v>
      </c>
      <c r="L3" s="59" t="s">
        <v>23</v>
      </c>
      <c r="M3" s="47" t="s">
        <v>33</v>
      </c>
    </row>
    <row r="4" customHeight="1" spans="1:13">
      <c r="A4" s="47" t="s">
        <v>34</v>
      </c>
      <c r="B4" s="47" t="s">
        <v>14</v>
      </c>
      <c r="C4" s="47" t="s">
        <v>35</v>
      </c>
      <c r="D4" s="47" t="s">
        <v>16</v>
      </c>
      <c r="E4" s="47" t="s">
        <v>36</v>
      </c>
      <c r="F4" s="47" t="s">
        <v>37</v>
      </c>
      <c r="G4" s="47" t="s">
        <v>38</v>
      </c>
      <c r="H4" s="47" t="s">
        <v>39</v>
      </c>
      <c r="I4" s="47" t="s">
        <v>39</v>
      </c>
      <c r="J4" s="47" t="s">
        <v>22</v>
      </c>
      <c r="K4" s="59" t="s">
        <v>23</v>
      </c>
      <c r="L4" s="59" t="s">
        <v>23</v>
      </c>
      <c r="M4" s="47" t="s">
        <v>40</v>
      </c>
    </row>
    <row r="5" customHeight="1" spans="1:13">
      <c r="A5" s="47" t="s">
        <v>34</v>
      </c>
      <c r="B5" s="47" t="s">
        <v>14</v>
      </c>
      <c r="C5" s="47" t="s">
        <v>35</v>
      </c>
      <c r="D5" s="47" t="s">
        <v>16</v>
      </c>
      <c r="E5" s="47" t="s">
        <v>36</v>
      </c>
      <c r="F5" s="47" t="s">
        <v>37</v>
      </c>
      <c r="G5" s="47" t="s">
        <v>38</v>
      </c>
      <c r="H5" s="47" t="s">
        <v>39</v>
      </c>
      <c r="I5" s="47" t="s">
        <v>39</v>
      </c>
      <c r="J5" s="47" t="s">
        <v>22</v>
      </c>
      <c r="K5" s="59" t="s">
        <v>23</v>
      </c>
      <c r="L5" s="59" t="s">
        <v>23</v>
      </c>
      <c r="M5" s="47" t="s">
        <v>40</v>
      </c>
    </row>
    <row r="6" customHeight="1" spans="1:13">
      <c r="A6" s="47" t="s">
        <v>41</v>
      </c>
      <c r="B6" s="47" t="s">
        <v>14</v>
      </c>
      <c r="C6" s="47" t="s">
        <v>42</v>
      </c>
      <c r="D6" s="47" t="s">
        <v>43</v>
      </c>
      <c r="E6" s="47" t="s">
        <v>44</v>
      </c>
      <c r="F6" s="47" t="s">
        <v>45</v>
      </c>
      <c r="G6" s="47" t="s">
        <v>38</v>
      </c>
      <c r="H6" s="47" t="s">
        <v>46</v>
      </c>
      <c r="I6" s="47" t="s">
        <v>46</v>
      </c>
      <c r="J6" s="47" t="s">
        <v>22</v>
      </c>
      <c r="K6" s="59" t="s">
        <v>23</v>
      </c>
      <c r="L6" s="59" t="s">
        <v>23</v>
      </c>
      <c r="M6" s="47" t="s">
        <v>47</v>
      </c>
    </row>
    <row r="7" customHeight="1" spans="1:13">
      <c r="A7" s="47" t="s">
        <v>48</v>
      </c>
      <c r="B7" s="47" t="s">
        <v>14</v>
      </c>
      <c r="C7" s="47" t="s">
        <v>49</v>
      </c>
      <c r="D7" s="47" t="s">
        <v>43</v>
      </c>
      <c r="E7" s="47" t="s">
        <v>50</v>
      </c>
      <c r="F7" s="47" t="s">
        <v>51</v>
      </c>
      <c r="G7" s="47" t="s">
        <v>38</v>
      </c>
      <c r="H7" s="47" t="s">
        <v>52</v>
      </c>
      <c r="I7" s="47" t="s">
        <v>52</v>
      </c>
      <c r="J7" s="47" t="s">
        <v>32</v>
      </c>
      <c r="K7" s="47" t="s">
        <v>53</v>
      </c>
      <c r="L7" s="47" t="s">
        <v>54</v>
      </c>
      <c r="M7" s="47" t="s">
        <v>40</v>
      </c>
    </row>
    <row r="8" customHeight="1" spans="1:13">
      <c r="A8" s="47" t="s">
        <v>55</v>
      </c>
      <c r="B8" s="47" t="s">
        <v>14</v>
      </c>
      <c r="C8" s="47" t="s">
        <v>56</v>
      </c>
      <c r="D8" s="47" t="s">
        <v>43</v>
      </c>
      <c r="E8" s="47" t="s">
        <v>57</v>
      </c>
      <c r="F8" s="47" t="s">
        <v>28</v>
      </c>
      <c r="G8" s="47" t="s">
        <v>38</v>
      </c>
      <c r="H8" s="47" t="s">
        <v>58</v>
      </c>
      <c r="I8" s="47" t="s">
        <v>58</v>
      </c>
      <c r="J8" s="47" t="s">
        <v>22</v>
      </c>
      <c r="K8" s="59" t="s">
        <v>23</v>
      </c>
      <c r="L8" s="59" t="s">
        <v>23</v>
      </c>
      <c r="M8" s="47" t="s">
        <v>33</v>
      </c>
    </row>
    <row r="9" customHeight="1" spans="1:13">
      <c r="A9" s="47" t="s">
        <v>59</v>
      </c>
      <c r="B9" s="47" t="s">
        <v>60</v>
      </c>
      <c r="C9" s="47" t="s">
        <v>61</v>
      </c>
      <c r="D9" s="47" t="s">
        <v>62</v>
      </c>
      <c r="E9" s="47" t="s">
        <v>63</v>
      </c>
      <c r="F9" s="47" t="s">
        <v>18</v>
      </c>
      <c r="G9" s="47" t="s">
        <v>38</v>
      </c>
      <c r="H9" s="47" t="s">
        <v>64</v>
      </c>
      <c r="I9" s="47" t="s">
        <v>64</v>
      </c>
      <c r="J9" s="47" t="s">
        <v>22</v>
      </c>
      <c r="K9" s="59" t="s">
        <v>23</v>
      </c>
      <c r="L9" s="47" t="s">
        <v>65</v>
      </c>
      <c r="M9" s="47" t="s">
        <v>33</v>
      </c>
    </row>
    <row r="10" customHeight="1" spans="1:13">
      <c r="A10" s="47" t="s">
        <v>66</v>
      </c>
      <c r="B10" s="47" t="s">
        <v>60</v>
      </c>
      <c r="C10" s="47" t="s">
        <v>67</v>
      </c>
      <c r="D10" s="47" t="s">
        <v>16</v>
      </c>
      <c r="E10" s="47" t="s">
        <v>17</v>
      </c>
      <c r="F10" s="47" t="s">
        <v>18</v>
      </c>
      <c r="G10" s="47" t="s">
        <v>38</v>
      </c>
      <c r="H10" s="47" t="s">
        <v>20</v>
      </c>
      <c r="I10" s="47" t="s">
        <v>20</v>
      </c>
      <c r="J10" s="47" t="s">
        <v>68</v>
      </c>
      <c r="K10" s="59" t="s">
        <v>23</v>
      </c>
      <c r="L10" s="47" t="s">
        <v>29</v>
      </c>
      <c r="M10" s="47" t="s">
        <v>33</v>
      </c>
    </row>
    <row r="11" customHeight="1" spans="1:13">
      <c r="A11" s="47" t="s">
        <v>69</v>
      </c>
      <c r="B11" s="47" t="s">
        <v>60</v>
      </c>
      <c r="C11" s="47" t="s">
        <v>70</v>
      </c>
      <c r="D11" s="47" t="s">
        <v>71</v>
      </c>
      <c r="E11" s="47" t="s">
        <v>27</v>
      </c>
      <c r="F11" s="47" t="s">
        <v>28</v>
      </c>
      <c r="G11" s="47" t="s">
        <v>38</v>
      </c>
      <c r="H11" s="47" t="s">
        <v>30</v>
      </c>
      <c r="I11" s="47" t="s">
        <v>30</v>
      </c>
      <c r="J11" s="47" t="s">
        <v>32</v>
      </c>
      <c r="K11" s="59" t="s">
        <v>23</v>
      </c>
      <c r="L11" s="59" t="s">
        <v>23</v>
      </c>
      <c r="M11" s="47" t="s">
        <v>33</v>
      </c>
    </row>
    <row r="12" customHeight="1" spans="1:13">
      <c r="A12" s="47" t="s">
        <v>72</v>
      </c>
      <c r="B12" s="47" t="s">
        <v>60</v>
      </c>
      <c r="C12" s="47" t="s">
        <v>42</v>
      </c>
      <c r="D12" s="47" t="s">
        <v>16</v>
      </c>
      <c r="E12" s="47" t="s">
        <v>63</v>
      </c>
      <c r="F12" s="59" t="s">
        <v>23</v>
      </c>
      <c r="G12" s="59" t="s">
        <v>23</v>
      </c>
      <c r="H12" s="47" t="s">
        <v>64</v>
      </c>
      <c r="I12" s="47" t="s">
        <v>64</v>
      </c>
      <c r="J12" s="47" t="s">
        <v>22</v>
      </c>
      <c r="K12" s="59" t="s">
        <v>23</v>
      </c>
      <c r="L12" s="59" t="s">
        <v>23</v>
      </c>
      <c r="M12" s="47" t="s">
        <v>73</v>
      </c>
    </row>
    <row r="13" customHeight="1" spans="1:13">
      <c r="A13" s="47" t="s">
        <v>74</v>
      </c>
      <c r="B13" s="47" t="s">
        <v>60</v>
      </c>
      <c r="C13" s="47" t="s">
        <v>75</v>
      </c>
      <c r="D13" s="47" t="s">
        <v>16</v>
      </c>
      <c r="E13" s="47" t="s">
        <v>76</v>
      </c>
      <c r="F13" s="47" t="s">
        <v>37</v>
      </c>
      <c r="G13" s="47" t="s">
        <v>38</v>
      </c>
      <c r="H13" s="47" t="s">
        <v>77</v>
      </c>
      <c r="I13" s="47" t="s">
        <v>77</v>
      </c>
      <c r="J13" s="47" t="s">
        <v>68</v>
      </c>
      <c r="K13" s="59" t="s">
        <v>23</v>
      </c>
      <c r="L13" s="59" t="s">
        <v>23</v>
      </c>
      <c r="M13" s="47" t="s">
        <v>47</v>
      </c>
    </row>
    <row r="14" customHeight="1" spans="1:13">
      <c r="A14" s="47" t="s">
        <v>78</v>
      </c>
      <c r="B14" s="47" t="s">
        <v>79</v>
      </c>
      <c r="C14" s="47" t="s">
        <v>80</v>
      </c>
      <c r="D14" s="47" t="s">
        <v>43</v>
      </c>
      <c r="E14" s="47" t="s">
        <v>81</v>
      </c>
      <c r="F14" s="47" t="s">
        <v>37</v>
      </c>
      <c r="G14" s="47" t="s">
        <v>38</v>
      </c>
      <c r="H14" s="47" t="s">
        <v>82</v>
      </c>
      <c r="I14" s="47" t="s">
        <v>82</v>
      </c>
      <c r="J14" s="47" t="s">
        <v>22</v>
      </c>
      <c r="K14" s="59" t="s">
        <v>23</v>
      </c>
      <c r="L14" s="47" t="s">
        <v>65</v>
      </c>
      <c r="M14" s="47" t="s">
        <v>40</v>
      </c>
    </row>
    <row r="15" customHeight="1" spans="1:13">
      <c r="A15" s="47" t="s">
        <v>83</v>
      </c>
      <c r="B15" s="47" t="s">
        <v>84</v>
      </c>
      <c r="C15" s="47" t="s">
        <v>85</v>
      </c>
      <c r="D15" s="47" t="s">
        <v>86</v>
      </c>
      <c r="E15" s="47" t="s">
        <v>17</v>
      </c>
      <c r="F15" s="47" t="s">
        <v>18</v>
      </c>
      <c r="G15" s="47" t="s">
        <v>38</v>
      </c>
      <c r="H15" s="59" t="s">
        <v>23</v>
      </c>
      <c r="I15" s="47" t="s">
        <v>20</v>
      </c>
      <c r="J15" s="47" t="s">
        <v>68</v>
      </c>
      <c r="K15" s="59" t="s">
        <v>23</v>
      </c>
      <c r="L15" s="47" t="s">
        <v>65</v>
      </c>
      <c r="M15" s="47" t="s">
        <v>24</v>
      </c>
    </row>
    <row r="16" customHeight="1" spans="1:13">
      <c r="A16" s="47" t="s">
        <v>87</v>
      </c>
      <c r="B16" s="47" t="s">
        <v>84</v>
      </c>
      <c r="C16" s="47" t="s">
        <v>88</v>
      </c>
      <c r="D16" s="47" t="s">
        <v>16</v>
      </c>
      <c r="E16" s="47" t="s">
        <v>89</v>
      </c>
      <c r="F16" s="47" t="s">
        <v>28</v>
      </c>
      <c r="G16" s="47" t="s">
        <v>38</v>
      </c>
      <c r="H16" s="59" t="s">
        <v>23</v>
      </c>
      <c r="I16" s="47" t="s">
        <v>90</v>
      </c>
      <c r="J16" s="47" t="s">
        <v>68</v>
      </c>
      <c r="K16" s="47" t="s">
        <v>53</v>
      </c>
      <c r="L16" s="59" t="s">
        <v>23</v>
      </c>
      <c r="M16" s="47" t="s">
        <v>73</v>
      </c>
    </row>
    <row r="17" customHeight="1" spans="1:13">
      <c r="A17" s="47" t="s">
        <v>91</v>
      </c>
      <c r="B17" s="47" t="s">
        <v>84</v>
      </c>
      <c r="C17" s="47" t="s">
        <v>92</v>
      </c>
      <c r="D17" s="47" t="s">
        <v>43</v>
      </c>
      <c r="E17" s="47" t="s">
        <v>36</v>
      </c>
      <c r="F17" s="47" t="s">
        <v>37</v>
      </c>
      <c r="G17" s="59" t="s">
        <v>23</v>
      </c>
      <c r="H17" s="47" t="s">
        <v>39</v>
      </c>
      <c r="I17" s="47" t="s">
        <v>39</v>
      </c>
      <c r="J17" s="47" t="s">
        <v>32</v>
      </c>
      <c r="K17" s="59" t="s">
        <v>23</v>
      </c>
      <c r="L17" s="47" t="s">
        <v>29</v>
      </c>
      <c r="M17" s="47" t="s">
        <v>47</v>
      </c>
    </row>
    <row r="18" customHeight="1" spans="1:13">
      <c r="A18" s="47" t="s">
        <v>93</v>
      </c>
      <c r="B18" s="47" t="s">
        <v>84</v>
      </c>
      <c r="C18" s="47" t="s">
        <v>94</v>
      </c>
      <c r="D18" s="47" t="s">
        <v>43</v>
      </c>
      <c r="E18" s="47" t="s">
        <v>95</v>
      </c>
      <c r="F18" s="47" t="s">
        <v>45</v>
      </c>
      <c r="G18" s="47" t="s">
        <v>19</v>
      </c>
      <c r="H18" s="47" t="s">
        <v>77</v>
      </c>
      <c r="I18" s="47" t="s">
        <v>96</v>
      </c>
      <c r="J18" s="47" t="s">
        <v>22</v>
      </c>
      <c r="K18" s="59" t="s">
        <v>23</v>
      </c>
      <c r="L18" s="47" t="s">
        <v>65</v>
      </c>
      <c r="M18" s="47" t="s">
        <v>33</v>
      </c>
    </row>
    <row r="19" customHeight="1" spans="1:13">
      <c r="A19" s="47" t="s">
        <v>97</v>
      </c>
      <c r="B19" s="47" t="s">
        <v>84</v>
      </c>
      <c r="C19" s="47" t="s">
        <v>98</v>
      </c>
      <c r="D19" s="47" t="s">
        <v>43</v>
      </c>
      <c r="E19" s="47" t="s">
        <v>17</v>
      </c>
      <c r="F19" s="59" t="s">
        <v>23</v>
      </c>
      <c r="G19" s="47" t="s">
        <v>38</v>
      </c>
      <c r="H19" s="47" t="s">
        <v>20</v>
      </c>
      <c r="I19" s="47" t="s">
        <v>20</v>
      </c>
      <c r="J19" s="47" t="s">
        <v>22</v>
      </c>
      <c r="K19" s="59" t="s">
        <v>23</v>
      </c>
      <c r="L19" s="59" t="s">
        <v>23</v>
      </c>
      <c r="M19" s="47" t="s">
        <v>99</v>
      </c>
    </row>
    <row r="20" customHeight="1" spans="1:13">
      <c r="A20" s="47" t="s">
        <v>100</v>
      </c>
      <c r="B20" s="47" t="s">
        <v>101</v>
      </c>
      <c r="C20" s="47" t="s">
        <v>102</v>
      </c>
      <c r="D20" s="47" t="s">
        <v>16</v>
      </c>
      <c r="E20" s="47" t="s">
        <v>103</v>
      </c>
      <c r="F20" s="59" t="s">
        <v>23</v>
      </c>
      <c r="G20" s="47" t="s">
        <v>38</v>
      </c>
      <c r="H20" s="47" t="s">
        <v>104</v>
      </c>
      <c r="I20" s="47" t="s">
        <v>77</v>
      </c>
      <c r="J20" s="47" t="s">
        <v>22</v>
      </c>
      <c r="K20" s="59" t="s">
        <v>23</v>
      </c>
      <c r="L20" s="59" t="s">
        <v>23</v>
      </c>
      <c r="M20" s="47" t="s">
        <v>33</v>
      </c>
    </row>
    <row r="21" customHeight="1" spans="1:13">
      <c r="A21" s="47" t="s">
        <v>105</v>
      </c>
      <c r="B21" s="47" t="s">
        <v>101</v>
      </c>
      <c r="C21" s="47" t="s">
        <v>106</v>
      </c>
      <c r="D21" s="47" t="s">
        <v>107</v>
      </c>
      <c r="E21" s="47" t="s">
        <v>108</v>
      </c>
      <c r="F21" s="47" t="s">
        <v>109</v>
      </c>
      <c r="G21" s="47" t="s">
        <v>38</v>
      </c>
      <c r="H21" s="47" t="s">
        <v>110</v>
      </c>
      <c r="I21" s="47" t="s">
        <v>111</v>
      </c>
      <c r="J21" s="47" t="s">
        <v>32</v>
      </c>
      <c r="K21" s="59" t="s">
        <v>23</v>
      </c>
      <c r="L21" s="59" t="s">
        <v>23</v>
      </c>
      <c r="M21" s="47" t="s">
        <v>40</v>
      </c>
    </row>
    <row r="22" customHeight="1" spans="1:13">
      <c r="A22" s="47" t="s">
        <v>112</v>
      </c>
      <c r="B22" s="47" t="s">
        <v>101</v>
      </c>
      <c r="C22" s="47" t="s">
        <v>113</v>
      </c>
      <c r="D22" s="47" t="s">
        <v>16</v>
      </c>
      <c r="E22" s="47" t="s">
        <v>44</v>
      </c>
      <c r="F22" s="47" t="s">
        <v>45</v>
      </c>
      <c r="G22" s="47" t="s">
        <v>19</v>
      </c>
      <c r="H22" s="47" t="s">
        <v>46</v>
      </c>
      <c r="I22" s="47" t="s">
        <v>114</v>
      </c>
      <c r="J22" s="47" t="s">
        <v>22</v>
      </c>
      <c r="K22" s="59" t="s">
        <v>23</v>
      </c>
      <c r="L22" s="59" t="s">
        <v>23</v>
      </c>
      <c r="M22" s="47" t="s">
        <v>73</v>
      </c>
    </row>
    <row r="23" customHeight="1" spans="1:13">
      <c r="A23" s="47" t="s">
        <v>115</v>
      </c>
      <c r="B23" s="47" t="s">
        <v>101</v>
      </c>
      <c r="C23" s="47" t="s">
        <v>116</v>
      </c>
      <c r="D23" s="47" t="s">
        <v>62</v>
      </c>
      <c r="E23" s="47" t="s">
        <v>50</v>
      </c>
      <c r="F23" s="47" t="s">
        <v>28</v>
      </c>
      <c r="G23" s="47" t="s">
        <v>38</v>
      </c>
      <c r="H23" s="47" t="s">
        <v>52</v>
      </c>
      <c r="I23" s="47" t="s">
        <v>52</v>
      </c>
      <c r="J23" s="47" t="s">
        <v>22</v>
      </c>
      <c r="K23" s="59" t="s">
        <v>23</v>
      </c>
      <c r="L23" s="59" t="s">
        <v>23</v>
      </c>
      <c r="M23" s="47" t="s">
        <v>33</v>
      </c>
    </row>
    <row r="24" customHeight="1" spans="1:13">
      <c r="A24" s="47" t="s">
        <v>117</v>
      </c>
      <c r="B24" s="47" t="s">
        <v>101</v>
      </c>
      <c r="C24" s="47" t="s">
        <v>118</v>
      </c>
      <c r="D24" s="47" t="s">
        <v>43</v>
      </c>
      <c r="E24" s="47" t="s">
        <v>95</v>
      </c>
      <c r="F24" s="47" t="s">
        <v>45</v>
      </c>
      <c r="G24" s="47" t="s">
        <v>38</v>
      </c>
      <c r="H24" s="47" t="s">
        <v>77</v>
      </c>
      <c r="I24" s="47" t="s">
        <v>46</v>
      </c>
      <c r="J24" s="47" t="s">
        <v>22</v>
      </c>
      <c r="K24" s="47" t="s">
        <v>119</v>
      </c>
      <c r="L24" s="59" t="s">
        <v>23</v>
      </c>
      <c r="M24" s="47" t="s">
        <v>47</v>
      </c>
    </row>
    <row r="25" customHeight="1" spans="1:13">
      <c r="A25" s="47" t="s">
        <v>120</v>
      </c>
      <c r="B25" s="47" t="s">
        <v>121</v>
      </c>
      <c r="C25" s="47" t="s">
        <v>122</v>
      </c>
      <c r="D25" s="47" t="s">
        <v>16</v>
      </c>
      <c r="E25" s="47" t="s">
        <v>17</v>
      </c>
      <c r="F25" s="47" t="s">
        <v>18</v>
      </c>
      <c r="G25" s="47" t="s">
        <v>38</v>
      </c>
      <c r="H25" s="47" t="s">
        <v>20</v>
      </c>
      <c r="I25" s="47" t="s">
        <v>20</v>
      </c>
      <c r="J25" s="47" t="s">
        <v>22</v>
      </c>
      <c r="K25" s="59" t="s">
        <v>23</v>
      </c>
      <c r="L25" s="59" t="s">
        <v>23</v>
      </c>
      <c r="M25" s="47" t="s">
        <v>24</v>
      </c>
    </row>
    <row r="26" customHeight="1" spans="1:13">
      <c r="A26" s="47" t="s">
        <v>123</v>
      </c>
      <c r="B26" s="47" t="s">
        <v>121</v>
      </c>
      <c r="C26" s="47" t="s">
        <v>124</v>
      </c>
      <c r="D26" s="47" t="s">
        <v>125</v>
      </c>
      <c r="E26" s="47" t="s">
        <v>27</v>
      </c>
      <c r="F26" s="47" t="s">
        <v>28</v>
      </c>
      <c r="G26" s="47" t="s">
        <v>19</v>
      </c>
      <c r="H26" s="47" t="s">
        <v>30</v>
      </c>
      <c r="I26" s="47" t="s">
        <v>126</v>
      </c>
      <c r="J26" s="47" t="s">
        <v>127</v>
      </c>
      <c r="K26" s="59" t="s">
        <v>23</v>
      </c>
      <c r="L26" s="47" t="s">
        <v>54</v>
      </c>
      <c r="M26" s="47" t="s">
        <v>40</v>
      </c>
    </row>
    <row r="27" customHeight="1" spans="1:13">
      <c r="A27" s="47" t="s">
        <v>128</v>
      </c>
      <c r="B27" s="47" t="s">
        <v>121</v>
      </c>
      <c r="C27" s="47" t="s">
        <v>129</v>
      </c>
      <c r="D27" s="47" t="s">
        <v>16</v>
      </c>
      <c r="E27" s="47" t="s">
        <v>36</v>
      </c>
      <c r="F27" s="47" t="s">
        <v>37</v>
      </c>
      <c r="G27" s="47" t="s">
        <v>38</v>
      </c>
      <c r="H27" s="47" t="s">
        <v>130</v>
      </c>
      <c r="I27" s="47" t="s">
        <v>39</v>
      </c>
      <c r="J27" s="47" t="s">
        <v>22</v>
      </c>
      <c r="K27" s="59" t="s">
        <v>23</v>
      </c>
      <c r="L27" s="59" t="s">
        <v>23</v>
      </c>
      <c r="M27" s="47" t="s">
        <v>131</v>
      </c>
    </row>
    <row r="28" customHeight="1" spans="1:13">
      <c r="A28" s="47" t="s">
        <v>132</v>
      </c>
      <c r="B28" s="47" t="s">
        <v>121</v>
      </c>
      <c r="C28" s="47" t="s">
        <v>133</v>
      </c>
      <c r="D28" s="47" t="s">
        <v>134</v>
      </c>
      <c r="E28" s="47" t="s">
        <v>63</v>
      </c>
      <c r="F28" s="47" t="s">
        <v>18</v>
      </c>
      <c r="G28" s="47" t="s">
        <v>38</v>
      </c>
      <c r="H28" s="47" t="s">
        <v>64</v>
      </c>
      <c r="I28" s="47" t="s">
        <v>64</v>
      </c>
      <c r="J28" s="47" t="s">
        <v>22</v>
      </c>
      <c r="K28" s="59" t="s">
        <v>23</v>
      </c>
      <c r="L28" s="59" t="s">
        <v>23</v>
      </c>
      <c r="M28" s="47" t="s">
        <v>73</v>
      </c>
    </row>
    <row r="29" customHeight="1" spans="1:13">
      <c r="A29" s="47" t="s">
        <v>135</v>
      </c>
      <c r="B29" s="47" t="s">
        <v>121</v>
      </c>
      <c r="C29" s="47" t="s">
        <v>136</v>
      </c>
      <c r="D29" s="47" t="s">
        <v>137</v>
      </c>
      <c r="E29" s="47" t="s">
        <v>81</v>
      </c>
      <c r="F29" s="59" t="s">
        <v>23</v>
      </c>
      <c r="G29" s="47" t="s">
        <v>38</v>
      </c>
      <c r="H29" s="47" t="s">
        <v>82</v>
      </c>
      <c r="I29" s="47" t="s">
        <v>82</v>
      </c>
      <c r="J29" s="47" t="s">
        <v>22</v>
      </c>
      <c r="K29" s="59" t="s">
        <v>23</v>
      </c>
      <c r="L29" s="59" t="s">
        <v>23</v>
      </c>
      <c r="M29" s="47" t="s">
        <v>33</v>
      </c>
    </row>
    <row r="30" customHeight="1" spans="1:13">
      <c r="A30" s="47" t="s">
        <v>138</v>
      </c>
      <c r="B30" s="47" t="s">
        <v>121</v>
      </c>
      <c r="C30" s="47" t="s">
        <v>139</v>
      </c>
      <c r="D30" s="47" t="s">
        <v>16</v>
      </c>
      <c r="E30" s="47" t="s">
        <v>57</v>
      </c>
      <c r="F30" s="47" t="s">
        <v>28</v>
      </c>
      <c r="G30" s="47" t="s">
        <v>19</v>
      </c>
      <c r="H30" s="47" t="s">
        <v>58</v>
      </c>
      <c r="I30" s="47" t="s">
        <v>140</v>
      </c>
      <c r="J30" s="47" t="s">
        <v>22</v>
      </c>
      <c r="K30" s="59" t="s">
        <v>23</v>
      </c>
      <c r="L30" s="59" t="s">
        <v>23</v>
      </c>
      <c r="M30" s="47" t="s">
        <v>47</v>
      </c>
    </row>
    <row r="31" customHeight="1" spans="1:13">
      <c r="A31" s="47" t="s">
        <v>141</v>
      </c>
      <c r="B31" s="47" t="s">
        <v>121</v>
      </c>
      <c r="C31" s="47" t="s">
        <v>142</v>
      </c>
      <c r="D31" s="47" t="s">
        <v>43</v>
      </c>
      <c r="E31" s="47" t="s">
        <v>57</v>
      </c>
      <c r="F31" s="47" t="s">
        <v>28</v>
      </c>
      <c r="G31" s="47" t="s">
        <v>38</v>
      </c>
      <c r="H31" s="47" t="s">
        <v>58</v>
      </c>
      <c r="I31" s="47" t="s">
        <v>58</v>
      </c>
      <c r="J31" s="47" t="s">
        <v>22</v>
      </c>
      <c r="K31" s="47" t="s">
        <v>143</v>
      </c>
      <c r="L31" s="59" t="s">
        <v>23</v>
      </c>
      <c r="M31" s="47" t="s">
        <v>47</v>
      </c>
    </row>
    <row r="32" customHeight="1" spans="1:13">
      <c r="A32" s="47" t="s">
        <v>144</v>
      </c>
      <c r="B32" s="47" t="s">
        <v>121</v>
      </c>
      <c r="C32" s="47" t="s">
        <v>145</v>
      </c>
      <c r="D32" s="47" t="s">
        <v>43</v>
      </c>
      <c r="E32" s="47" t="s">
        <v>146</v>
      </c>
      <c r="F32" s="47" t="s">
        <v>28</v>
      </c>
      <c r="G32" s="47" t="s">
        <v>29</v>
      </c>
      <c r="H32" s="47" t="s">
        <v>147</v>
      </c>
      <c r="I32" s="47" t="s">
        <v>148</v>
      </c>
      <c r="J32" s="47" t="s">
        <v>32</v>
      </c>
      <c r="K32" s="59" t="s">
        <v>23</v>
      </c>
      <c r="L32" s="59" t="s">
        <v>23</v>
      </c>
      <c r="M32" s="47" t="s">
        <v>33</v>
      </c>
    </row>
    <row r="33" customHeight="1" spans="1:13">
      <c r="A33" s="47" t="s">
        <v>149</v>
      </c>
      <c r="B33" s="47" t="s">
        <v>121</v>
      </c>
      <c r="C33" s="47" t="s">
        <v>150</v>
      </c>
      <c r="D33" s="47" t="s">
        <v>151</v>
      </c>
      <c r="E33" s="47" t="s">
        <v>81</v>
      </c>
      <c r="F33" s="47" t="s">
        <v>37</v>
      </c>
      <c r="G33" s="47" t="s">
        <v>38</v>
      </c>
      <c r="H33" s="47" t="s">
        <v>82</v>
      </c>
      <c r="I33" s="47" t="s">
        <v>82</v>
      </c>
      <c r="J33" s="47" t="s">
        <v>22</v>
      </c>
      <c r="K33" s="59" t="s">
        <v>23</v>
      </c>
      <c r="L33" s="59" t="s">
        <v>23</v>
      </c>
      <c r="M33" s="47" t="s">
        <v>73</v>
      </c>
    </row>
    <row r="34" customHeight="1" spans="1:13">
      <c r="A34" s="47" t="s">
        <v>152</v>
      </c>
      <c r="B34" s="47" t="s">
        <v>121</v>
      </c>
      <c r="C34" s="47" t="s">
        <v>153</v>
      </c>
      <c r="D34" s="47" t="s">
        <v>16</v>
      </c>
      <c r="E34" s="47" t="s">
        <v>103</v>
      </c>
      <c r="F34" s="47" t="s">
        <v>37</v>
      </c>
      <c r="G34" s="47" t="s">
        <v>38</v>
      </c>
      <c r="H34" s="47" t="s">
        <v>77</v>
      </c>
      <c r="I34" s="47" t="s">
        <v>77</v>
      </c>
      <c r="J34" s="47" t="s">
        <v>22</v>
      </c>
      <c r="K34" s="59" t="s">
        <v>23</v>
      </c>
      <c r="L34" s="59" t="s">
        <v>23</v>
      </c>
      <c r="M34" s="47" t="s">
        <v>24</v>
      </c>
    </row>
    <row r="35" customHeight="1" spans="1:13">
      <c r="A35" s="47" t="s">
        <v>154</v>
      </c>
      <c r="B35" s="47" t="s">
        <v>121</v>
      </c>
      <c r="C35" s="47" t="s">
        <v>155</v>
      </c>
      <c r="D35" s="47" t="s">
        <v>156</v>
      </c>
      <c r="E35" s="47" t="s">
        <v>17</v>
      </c>
      <c r="F35" s="59" t="s">
        <v>23</v>
      </c>
      <c r="G35" s="47" t="s">
        <v>19</v>
      </c>
      <c r="H35" s="47" t="s">
        <v>20</v>
      </c>
      <c r="I35" s="47" t="s">
        <v>21</v>
      </c>
      <c r="J35" s="47" t="s">
        <v>22</v>
      </c>
      <c r="K35" s="59" t="s">
        <v>23</v>
      </c>
      <c r="L35" s="59" t="s">
        <v>23</v>
      </c>
      <c r="M35" s="47" t="s">
        <v>157</v>
      </c>
    </row>
    <row r="36" customHeight="1" spans="1:13">
      <c r="A36" s="47" t="s">
        <v>158</v>
      </c>
      <c r="B36" s="47" t="s">
        <v>121</v>
      </c>
      <c r="C36" s="47" t="s">
        <v>49</v>
      </c>
      <c r="D36" s="47" t="s">
        <v>43</v>
      </c>
      <c r="E36" s="47" t="s">
        <v>57</v>
      </c>
      <c r="F36" s="47" t="s">
        <v>28</v>
      </c>
      <c r="G36" s="47" t="s">
        <v>38</v>
      </c>
      <c r="H36" s="47" t="s">
        <v>58</v>
      </c>
      <c r="I36" s="47" t="s">
        <v>58</v>
      </c>
      <c r="J36" s="47" t="s">
        <v>22</v>
      </c>
      <c r="K36" s="59" t="s">
        <v>23</v>
      </c>
      <c r="L36" s="59" t="s">
        <v>23</v>
      </c>
      <c r="M36" s="47" t="s">
        <v>33</v>
      </c>
    </row>
    <row r="37" customHeight="1" spans="1:13">
      <c r="A37" s="47" t="s">
        <v>159</v>
      </c>
      <c r="B37" s="47" t="s">
        <v>121</v>
      </c>
      <c r="C37" s="47" t="s">
        <v>160</v>
      </c>
      <c r="D37" s="47" t="s">
        <v>16</v>
      </c>
      <c r="E37" s="47" t="s">
        <v>161</v>
      </c>
      <c r="F37" s="47" t="s">
        <v>18</v>
      </c>
      <c r="G37" s="47" t="s">
        <v>38</v>
      </c>
      <c r="H37" s="59" t="s">
        <v>23</v>
      </c>
      <c r="I37" s="47" t="s">
        <v>162</v>
      </c>
      <c r="J37" s="47" t="s">
        <v>22</v>
      </c>
      <c r="K37" s="47" t="s">
        <v>53</v>
      </c>
      <c r="L37" s="59" t="s">
        <v>23</v>
      </c>
      <c r="M37" s="47" t="s">
        <v>73</v>
      </c>
    </row>
    <row r="38" customHeight="1" spans="1:13">
      <c r="A38" s="47" t="s">
        <v>163</v>
      </c>
      <c r="B38" s="47" t="s">
        <v>121</v>
      </c>
      <c r="C38" s="47" t="s">
        <v>164</v>
      </c>
      <c r="D38" s="47" t="s">
        <v>16</v>
      </c>
      <c r="E38" s="47" t="s">
        <v>165</v>
      </c>
      <c r="F38" s="47" t="s">
        <v>109</v>
      </c>
      <c r="G38" s="47" t="s">
        <v>38</v>
      </c>
      <c r="H38" s="47" t="s">
        <v>82</v>
      </c>
      <c r="I38" s="47" t="s">
        <v>82</v>
      </c>
      <c r="J38" s="47" t="s">
        <v>22</v>
      </c>
      <c r="K38" s="59" t="s">
        <v>23</v>
      </c>
      <c r="L38" s="59" t="s">
        <v>23</v>
      </c>
      <c r="M38" s="47" t="s">
        <v>24</v>
      </c>
    </row>
    <row r="39" customHeight="1" spans="1:13">
      <c r="A39" s="47" t="s">
        <v>166</v>
      </c>
      <c r="B39" s="47" t="s">
        <v>121</v>
      </c>
      <c r="C39" s="47" t="s">
        <v>167</v>
      </c>
      <c r="D39" s="47" t="s">
        <v>16</v>
      </c>
      <c r="E39" s="47" t="s">
        <v>17</v>
      </c>
      <c r="F39" s="47" t="s">
        <v>18</v>
      </c>
      <c r="G39" s="47" t="s">
        <v>38</v>
      </c>
      <c r="H39" s="47" t="s">
        <v>20</v>
      </c>
      <c r="I39" s="47" t="s">
        <v>20</v>
      </c>
      <c r="J39" s="47" t="s">
        <v>22</v>
      </c>
      <c r="K39" s="59" t="s">
        <v>23</v>
      </c>
      <c r="L39" s="47" t="s">
        <v>54</v>
      </c>
      <c r="M39" s="47" t="s">
        <v>47</v>
      </c>
    </row>
    <row r="40" customHeight="1" spans="1:13">
      <c r="A40" s="47" t="s">
        <v>168</v>
      </c>
      <c r="B40" s="47" t="s">
        <v>169</v>
      </c>
      <c r="C40" s="47" t="s">
        <v>170</v>
      </c>
      <c r="D40" s="47" t="s">
        <v>16</v>
      </c>
      <c r="E40" s="47" t="s">
        <v>57</v>
      </c>
      <c r="F40" s="47" t="s">
        <v>28</v>
      </c>
      <c r="G40" s="47" t="s">
        <v>38</v>
      </c>
      <c r="H40" s="47" t="s">
        <v>58</v>
      </c>
      <c r="I40" s="47" t="s">
        <v>58</v>
      </c>
      <c r="J40" s="47" t="s">
        <v>22</v>
      </c>
      <c r="K40" s="59" t="s">
        <v>23</v>
      </c>
      <c r="L40" s="59" t="s">
        <v>23</v>
      </c>
      <c r="M40" s="47" t="s">
        <v>157</v>
      </c>
    </row>
    <row r="41" customHeight="1" spans="1:13">
      <c r="A41" s="47" t="s">
        <v>171</v>
      </c>
      <c r="B41" s="47" t="s">
        <v>172</v>
      </c>
      <c r="C41" s="47" t="s">
        <v>173</v>
      </c>
      <c r="D41" s="47" t="s">
        <v>16</v>
      </c>
      <c r="E41" s="47" t="s">
        <v>17</v>
      </c>
      <c r="F41" s="47" t="s">
        <v>18</v>
      </c>
      <c r="G41" s="47" t="s">
        <v>38</v>
      </c>
      <c r="H41" s="47" t="s">
        <v>20</v>
      </c>
      <c r="I41" s="47" t="s">
        <v>20</v>
      </c>
      <c r="J41" s="47" t="s">
        <v>32</v>
      </c>
      <c r="K41" s="59" t="s">
        <v>23</v>
      </c>
      <c r="L41" s="47" t="s">
        <v>65</v>
      </c>
      <c r="M41" s="47" t="s">
        <v>24</v>
      </c>
    </row>
    <row r="42" customHeight="1" spans="1:13">
      <c r="A42" s="47" t="s">
        <v>174</v>
      </c>
      <c r="B42" s="47" t="s">
        <v>169</v>
      </c>
      <c r="C42" s="47" t="s">
        <v>175</v>
      </c>
      <c r="D42" s="47" t="s">
        <v>107</v>
      </c>
      <c r="E42" s="47" t="s">
        <v>165</v>
      </c>
      <c r="F42" s="47" t="s">
        <v>109</v>
      </c>
      <c r="G42" s="47" t="s">
        <v>38</v>
      </c>
      <c r="H42" s="47" t="s">
        <v>82</v>
      </c>
      <c r="I42" s="47" t="s">
        <v>82</v>
      </c>
      <c r="J42" s="47" t="s">
        <v>22</v>
      </c>
      <c r="K42" s="59" t="s">
        <v>23</v>
      </c>
      <c r="L42" s="47" t="s">
        <v>29</v>
      </c>
      <c r="M42" s="47" t="s">
        <v>47</v>
      </c>
    </row>
    <row r="43" customHeight="1" spans="1:13">
      <c r="A43" s="47" t="s">
        <v>176</v>
      </c>
      <c r="B43" s="47" t="s">
        <v>169</v>
      </c>
      <c r="C43" s="47" t="s">
        <v>177</v>
      </c>
      <c r="D43" s="47" t="s">
        <v>16</v>
      </c>
      <c r="E43" s="47" t="s">
        <v>63</v>
      </c>
      <c r="F43" s="47" t="s">
        <v>18</v>
      </c>
      <c r="G43" s="47" t="s">
        <v>38</v>
      </c>
      <c r="H43" s="59" t="s">
        <v>23</v>
      </c>
      <c r="I43" s="47" t="s">
        <v>64</v>
      </c>
      <c r="J43" s="47" t="s">
        <v>22</v>
      </c>
      <c r="K43" s="59" t="s">
        <v>23</v>
      </c>
      <c r="L43" s="47" t="s">
        <v>54</v>
      </c>
      <c r="M43" s="47" t="s">
        <v>24</v>
      </c>
    </row>
    <row r="44" customHeight="1" spans="1:13">
      <c r="A44" s="47" t="s">
        <v>178</v>
      </c>
      <c r="B44" s="47" t="s">
        <v>179</v>
      </c>
      <c r="C44" s="47" t="s">
        <v>180</v>
      </c>
      <c r="D44" s="47" t="s">
        <v>43</v>
      </c>
      <c r="E44" s="47" t="s">
        <v>165</v>
      </c>
      <c r="F44" s="47" t="s">
        <v>109</v>
      </c>
      <c r="G44" s="47" t="s">
        <v>38</v>
      </c>
      <c r="H44" s="47" t="s">
        <v>82</v>
      </c>
      <c r="I44" s="47" t="s">
        <v>82</v>
      </c>
      <c r="J44" s="47" t="s">
        <v>32</v>
      </c>
      <c r="K44" s="59" t="s">
        <v>23</v>
      </c>
      <c r="L44" s="47" t="s">
        <v>65</v>
      </c>
      <c r="M44" s="47" t="s">
        <v>181</v>
      </c>
    </row>
    <row r="45" customHeight="1" spans="1:13">
      <c r="A45" s="47" t="s">
        <v>182</v>
      </c>
      <c r="B45" s="47" t="s">
        <v>169</v>
      </c>
      <c r="C45" s="47" t="s">
        <v>183</v>
      </c>
      <c r="D45" s="47" t="s">
        <v>16</v>
      </c>
      <c r="E45" s="47" t="s">
        <v>81</v>
      </c>
      <c r="F45" s="47" t="s">
        <v>37</v>
      </c>
      <c r="G45" s="47" t="s">
        <v>19</v>
      </c>
      <c r="H45" s="47" t="s">
        <v>82</v>
      </c>
      <c r="I45" s="47" t="s">
        <v>184</v>
      </c>
      <c r="J45" s="47" t="s">
        <v>22</v>
      </c>
      <c r="K45" s="59" t="s">
        <v>23</v>
      </c>
      <c r="L45" s="59" t="s">
        <v>23</v>
      </c>
      <c r="M45" s="47" t="s">
        <v>73</v>
      </c>
    </row>
    <row r="46" customHeight="1" spans="1:13">
      <c r="A46" s="47" t="s">
        <v>185</v>
      </c>
      <c r="B46" s="47" t="s">
        <v>169</v>
      </c>
      <c r="C46" s="47" t="s">
        <v>116</v>
      </c>
      <c r="D46" s="47" t="s">
        <v>16</v>
      </c>
      <c r="E46" s="47" t="s">
        <v>76</v>
      </c>
      <c r="F46" s="47" t="s">
        <v>37</v>
      </c>
      <c r="G46" s="47" t="s">
        <v>38</v>
      </c>
      <c r="H46" s="47" t="s">
        <v>77</v>
      </c>
      <c r="I46" s="47" t="s">
        <v>77</v>
      </c>
      <c r="J46" s="47" t="s">
        <v>32</v>
      </c>
      <c r="K46" s="59" t="s">
        <v>23</v>
      </c>
      <c r="L46" s="59" t="s">
        <v>23</v>
      </c>
      <c r="M46" s="47" t="s">
        <v>40</v>
      </c>
    </row>
    <row r="47" customHeight="1" spans="1:13">
      <c r="A47" s="47" t="s">
        <v>186</v>
      </c>
      <c r="B47" s="47" t="s">
        <v>169</v>
      </c>
      <c r="C47" s="47" t="s">
        <v>187</v>
      </c>
      <c r="D47" s="47" t="s">
        <v>16</v>
      </c>
      <c r="E47" s="47" t="s">
        <v>188</v>
      </c>
      <c r="F47" s="47" t="s">
        <v>37</v>
      </c>
      <c r="G47" s="47" t="s">
        <v>19</v>
      </c>
      <c r="H47" s="47" t="s">
        <v>77</v>
      </c>
      <c r="I47" s="47" t="s">
        <v>189</v>
      </c>
      <c r="J47" s="47" t="s">
        <v>22</v>
      </c>
      <c r="K47" s="47" t="s">
        <v>143</v>
      </c>
      <c r="L47" s="59" t="s">
        <v>23</v>
      </c>
      <c r="M47" s="47" t="s">
        <v>33</v>
      </c>
    </row>
    <row r="48" customHeight="1" spans="1:13">
      <c r="A48" s="47" t="s">
        <v>190</v>
      </c>
      <c r="B48" s="47" t="s">
        <v>169</v>
      </c>
      <c r="C48" s="47" t="s">
        <v>191</v>
      </c>
      <c r="D48" s="47" t="s">
        <v>134</v>
      </c>
      <c r="E48" s="47" t="s">
        <v>103</v>
      </c>
      <c r="F48" s="47" t="s">
        <v>37</v>
      </c>
      <c r="G48" s="47" t="s">
        <v>38</v>
      </c>
      <c r="H48" s="47" t="s">
        <v>77</v>
      </c>
      <c r="I48" s="47" t="s">
        <v>77</v>
      </c>
      <c r="J48" s="47" t="s">
        <v>32</v>
      </c>
      <c r="K48" s="59" t="s">
        <v>23</v>
      </c>
      <c r="L48" s="47" t="s">
        <v>54</v>
      </c>
      <c r="M48" s="47" t="s">
        <v>33</v>
      </c>
    </row>
    <row r="49" customHeight="1" spans="1:13">
      <c r="A49" s="47" t="s">
        <v>192</v>
      </c>
      <c r="B49" s="47" t="s">
        <v>193</v>
      </c>
      <c r="C49" s="47" t="s">
        <v>194</v>
      </c>
      <c r="D49" s="47" t="s">
        <v>16</v>
      </c>
      <c r="E49" s="47" t="s">
        <v>17</v>
      </c>
      <c r="F49" s="47" t="s">
        <v>18</v>
      </c>
      <c r="G49" s="47" t="s">
        <v>29</v>
      </c>
      <c r="H49" s="47" t="s">
        <v>20</v>
      </c>
      <c r="I49" s="47" t="s">
        <v>39</v>
      </c>
      <c r="J49" s="47" t="s">
        <v>32</v>
      </c>
      <c r="K49" s="59" t="s">
        <v>23</v>
      </c>
      <c r="L49" s="47" t="s">
        <v>65</v>
      </c>
      <c r="M49" s="47" t="s">
        <v>40</v>
      </c>
    </row>
    <row r="50" customHeight="1" spans="1:13">
      <c r="A50" s="47" t="s">
        <v>195</v>
      </c>
      <c r="B50" s="47" t="s">
        <v>193</v>
      </c>
      <c r="C50" s="47" t="s">
        <v>196</v>
      </c>
      <c r="D50" s="47" t="s">
        <v>107</v>
      </c>
      <c r="E50" s="47" t="s">
        <v>81</v>
      </c>
      <c r="F50" s="47" t="s">
        <v>37</v>
      </c>
      <c r="G50" s="47" t="s">
        <v>38</v>
      </c>
      <c r="H50" s="47" t="s">
        <v>82</v>
      </c>
      <c r="I50" s="47" t="s">
        <v>82</v>
      </c>
      <c r="J50" s="47" t="s">
        <v>22</v>
      </c>
      <c r="K50" s="59" t="s">
        <v>23</v>
      </c>
      <c r="L50" s="47" t="s">
        <v>65</v>
      </c>
      <c r="M50" s="47" t="s">
        <v>47</v>
      </c>
    </row>
    <row r="51" customHeight="1" spans="1:13">
      <c r="A51" s="47" t="s">
        <v>197</v>
      </c>
      <c r="B51" s="47" t="s">
        <v>193</v>
      </c>
      <c r="C51" s="47" t="s">
        <v>198</v>
      </c>
      <c r="D51" s="47" t="s">
        <v>107</v>
      </c>
      <c r="E51" s="47" t="s">
        <v>199</v>
      </c>
      <c r="F51" s="47" t="s">
        <v>18</v>
      </c>
      <c r="G51" s="47" t="s">
        <v>38</v>
      </c>
      <c r="H51" s="47" t="s">
        <v>39</v>
      </c>
      <c r="I51" s="47" t="s">
        <v>39</v>
      </c>
      <c r="J51" s="47" t="s">
        <v>22</v>
      </c>
      <c r="K51" s="59" t="s">
        <v>23</v>
      </c>
      <c r="L51" s="59" t="s">
        <v>23</v>
      </c>
      <c r="M51" s="47" t="s">
        <v>73</v>
      </c>
    </row>
    <row r="52" customHeight="1" spans="1:13">
      <c r="A52" s="47" t="s">
        <v>200</v>
      </c>
      <c r="B52" s="47" t="s">
        <v>193</v>
      </c>
      <c r="C52" s="47" t="s">
        <v>201</v>
      </c>
      <c r="D52" s="47" t="s">
        <v>16</v>
      </c>
      <c r="E52" s="47" t="s">
        <v>63</v>
      </c>
      <c r="F52" s="47" t="s">
        <v>18</v>
      </c>
      <c r="G52" s="59" t="s">
        <v>23</v>
      </c>
      <c r="H52" s="47" t="s">
        <v>64</v>
      </c>
      <c r="I52" s="47" t="s">
        <v>64</v>
      </c>
      <c r="J52" s="47" t="s">
        <v>32</v>
      </c>
      <c r="K52" s="59" t="s">
        <v>23</v>
      </c>
      <c r="L52" s="59" t="s">
        <v>23</v>
      </c>
      <c r="M52" s="47" t="s">
        <v>24</v>
      </c>
    </row>
    <row r="53" customHeight="1" spans="1:13">
      <c r="A53" s="47" t="s">
        <v>202</v>
      </c>
      <c r="B53" s="47" t="s">
        <v>193</v>
      </c>
      <c r="C53" s="47" t="s">
        <v>203</v>
      </c>
      <c r="D53" s="47" t="s">
        <v>16</v>
      </c>
      <c r="E53" s="47" t="s">
        <v>44</v>
      </c>
      <c r="F53" s="47" t="s">
        <v>45</v>
      </c>
      <c r="G53" s="47" t="s">
        <v>38</v>
      </c>
      <c r="H53" s="47" t="s">
        <v>46</v>
      </c>
      <c r="I53" s="59" t="s">
        <v>23</v>
      </c>
      <c r="J53" s="47" t="s">
        <v>22</v>
      </c>
      <c r="K53" s="59" t="s">
        <v>23</v>
      </c>
      <c r="L53" s="59" t="s">
        <v>23</v>
      </c>
      <c r="M53" s="47" t="s">
        <v>33</v>
      </c>
    </row>
    <row r="54" customHeight="1" spans="1:13">
      <c r="A54" s="47" t="s">
        <v>204</v>
      </c>
      <c r="B54" s="47" t="s">
        <v>205</v>
      </c>
      <c r="C54" s="47" t="s">
        <v>206</v>
      </c>
      <c r="D54" s="47" t="s">
        <v>207</v>
      </c>
      <c r="E54" s="47" t="s">
        <v>81</v>
      </c>
      <c r="F54" s="47" t="s">
        <v>37</v>
      </c>
      <c r="G54" s="47" t="s">
        <v>38</v>
      </c>
      <c r="H54" s="47" t="s">
        <v>82</v>
      </c>
      <c r="I54" s="47" t="s">
        <v>82</v>
      </c>
      <c r="J54" s="47" t="s">
        <v>22</v>
      </c>
      <c r="K54" s="59" t="s">
        <v>23</v>
      </c>
      <c r="L54" s="59" t="s">
        <v>23</v>
      </c>
      <c r="M54" s="47" t="s">
        <v>24</v>
      </c>
    </row>
    <row r="55" customHeight="1" spans="1:13">
      <c r="A55" s="47" t="s">
        <v>208</v>
      </c>
      <c r="B55" s="47" t="s">
        <v>193</v>
      </c>
      <c r="C55" s="47" t="s">
        <v>209</v>
      </c>
      <c r="D55" s="47" t="s">
        <v>43</v>
      </c>
      <c r="E55" s="47" t="s">
        <v>103</v>
      </c>
      <c r="F55" s="47" t="s">
        <v>37</v>
      </c>
      <c r="G55" s="47" t="s">
        <v>19</v>
      </c>
      <c r="H55" s="47" t="s">
        <v>77</v>
      </c>
      <c r="I55" s="47" t="s">
        <v>96</v>
      </c>
      <c r="J55" s="47" t="s">
        <v>22</v>
      </c>
      <c r="K55" s="59" t="s">
        <v>23</v>
      </c>
      <c r="L55" s="59" t="s">
        <v>23</v>
      </c>
      <c r="M55" s="47" t="s">
        <v>40</v>
      </c>
    </row>
    <row r="56" customHeight="1" spans="1:13">
      <c r="A56" s="47" t="s">
        <v>210</v>
      </c>
      <c r="B56" s="47" t="s">
        <v>211</v>
      </c>
      <c r="C56" s="47" t="s">
        <v>212</v>
      </c>
      <c r="D56" s="47" t="s">
        <v>213</v>
      </c>
      <c r="E56" s="47" t="s">
        <v>44</v>
      </c>
      <c r="F56" s="47" t="s">
        <v>45</v>
      </c>
      <c r="G56" s="59" t="s">
        <v>23</v>
      </c>
      <c r="H56" s="47" t="s">
        <v>46</v>
      </c>
      <c r="I56" s="47" t="s">
        <v>214</v>
      </c>
      <c r="J56" s="47" t="s">
        <v>22</v>
      </c>
      <c r="K56" s="47" t="s">
        <v>53</v>
      </c>
      <c r="L56" s="47" t="s">
        <v>29</v>
      </c>
      <c r="M56" s="47" t="s">
        <v>47</v>
      </c>
    </row>
    <row r="57" customHeight="1" spans="1:13">
      <c r="A57" s="47" t="s">
        <v>215</v>
      </c>
      <c r="B57" s="47" t="s">
        <v>211</v>
      </c>
      <c r="C57" s="47" t="s">
        <v>216</v>
      </c>
      <c r="D57" s="47" t="s">
        <v>16</v>
      </c>
      <c r="E57" s="47" t="s">
        <v>217</v>
      </c>
      <c r="F57" s="47" t="s">
        <v>28</v>
      </c>
      <c r="G57" s="47" t="s">
        <v>38</v>
      </c>
      <c r="H57" s="47" t="s">
        <v>147</v>
      </c>
      <c r="I57" s="47" t="s">
        <v>218</v>
      </c>
      <c r="J57" s="47" t="s">
        <v>22</v>
      </c>
      <c r="K57" s="59" t="s">
        <v>23</v>
      </c>
      <c r="L57" s="59" t="s">
        <v>23</v>
      </c>
      <c r="M57" s="47" t="s">
        <v>73</v>
      </c>
    </row>
    <row r="58" customHeight="1" spans="1:13">
      <c r="A58" s="47" t="s">
        <v>219</v>
      </c>
      <c r="B58" s="47" t="s">
        <v>211</v>
      </c>
      <c r="C58" s="47" t="s">
        <v>113</v>
      </c>
      <c r="D58" s="47" t="s">
        <v>16</v>
      </c>
      <c r="E58" s="47" t="s">
        <v>199</v>
      </c>
      <c r="F58" s="47" t="s">
        <v>18</v>
      </c>
      <c r="G58" s="47" t="s">
        <v>19</v>
      </c>
      <c r="H58" s="47" t="s">
        <v>39</v>
      </c>
      <c r="I58" s="47" t="s">
        <v>82</v>
      </c>
      <c r="J58" s="47" t="s">
        <v>22</v>
      </c>
      <c r="K58" s="59" t="s">
        <v>23</v>
      </c>
      <c r="L58" s="47" t="s">
        <v>65</v>
      </c>
      <c r="M58" s="47" t="s">
        <v>220</v>
      </c>
    </row>
    <row r="59" customHeight="1" spans="1:13">
      <c r="A59" s="47" t="s">
        <v>221</v>
      </c>
      <c r="B59" s="47" t="s">
        <v>211</v>
      </c>
      <c r="C59" s="47" t="s">
        <v>222</v>
      </c>
      <c r="D59" s="47" t="s">
        <v>107</v>
      </c>
      <c r="E59" s="47" t="s">
        <v>17</v>
      </c>
      <c r="F59" s="47" t="s">
        <v>18</v>
      </c>
      <c r="G59" s="47" t="s">
        <v>19</v>
      </c>
      <c r="H59" s="47" t="s">
        <v>20</v>
      </c>
      <c r="I59" s="47" t="s">
        <v>21</v>
      </c>
      <c r="J59" s="47" t="s">
        <v>22</v>
      </c>
      <c r="K59" s="59" t="s">
        <v>23</v>
      </c>
      <c r="L59" s="47" t="s">
        <v>65</v>
      </c>
      <c r="M59" s="47" t="s">
        <v>73</v>
      </c>
    </row>
    <row r="60" customHeight="1" spans="1:13">
      <c r="A60" s="47" t="s">
        <v>223</v>
      </c>
      <c r="B60" s="47" t="s">
        <v>211</v>
      </c>
      <c r="C60" s="47" t="s">
        <v>201</v>
      </c>
      <c r="D60" s="47" t="s">
        <v>62</v>
      </c>
      <c r="E60" s="47" t="s">
        <v>36</v>
      </c>
      <c r="F60" s="47" t="s">
        <v>37</v>
      </c>
      <c r="G60" s="47" t="s">
        <v>38</v>
      </c>
      <c r="H60" s="47" t="s">
        <v>39</v>
      </c>
      <c r="I60" s="47" t="s">
        <v>39</v>
      </c>
      <c r="J60" s="47" t="s">
        <v>22</v>
      </c>
      <c r="K60" s="59" t="s">
        <v>23</v>
      </c>
      <c r="L60" s="59" t="s">
        <v>23</v>
      </c>
      <c r="M60" s="47" t="s">
        <v>33</v>
      </c>
    </row>
    <row r="61" customHeight="1" spans="1:13">
      <c r="A61" s="47" t="s">
        <v>224</v>
      </c>
      <c r="B61" s="47" t="s">
        <v>225</v>
      </c>
      <c r="C61" s="47" t="s">
        <v>226</v>
      </c>
      <c r="D61" s="47" t="s">
        <v>16</v>
      </c>
      <c r="E61" s="47" t="s">
        <v>103</v>
      </c>
      <c r="F61" s="47" t="s">
        <v>37</v>
      </c>
      <c r="G61" s="47" t="s">
        <v>38</v>
      </c>
      <c r="H61" s="47" t="s">
        <v>77</v>
      </c>
      <c r="I61" s="47" t="s">
        <v>227</v>
      </c>
      <c r="J61" s="47" t="s">
        <v>22</v>
      </c>
      <c r="K61" s="47" t="s">
        <v>53</v>
      </c>
      <c r="L61" s="59" t="s">
        <v>23</v>
      </c>
      <c r="M61" s="47" t="s">
        <v>24</v>
      </c>
    </row>
    <row r="62" customHeight="1" spans="1:13">
      <c r="A62" s="47" t="s">
        <v>228</v>
      </c>
      <c r="B62" s="47" t="s">
        <v>225</v>
      </c>
      <c r="C62" s="47" t="s">
        <v>229</v>
      </c>
      <c r="D62" s="47" t="s">
        <v>16</v>
      </c>
      <c r="E62" s="47" t="s">
        <v>95</v>
      </c>
      <c r="F62" s="47" t="s">
        <v>45</v>
      </c>
      <c r="G62" s="47" t="s">
        <v>29</v>
      </c>
      <c r="H62" s="47" t="s">
        <v>77</v>
      </c>
      <c r="I62" s="47" t="s">
        <v>30</v>
      </c>
      <c r="J62" s="47" t="s">
        <v>22</v>
      </c>
      <c r="K62" s="59" t="s">
        <v>23</v>
      </c>
      <c r="L62" s="47" t="s">
        <v>65</v>
      </c>
      <c r="M62" s="47" t="s">
        <v>24</v>
      </c>
    </row>
    <row r="63" customHeight="1" spans="1:13">
      <c r="A63" s="47" t="s">
        <v>230</v>
      </c>
      <c r="B63" s="47" t="s">
        <v>225</v>
      </c>
      <c r="C63" s="47" t="s">
        <v>231</v>
      </c>
      <c r="D63" s="47" t="s">
        <v>16</v>
      </c>
      <c r="E63" s="47" t="s">
        <v>63</v>
      </c>
      <c r="F63" s="47" t="s">
        <v>18</v>
      </c>
      <c r="G63" s="47" t="s">
        <v>38</v>
      </c>
      <c r="H63" s="47" t="s">
        <v>64</v>
      </c>
      <c r="I63" s="47" t="s">
        <v>64</v>
      </c>
      <c r="J63" s="47" t="s">
        <v>22</v>
      </c>
      <c r="K63" s="59" t="s">
        <v>23</v>
      </c>
      <c r="L63" s="59" t="s">
        <v>23</v>
      </c>
      <c r="M63" s="47" t="s">
        <v>47</v>
      </c>
    </row>
    <row r="64" customHeight="1" spans="1:13">
      <c r="A64" s="47" t="s">
        <v>232</v>
      </c>
      <c r="B64" s="47" t="s">
        <v>225</v>
      </c>
      <c r="C64" s="47" t="s">
        <v>233</v>
      </c>
      <c r="D64" s="47" t="s">
        <v>234</v>
      </c>
      <c r="E64" s="47" t="s">
        <v>235</v>
      </c>
      <c r="F64" s="47" t="s">
        <v>45</v>
      </c>
      <c r="G64" s="47" t="s">
        <v>38</v>
      </c>
      <c r="H64" s="47" t="s">
        <v>46</v>
      </c>
      <c r="I64" s="47" t="s">
        <v>46</v>
      </c>
      <c r="J64" s="47" t="s">
        <v>22</v>
      </c>
      <c r="K64" s="59" t="s">
        <v>23</v>
      </c>
      <c r="L64" s="47" t="s">
        <v>65</v>
      </c>
      <c r="M64" s="47" t="s">
        <v>236</v>
      </c>
    </row>
    <row r="65" customHeight="1" spans="1:13">
      <c r="A65" s="47" t="s">
        <v>237</v>
      </c>
      <c r="B65" s="47" t="s">
        <v>225</v>
      </c>
      <c r="C65" s="47" t="s">
        <v>238</v>
      </c>
      <c r="D65" s="47" t="s">
        <v>43</v>
      </c>
      <c r="E65" s="47" t="s">
        <v>103</v>
      </c>
      <c r="F65" s="47" t="s">
        <v>37</v>
      </c>
      <c r="G65" s="47" t="s">
        <v>38</v>
      </c>
      <c r="H65" s="47" t="s">
        <v>77</v>
      </c>
      <c r="I65" s="47" t="s">
        <v>77</v>
      </c>
      <c r="J65" s="47" t="s">
        <v>22</v>
      </c>
      <c r="K65" s="59" t="s">
        <v>23</v>
      </c>
      <c r="L65" s="59" t="s">
        <v>23</v>
      </c>
      <c r="M65" s="47" t="s">
        <v>33</v>
      </c>
    </row>
    <row r="66" customHeight="1" spans="1:13">
      <c r="A66" s="47" t="s">
        <v>239</v>
      </c>
      <c r="B66" s="47" t="s">
        <v>240</v>
      </c>
      <c r="C66" s="47" t="s">
        <v>241</v>
      </c>
      <c r="D66" s="47" t="s">
        <v>16</v>
      </c>
      <c r="E66" s="47" t="s">
        <v>17</v>
      </c>
      <c r="F66" s="47" t="s">
        <v>18</v>
      </c>
      <c r="G66" s="47" t="s">
        <v>38</v>
      </c>
      <c r="H66" s="47" t="s">
        <v>20</v>
      </c>
      <c r="I66" s="47" t="s">
        <v>20</v>
      </c>
      <c r="J66" s="47" t="s">
        <v>22</v>
      </c>
      <c r="K66" s="59" t="s">
        <v>23</v>
      </c>
      <c r="L66" s="59" t="s">
        <v>23</v>
      </c>
      <c r="M66" s="47" t="s">
        <v>40</v>
      </c>
    </row>
    <row r="67" customHeight="1" spans="1:13">
      <c r="A67" s="47" t="s">
        <v>242</v>
      </c>
      <c r="B67" s="47" t="s">
        <v>243</v>
      </c>
      <c r="C67" s="47" t="s">
        <v>244</v>
      </c>
      <c r="D67" s="47" t="s">
        <v>16</v>
      </c>
      <c r="E67" s="47" t="s">
        <v>199</v>
      </c>
      <c r="F67" s="47" t="s">
        <v>18</v>
      </c>
      <c r="G67" s="47" t="s">
        <v>38</v>
      </c>
      <c r="H67" s="47" t="s">
        <v>39</v>
      </c>
      <c r="I67" s="47" t="s">
        <v>39</v>
      </c>
      <c r="J67" s="47" t="s">
        <v>22</v>
      </c>
      <c r="K67" s="59" t="s">
        <v>23</v>
      </c>
      <c r="L67" s="59" t="s">
        <v>23</v>
      </c>
      <c r="M67" s="47" t="s">
        <v>24</v>
      </c>
    </row>
    <row r="68" customHeight="1" spans="1:13">
      <c r="A68" s="47" t="s">
        <v>245</v>
      </c>
      <c r="B68" s="47" t="s">
        <v>246</v>
      </c>
      <c r="C68" s="47" t="s">
        <v>247</v>
      </c>
      <c r="D68" s="47" t="s">
        <v>16</v>
      </c>
      <c r="E68" s="47" t="s">
        <v>63</v>
      </c>
      <c r="F68" s="47" t="s">
        <v>18</v>
      </c>
      <c r="G68" s="47" t="s">
        <v>38</v>
      </c>
      <c r="H68" s="59" t="s">
        <v>23</v>
      </c>
      <c r="I68" s="47" t="s">
        <v>162</v>
      </c>
      <c r="J68" s="47" t="s">
        <v>22</v>
      </c>
      <c r="K68" s="47" t="s">
        <v>53</v>
      </c>
      <c r="L68" s="47" t="s">
        <v>65</v>
      </c>
      <c r="M68" s="47" t="s">
        <v>40</v>
      </c>
    </row>
    <row r="69" customHeight="1" spans="1:13">
      <c r="A69" s="47" t="s">
        <v>248</v>
      </c>
      <c r="B69" s="47" t="s">
        <v>243</v>
      </c>
      <c r="C69" s="47" t="s">
        <v>70</v>
      </c>
      <c r="D69" s="47" t="s">
        <v>156</v>
      </c>
      <c r="E69" s="47" t="s">
        <v>57</v>
      </c>
      <c r="F69" s="47" t="s">
        <v>28</v>
      </c>
      <c r="G69" s="47" t="s">
        <v>38</v>
      </c>
      <c r="H69" s="47" t="s">
        <v>58</v>
      </c>
      <c r="I69" s="47" t="s">
        <v>58</v>
      </c>
      <c r="J69" s="47" t="s">
        <v>22</v>
      </c>
      <c r="K69" s="59" t="s">
        <v>23</v>
      </c>
      <c r="L69" s="47" t="s">
        <v>65</v>
      </c>
      <c r="M69" s="47" t="s">
        <v>220</v>
      </c>
    </row>
    <row r="70" customHeight="1" spans="1:13">
      <c r="A70" s="47" t="s">
        <v>249</v>
      </c>
      <c r="B70" s="47" t="s">
        <v>243</v>
      </c>
      <c r="C70" s="47" t="s">
        <v>250</v>
      </c>
      <c r="D70" s="47" t="s">
        <v>16</v>
      </c>
      <c r="E70" s="47" t="s">
        <v>161</v>
      </c>
      <c r="F70" s="47" t="s">
        <v>18</v>
      </c>
      <c r="G70" s="47" t="s">
        <v>38</v>
      </c>
      <c r="H70" s="59" t="s">
        <v>23</v>
      </c>
      <c r="I70" s="47" t="s">
        <v>251</v>
      </c>
      <c r="J70" s="47" t="s">
        <v>22</v>
      </c>
      <c r="K70" s="47" t="s">
        <v>119</v>
      </c>
      <c r="L70" s="59" t="s">
        <v>23</v>
      </c>
      <c r="M70" s="47" t="s">
        <v>73</v>
      </c>
    </row>
    <row r="71" customHeight="1" spans="1:13">
      <c r="A71" s="47" t="s">
        <v>252</v>
      </c>
      <c r="B71" s="47" t="s">
        <v>253</v>
      </c>
      <c r="C71" s="47" t="s">
        <v>209</v>
      </c>
      <c r="D71" s="47" t="s">
        <v>16</v>
      </c>
      <c r="E71" s="47" t="s">
        <v>63</v>
      </c>
      <c r="F71" s="47" t="s">
        <v>18</v>
      </c>
      <c r="G71" s="47" t="s">
        <v>19</v>
      </c>
      <c r="H71" s="47" t="s">
        <v>64</v>
      </c>
      <c r="I71" s="59" t="s">
        <v>23</v>
      </c>
      <c r="J71" s="47" t="s">
        <v>22</v>
      </c>
      <c r="K71" s="59" t="s">
        <v>23</v>
      </c>
      <c r="L71" s="59" t="s">
        <v>23</v>
      </c>
      <c r="M71" s="47" t="s">
        <v>24</v>
      </c>
    </row>
    <row r="72" customHeight="1" spans="1:13">
      <c r="A72" s="47" t="s">
        <v>254</v>
      </c>
      <c r="B72" s="47" t="s">
        <v>243</v>
      </c>
      <c r="C72" s="47" t="s">
        <v>255</v>
      </c>
      <c r="D72" s="47" t="s">
        <v>107</v>
      </c>
      <c r="E72" s="47" t="s">
        <v>17</v>
      </c>
      <c r="F72" s="47" t="s">
        <v>18</v>
      </c>
      <c r="G72" s="47" t="s">
        <v>19</v>
      </c>
      <c r="H72" s="47" t="s">
        <v>20</v>
      </c>
      <c r="I72" s="47" t="s">
        <v>21</v>
      </c>
      <c r="J72" s="47" t="s">
        <v>32</v>
      </c>
      <c r="K72" s="59" t="s">
        <v>23</v>
      </c>
      <c r="L72" s="59" t="s">
        <v>23</v>
      </c>
      <c r="M72" s="47" t="s">
        <v>24</v>
      </c>
    </row>
    <row r="73" customHeight="1" spans="1:13">
      <c r="A73" s="47" t="s">
        <v>254</v>
      </c>
      <c r="B73" s="47" t="s">
        <v>243</v>
      </c>
      <c r="C73" s="47" t="s">
        <v>255</v>
      </c>
      <c r="D73" s="47" t="s">
        <v>107</v>
      </c>
      <c r="E73" s="47" t="s">
        <v>17</v>
      </c>
      <c r="F73" s="47" t="s">
        <v>18</v>
      </c>
      <c r="G73" s="47" t="s">
        <v>19</v>
      </c>
      <c r="H73" s="47" t="s">
        <v>20</v>
      </c>
      <c r="I73" s="47" t="s">
        <v>21</v>
      </c>
      <c r="J73" s="47" t="s">
        <v>32</v>
      </c>
      <c r="K73" s="59" t="s">
        <v>23</v>
      </c>
      <c r="L73" s="59" t="s">
        <v>23</v>
      </c>
      <c r="M73" s="47" t="s">
        <v>24</v>
      </c>
    </row>
    <row r="74" customHeight="1" spans="1:13">
      <c r="A74" s="47" t="s">
        <v>256</v>
      </c>
      <c r="B74" s="47" t="s">
        <v>243</v>
      </c>
      <c r="C74" s="47" t="s">
        <v>257</v>
      </c>
      <c r="D74" s="47" t="s">
        <v>107</v>
      </c>
      <c r="E74" s="47" t="s">
        <v>89</v>
      </c>
      <c r="F74" s="47" t="s">
        <v>28</v>
      </c>
      <c r="G74" s="47" t="s">
        <v>19</v>
      </c>
      <c r="H74" s="59" t="s">
        <v>23</v>
      </c>
      <c r="I74" s="47" t="s">
        <v>258</v>
      </c>
      <c r="J74" s="47" t="s">
        <v>22</v>
      </c>
      <c r="K74" s="59" t="s">
        <v>23</v>
      </c>
      <c r="L74" s="47" t="s">
        <v>65</v>
      </c>
      <c r="M74" s="47" t="s">
        <v>24</v>
      </c>
    </row>
    <row r="75" customHeight="1" spans="1:13">
      <c r="A75" s="47" t="s">
        <v>259</v>
      </c>
      <c r="B75" s="47" t="s">
        <v>260</v>
      </c>
      <c r="C75" s="47" t="s">
        <v>261</v>
      </c>
      <c r="D75" s="47" t="s">
        <v>16</v>
      </c>
      <c r="E75" s="47" t="s">
        <v>262</v>
      </c>
      <c r="F75" s="47" t="s">
        <v>263</v>
      </c>
      <c r="G75" s="47" t="s">
        <v>38</v>
      </c>
      <c r="H75" s="59" t="s">
        <v>23</v>
      </c>
      <c r="I75" s="47" t="s">
        <v>46</v>
      </c>
      <c r="J75" s="47" t="s">
        <v>22</v>
      </c>
      <c r="K75" s="59" t="s">
        <v>23</v>
      </c>
      <c r="L75" s="59" t="s">
        <v>23</v>
      </c>
      <c r="M75" s="47" t="s">
        <v>33</v>
      </c>
    </row>
    <row r="76" customHeight="1" spans="1:13">
      <c r="A76" s="47" t="s">
        <v>264</v>
      </c>
      <c r="B76" s="47" t="s">
        <v>265</v>
      </c>
      <c r="C76" s="47" t="s">
        <v>266</v>
      </c>
      <c r="D76" s="47" t="s">
        <v>16</v>
      </c>
      <c r="E76" s="47" t="s">
        <v>267</v>
      </c>
      <c r="F76" s="59" t="s">
        <v>23</v>
      </c>
      <c r="G76" s="47" t="s">
        <v>38</v>
      </c>
      <c r="H76" s="47" t="s">
        <v>64</v>
      </c>
      <c r="I76" s="47" t="s">
        <v>64</v>
      </c>
      <c r="J76" s="47" t="s">
        <v>22</v>
      </c>
      <c r="K76" s="59" t="s">
        <v>23</v>
      </c>
      <c r="L76" s="47" t="s">
        <v>65</v>
      </c>
      <c r="M76" s="47" t="s">
        <v>40</v>
      </c>
    </row>
    <row r="77" customHeight="1" spans="1:13">
      <c r="A77" s="47" t="s">
        <v>268</v>
      </c>
      <c r="B77" s="47" t="s">
        <v>260</v>
      </c>
      <c r="C77" s="47" t="s">
        <v>229</v>
      </c>
      <c r="D77" s="47" t="s">
        <v>16</v>
      </c>
      <c r="E77" s="47" t="s">
        <v>269</v>
      </c>
      <c r="F77" s="47" t="s">
        <v>28</v>
      </c>
      <c r="G77" s="47" t="s">
        <v>38</v>
      </c>
      <c r="H77" s="59" t="s">
        <v>23</v>
      </c>
      <c r="I77" s="47" t="s">
        <v>58</v>
      </c>
      <c r="J77" s="47" t="s">
        <v>22</v>
      </c>
      <c r="K77" s="59" t="s">
        <v>23</v>
      </c>
      <c r="L77" s="59" t="s">
        <v>23</v>
      </c>
      <c r="M77" s="47" t="s">
        <v>73</v>
      </c>
    </row>
    <row r="78" customHeight="1" spans="1:13">
      <c r="A78" s="47" t="s">
        <v>270</v>
      </c>
      <c r="B78" s="47" t="s">
        <v>260</v>
      </c>
      <c r="C78" s="47" t="s">
        <v>271</v>
      </c>
      <c r="D78" s="47" t="s">
        <v>16</v>
      </c>
      <c r="E78" s="47" t="s">
        <v>81</v>
      </c>
      <c r="F78" s="47" t="s">
        <v>37</v>
      </c>
      <c r="G78" s="47" t="s">
        <v>19</v>
      </c>
      <c r="H78" s="47" t="s">
        <v>82</v>
      </c>
      <c r="I78" s="47" t="s">
        <v>184</v>
      </c>
      <c r="J78" s="47" t="s">
        <v>22</v>
      </c>
      <c r="K78" s="59" t="s">
        <v>23</v>
      </c>
      <c r="L78" s="47" t="s">
        <v>65</v>
      </c>
      <c r="M78" s="47" t="s">
        <v>47</v>
      </c>
    </row>
    <row r="79" customHeight="1" spans="1:13">
      <c r="A79" s="47" t="s">
        <v>272</v>
      </c>
      <c r="B79" s="47" t="s">
        <v>260</v>
      </c>
      <c r="C79" s="47" t="s">
        <v>273</v>
      </c>
      <c r="D79" s="47" t="s">
        <v>16</v>
      </c>
      <c r="E79" s="47" t="s">
        <v>50</v>
      </c>
      <c r="F79" s="47" t="s">
        <v>28</v>
      </c>
      <c r="G79" s="47" t="s">
        <v>38</v>
      </c>
      <c r="H79" s="47" t="s">
        <v>52</v>
      </c>
      <c r="I79" s="47" t="s">
        <v>52</v>
      </c>
      <c r="J79" s="47" t="s">
        <v>32</v>
      </c>
      <c r="K79" s="59" t="s">
        <v>23</v>
      </c>
      <c r="L79" s="59" t="s">
        <v>23</v>
      </c>
      <c r="M79" s="47" t="s">
        <v>24</v>
      </c>
    </row>
    <row r="80" customHeight="1" spans="1:13">
      <c r="A80" s="47" t="s">
        <v>274</v>
      </c>
      <c r="B80" s="47" t="s">
        <v>275</v>
      </c>
      <c r="C80" s="47" t="s">
        <v>276</v>
      </c>
      <c r="D80" s="47" t="s">
        <v>107</v>
      </c>
      <c r="E80" s="47" t="s">
        <v>17</v>
      </c>
      <c r="F80" s="47" t="s">
        <v>18</v>
      </c>
      <c r="G80" s="47" t="s">
        <v>38</v>
      </c>
      <c r="H80" s="47" t="s">
        <v>20</v>
      </c>
      <c r="I80" s="47" t="s">
        <v>20</v>
      </c>
      <c r="J80" s="47" t="s">
        <v>22</v>
      </c>
      <c r="K80" s="59" t="s">
        <v>23</v>
      </c>
      <c r="L80" s="59" t="s">
        <v>23</v>
      </c>
      <c r="M80" s="47" t="s">
        <v>24</v>
      </c>
    </row>
    <row r="81" customHeight="1" spans="1:13">
      <c r="A81" s="47" t="s">
        <v>277</v>
      </c>
      <c r="B81" s="47" t="s">
        <v>275</v>
      </c>
      <c r="C81" s="47" t="s">
        <v>183</v>
      </c>
      <c r="D81" s="47" t="s">
        <v>16</v>
      </c>
      <c r="E81" s="47" t="s">
        <v>146</v>
      </c>
      <c r="F81" s="47" t="s">
        <v>28</v>
      </c>
      <c r="G81" s="47" t="s">
        <v>38</v>
      </c>
      <c r="H81" s="47" t="s">
        <v>147</v>
      </c>
      <c r="I81" s="47" t="s">
        <v>147</v>
      </c>
      <c r="J81" s="47" t="s">
        <v>32</v>
      </c>
      <c r="K81" s="59" t="s">
        <v>23</v>
      </c>
      <c r="L81" s="59" t="s">
        <v>23</v>
      </c>
      <c r="M81" s="47" t="s">
        <v>40</v>
      </c>
    </row>
    <row r="82" customHeight="1" spans="1:13">
      <c r="A82" s="47" t="s">
        <v>278</v>
      </c>
      <c r="B82" s="47" t="s">
        <v>275</v>
      </c>
      <c r="C82" s="47" t="s">
        <v>145</v>
      </c>
      <c r="D82" s="47" t="s">
        <v>107</v>
      </c>
      <c r="E82" s="47" t="s">
        <v>81</v>
      </c>
      <c r="F82" s="47" t="s">
        <v>37</v>
      </c>
      <c r="G82" s="47" t="s">
        <v>38</v>
      </c>
      <c r="H82" s="47" t="s">
        <v>82</v>
      </c>
      <c r="I82" s="47" t="s">
        <v>82</v>
      </c>
      <c r="J82" s="47" t="s">
        <v>22</v>
      </c>
      <c r="K82" s="59" t="s">
        <v>23</v>
      </c>
      <c r="L82" s="59" t="s">
        <v>23</v>
      </c>
      <c r="M82" s="47" t="s">
        <v>24</v>
      </c>
    </row>
    <row r="83" customHeight="1" spans="1:13">
      <c r="A83" s="47" t="s">
        <v>279</v>
      </c>
      <c r="B83" s="47" t="s">
        <v>275</v>
      </c>
      <c r="C83" s="47" t="s">
        <v>280</v>
      </c>
      <c r="D83" s="47" t="s">
        <v>16</v>
      </c>
      <c r="E83" s="47" t="s">
        <v>50</v>
      </c>
      <c r="F83" s="47" t="s">
        <v>28</v>
      </c>
      <c r="G83" s="47" t="s">
        <v>38</v>
      </c>
      <c r="H83" s="47" t="s">
        <v>52</v>
      </c>
      <c r="I83" s="47" t="s">
        <v>281</v>
      </c>
      <c r="J83" s="47" t="s">
        <v>22</v>
      </c>
      <c r="K83" s="47" t="s">
        <v>53</v>
      </c>
      <c r="L83" s="47" t="s">
        <v>65</v>
      </c>
      <c r="M83" s="47" t="s">
        <v>47</v>
      </c>
    </row>
    <row r="84" customHeight="1" spans="1:13">
      <c r="A84" s="47" t="s">
        <v>282</v>
      </c>
      <c r="B84" s="47" t="s">
        <v>275</v>
      </c>
      <c r="C84" s="47" t="s">
        <v>283</v>
      </c>
      <c r="D84" s="47" t="s">
        <v>16</v>
      </c>
      <c r="E84" s="47" t="s">
        <v>36</v>
      </c>
      <c r="F84" s="47" t="s">
        <v>37</v>
      </c>
      <c r="G84" s="47" t="s">
        <v>38</v>
      </c>
      <c r="H84" s="47" t="s">
        <v>39</v>
      </c>
      <c r="I84" s="47" t="s">
        <v>39</v>
      </c>
      <c r="J84" s="47" t="s">
        <v>22</v>
      </c>
      <c r="K84" s="59" t="s">
        <v>23</v>
      </c>
      <c r="L84" s="47" t="s">
        <v>65</v>
      </c>
      <c r="M84" s="47" t="s">
        <v>33</v>
      </c>
    </row>
    <row r="85" customHeight="1" spans="1:13">
      <c r="A85" s="47" t="s">
        <v>284</v>
      </c>
      <c r="B85" s="47" t="s">
        <v>275</v>
      </c>
      <c r="C85" s="47" t="s">
        <v>285</v>
      </c>
      <c r="D85" s="47" t="s">
        <v>107</v>
      </c>
      <c r="E85" s="47" t="s">
        <v>103</v>
      </c>
      <c r="F85" s="47" t="s">
        <v>37</v>
      </c>
      <c r="G85" s="47" t="s">
        <v>38</v>
      </c>
      <c r="H85" s="47" t="s">
        <v>77</v>
      </c>
      <c r="I85" s="47" t="s">
        <v>77</v>
      </c>
      <c r="J85" s="47" t="s">
        <v>22</v>
      </c>
      <c r="K85" s="59" t="s">
        <v>23</v>
      </c>
      <c r="L85" s="59" t="s">
        <v>23</v>
      </c>
      <c r="M85" s="47" t="s">
        <v>33</v>
      </c>
    </row>
    <row r="86" customHeight="1" spans="1:13">
      <c r="A86" s="47" t="s">
        <v>284</v>
      </c>
      <c r="B86" s="47" t="s">
        <v>275</v>
      </c>
      <c r="C86" s="47" t="s">
        <v>285</v>
      </c>
      <c r="D86" s="47" t="s">
        <v>107</v>
      </c>
      <c r="E86" s="47" t="s">
        <v>103</v>
      </c>
      <c r="F86" s="47" t="s">
        <v>37</v>
      </c>
      <c r="G86" s="47" t="s">
        <v>38</v>
      </c>
      <c r="H86" s="47" t="s">
        <v>77</v>
      </c>
      <c r="I86" s="47" t="s">
        <v>77</v>
      </c>
      <c r="J86" s="47" t="s">
        <v>22</v>
      </c>
      <c r="K86" s="59" t="s">
        <v>23</v>
      </c>
      <c r="L86" s="59" t="s">
        <v>23</v>
      </c>
      <c r="M86" s="47" t="s">
        <v>33</v>
      </c>
    </row>
    <row r="87" customHeight="1" spans="1:13">
      <c r="A87" s="47" t="s">
        <v>286</v>
      </c>
      <c r="B87" s="47" t="s">
        <v>275</v>
      </c>
      <c r="C87" s="47" t="s">
        <v>287</v>
      </c>
      <c r="D87" s="47" t="s">
        <v>16</v>
      </c>
      <c r="E87" s="47" t="s">
        <v>36</v>
      </c>
      <c r="F87" s="47" t="s">
        <v>37</v>
      </c>
      <c r="G87" s="47" t="s">
        <v>38</v>
      </c>
      <c r="H87" s="47" t="s">
        <v>39</v>
      </c>
      <c r="I87" s="47" t="s">
        <v>39</v>
      </c>
      <c r="J87" s="47" t="s">
        <v>22</v>
      </c>
      <c r="K87" s="59" t="s">
        <v>23</v>
      </c>
      <c r="L87" s="47" t="s">
        <v>29</v>
      </c>
      <c r="M87" s="47" t="s">
        <v>181</v>
      </c>
    </row>
    <row r="88" customHeight="1" spans="1:13">
      <c r="A88" s="47" t="s">
        <v>288</v>
      </c>
      <c r="B88" s="47" t="s">
        <v>275</v>
      </c>
      <c r="C88" s="47" t="s">
        <v>289</v>
      </c>
      <c r="D88" s="47" t="s">
        <v>16</v>
      </c>
      <c r="E88" s="47" t="s">
        <v>146</v>
      </c>
      <c r="F88" s="47" t="s">
        <v>28</v>
      </c>
      <c r="G88" s="47" t="s">
        <v>29</v>
      </c>
      <c r="H88" s="47" t="s">
        <v>147</v>
      </c>
      <c r="I88" s="47" t="s">
        <v>148</v>
      </c>
      <c r="J88" s="47" t="s">
        <v>22</v>
      </c>
      <c r="K88" s="47" t="s">
        <v>53</v>
      </c>
      <c r="L88" s="59" t="s">
        <v>23</v>
      </c>
      <c r="M88" s="47" t="s">
        <v>73</v>
      </c>
    </row>
    <row r="89" customHeight="1" spans="1:13">
      <c r="A89" s="47" t="s">
        <v>290</v>
      </c>
      <c r="B89" s="47" t="s">
        <v>275</v>
      </c>
      <c r="C89" s="47" t="s">
        <v>291</v>
      </c>
      <c r="D89" s="47" t="s">
        <v>16</v>
      </c>
      <c r="E89" s="47" t="s">
        <v>103</v>
      </c>
      <c r="F89" s="47" t="s">
        <v>37</v>
      </c>
      <c r="G89" s="47" t="s">
        <v>19</v>
      </c>
      <c r="H89" s="47" t="s">
        <v>77</v>
      </c>
      <c r="I89" s="47" t="s">
        <v>96</v>
      </c>
      <c r="J89" s="47" t="s">
        <v>32</v>
      </c>
      <c r="K89" s="59" t="s">
        <v>23</v>
      </c>
      <c r="L89" s="59" t="s">
        <v>23</v>
      </c>
      <c r="M89" s="47" t="s">
        <v>292</v>
      </c>
    </row>
    <row r="90" customHeight="1" spans="1:13">
      <c r="A90" s="47" t="s">
        <v>293</v>
      </c>
      <c r="B90" s="47" t="s">
        <v>275</v>
      </c>
      <c r="C90" s="47" t="s">
        <v>294</v>
      </c>
      <c r="D90" s="47" t="s">
        <v>16</v>
      </c>
      <c r="E90" s="47" t="s">
        <v>57</v>
      </c>
      <c r="F90" s="47" t="s">
        <v>28</v>
      </c>
      <c r="G90" s="47" t="s">
        <v>29</v>
      </c>
      <c r="H90" s="47" t="s">
        <v>58</v>
      </c>
      <c r="I90" s="47" t="s">
        <v>295</v>
      </c>
      <c r="J90" s="47" t="s">
        <v>127</v>
      </c>
      <c r="K90" s="59" t="s">
        <v>23</v>
      </c>
      <c r="L90" s="59" t="s">
        <v>23</v>
      </c>
      <c r="M90" s="47" t="s">
        <v>24</v>
      </c>
    </row>
    <row r="91" customHeight="1" spans="1:13">
      <c r="A91" s="47" t="s">
        <v>296</v>
      </c>
      <c r="B91" s="47" t="s">
        <v>275</v>
      </c>
      <c r="C91" s="47" t="s">
        <v>297</v>
      </c>
      <c r="D91" s="47" t="s">
        <v>16</v>
      </c>
      <c r="E91" s="47" t="s">
        <v>199</v>
      </c>
      <c r="F91" s="47" t="s">
        <v>18</v>
      </c>
      <c r="G91" s="47" t="s">
        <v>38</v>
      </c>
      <c r="H91" s="47" t="s">
        <v>39</v>
      </c>
      <c r="I91" s="47" t="s">
        <v>39</v>
      </c>
      <c r="J91" s="47" t="s">
        <v>22</v>
      </c>
      <c r="K91" s="59" t="s">
        <v>23</v>
      </c>
      <c r="L91" s="47" t="s">
        <v>65</v>
      </c>
      <c r="M91" s="47" t="s">
        <v>40</v>
      </c>
    </row>
    <row r="92" customHeight="1" spans="1:13">
      <c r="A92" s="47" t="s">
        <v>298</v>
      </c>
      <c r="B92" s="47" t="s">
        <v>299</v>
      </c>
      <c r="C92" s="47" t="s">
        <v>300</v>
      </c>
      <c r="D92" s="47" t="s">
        <v>107</v>
      </c>
      <c r="E92" s="47" t="s">
        <v>301</v>
      </c>
      <c r="F92" s="47" t="s">
        <v>28</v>
      </c>
      <c r="G92" s="47" t="s">
        <v>38</v>
      </c>
      <c r="H92" s="47" t="s">
        <v>52</v>
      </c>
      <c r="I92" s="47" t="s">
        <v>52</v>
      </c>
      <c r="J92" s="47" t="s">
        <v>22</v>
      </c>
      <c r="K92" s="59" t="s">
        <v>23</v>
      </c>
      <c r="L92" s="59" t="s">
        <v>23</v>
      </c>
      <c r="M92" s="47" t="s">
        <v>40</v>
      </c>
    </row>
    <row r="93" customHeight="1" spans="1:13">
      <c r="A93" s="47" t="s">
        <v>302</v>
      </c>
      <c r="B93" s="47" t="s">
        <v>303</v>
      </c>
      <c r="C93" s="47" t="s">
        <v>177</v>
      </c>
      <c r="D93" s="47" t="s">
        <v>16</v>
      </c>
      <c r="E93" s="47" t="s">
        <v>165</v>
      </c>
      <c r="F93" s="59" t="s">
        <v>23</v>
      </c>
      <c r="G93" s="47" t="s">
        <v>38</v>
      </c>
      <c r="H93" s="47" t="s">
        <v>82</v>
      </c>
      <c r="I93" s="47" t="s">
        <v>82</v>
      </c>
      <c r="J93" s="47" t="s">
        <v>22</v>
      </c>
      <c r="K93" s="59" t="s">
        <v>23</v>
      </c>
      <c r="L93" s="59" t="s">
        <v>23</v>
      </c>
      <c r="M93" s="47" t="s">
        <v>24</v>
      </c>
    </row>
    <row r="94" customHeight="1" spans="1:13">
      <c r="A94" s="47" t="s">
        <v>304</v>
      </c>
      <c r="B94" s="47" t="s">
        <v>303</v>
      </c>
      <c r="C94" s="47" t="s">
        <v>305</v>
      </c>
      <c r="D94" s="47" t="s">
        <v>151</v>
      </c>
      <c r="E94" s="47" t="s">
        <v>50</v>
      </c>
      <c r="F94" s="47" t="s">
        <v>28</v>
      </c>
      <c r="G94" s="47" t="s">
        <v>38</v>
      </c>
      <c r="H94" s="47" t="s">
        <v>52</v>
      </c>
      <c r="I94" s="47" t="s">
        <v>306</v>
      </c>
      <c r="J94" s="47" t="s">
        <v>22</v>
      </c>
      <c r="K94" s="47" t="s">
        <v>119</v>
      </c>
      <c r="L94" s="59" t="s">
        <v>23</v>
      </c>
      <c r="M94" s="47" t="s">
        <v>73</v>
      </c>
    </row>
    <row r="95" customHeight="1" spans="1:13">
      <c r="A95" s="47" t="s">
        <v>307</v>
      </c>
      <c r="B95" s="47" t="s">
        <v>303</v>
      </c>
      <c r="C95" s="47" t="s">
        <v>308</v>
      </c>
      <c r="D95" s="47" t="s">
        <v>16</v>
      </c>
      <c r="E95" s="47" t="s">
        <v>199</v>
      </c>
      <c r="F95" s="47" t="s">
        <v>309</v>
      </c>
      <c r="G95" s="47" t="s">
        <v>38</v>
      </c>
      <c r="H95" s="47" t="s">
        <v>39</v>
      </c>
      <c r="I95" s="47" t="s">
        <v>39</v>
      </c>
      <c r="J95" s="47" t="s">
        <v>22</v>
      </c>
      <c r="K95" s="59" t="s">
        <v>23</v>
      </c>
      <c r="L95" s="59" t="s">
        <v>23</v>
      </c>
      <c r="M95" s="47" t="s">
        <v>73</v>
      </c>
    </row>
    <row r="96" customHeight="1" spans="1:13">
      <c r="A96" s="47" t="s">
        <v>310</v>
      </c>
      <c r="B96" s="47" t="s">
        <v>303</v>
      </c>
      <c r="C96" s="47" t="s">
        <v>311</v>
      </c>
      <c r="D96" s="47" t="s">
        <v>16</v>
      </c>
      <c r="E96" s="47" t="s">
        <v>36</v>
      </c>
      <c r="F96" s="47" t="s">
        <v>37</v>
      </c>
      <c r="G96" s="47" t="s">
        <v>19</v>
      </c>
      <c r="H96" s="47" t="s">
        <v>39</v>
      </c>
      <c r="I96" s="47" t="s">
        <v>312</v>
      </c>
      <c r="J96" s="47" t="s">
        <v>22</v>
      </c>
      <c r="K96" s="59" t="s">
        <v>23</v>
      </c>
      <c r="L96" s="59" t="s">
        <v>23</v>
      </c>
      <c r="M96" s="47" t="s">
        <v>40</v>
      </c>
    </row>
    <row r="97" customHeight="1" spans="1:13">
      <c r="A97" s="47" t="s">
        <v>313</v>
      </c>
      <c r="B97" s="47" t="s">
        <v>303</v>
      </c>
      <c r="C97" s="47" t="s">
        <v>314</v>
      </c>
      <c r="D97" s="47" t="s">
        <v>16</v>
      </c>
      <c r="E97" s="47" t="s">
        <v>17</v>
      </c>
      <c r="F97" s="47" t="s">
        <v>18</v>
      </c>
      <c r="G97" s="47" t="s">
        <v>19</v>
      </c>
      <c r="H97" s="47" t="s">
        <v>20</v>
      </c>
      <c r="I97" s="47" t="s">
        <v>21</v>
      </c>
      <c r="J97" s="47" t="s">
        <v>22</v>
      </c>
      <c r="K97" s="59" t="s">
        <v>23</v>
      </c>
      <c r="L97" s="59" t="s">
        <v>23</v>
      </c>
      <c r="M97" s="47" t="s">
        <v>315</v>
      </c>
    </row>
    <row r="98" customHeight="1" spans="1:13">
      <c r="A98" s="47" t="s">
        <v>316</v>
      </c>
      <c r="B98" s="47" t="s">
        <v>303</v>
      </c>
      <c r="C98" s="47" t="s">
        <v>317</v>
      </c>
      <c r="D98" s="47" t="s">
        <v>16</v>
      </c>
      <c r="E98" s="47" t="s">
        <v>165</v>
      </c>
      <c r="F98" s="47" t="s">
        <v>109</v>
      </c>
      <c r="G98" s="47" t="s">
        <v>38</v>
      </c>
      <c r="H98" s="47" t="s">
        <v>82</v>
      </c>
      <c r="I98" s="47" t="s">
        <v>82</v>
      </c>
      <c r="J98" s="47" t="s">
        <v>22</v>
      </c>
      <c r="K98" s="59" t="s">
        <v>23</v>
      </c>
      <c r="L98" s="47" t="s">
        <v>65</v>
      </c>
      <c r="M98" s="47" t="s">
        <v>73</v>
      </c>
    </row>
    <row r="99" customHeight="1" spans="1:13">
      <c r="A99" s="47" t="s">
        <v>318</v>
      </c>
      <c r="B99" s="47" t="s">
        <v>303</v>
      </c>
      <c r="C99" s="47" t="s">
        <v>319</v>
      </c>
      <c r="D99" s="47" t="s">
        <v>16</v>
      </c>
      <c r="E99" s="47" t="s">
        <v>36</v>
      </c>
      <c r="F99" s="47" t="s">
        <v>37</v>
      </c>
      <c r="G99" s="47" t="s">
        <v>38</v>
      </c>
      <c r="H99" s="47" t="s">
        <v>39</v>
      </c>
      <c r="I99" s="47" t="s">
        <v>39</v>
      </c>
      <c r="J99" s="47" t="s">
        <v>32</v>
      </c>
      <c r="K99" s="59" t="s">
        <v>23</v>
      </c>
      <c r="L99" s="59" t="s">
        <v>23</v>
      </c>
      <c r="M99" s="47" t="s">
        <v>320</v>
      </c>
    </row>
    <row r="100" customHeight="1" spans="1:13">
      <c r="A100" s="47" t="s">
        <v>321</v>
      </c>
      <c r="B100" s="47" t="s">
        <v>322</v>
      </c>
      <c r="C100" s="47" t="s">
        <v>271</v>
      </c>
      <c r="D100" s="47" t="s">
        <v>16</v>
      </c>
      <c r="E100" s="47" t="s">
        <v>36</v>
      </c>
      <c r="F100" s="47" t="s">
        <v>37</v>
      </c>
      <c r="G100" s="47" t="s">
        <v>38</v>
      </c>
      <c r="H100" s="47" t="s">
        <v>39</v>
      </c>
      <c r="I100" s="47" t="s">
        <v>39</v>
      </c>
      <c r="J100" s="47" t="s">
        <v>22</v>
      </c>
      <c r="K100" s="59" t="s">
        <v>23</v>
      </c>
      <c r="L100" s="59" t="s">
        <v>23</v>
      </c>
      <c r="M100" s="47" t="s">
        <v>33</v>
      </c>
    </row>
    <row r="101" customHeight="1" spans="1:13">
      <c r="A101" s="47" t="s">
        <v>323</v>
      </c>
      <c r="B101" s="47" t="s">
        <v>322</v>
      </c>
      <c r="C101" s="47" t="s">
        <v>70</v>
      </c>
      <c r="D101" s="47" t="s">
        <v>16</v>
      </c>
      <c r="E101" s="47" t="s">
        <v>36</v>
      </c>
      <c r="F101" s="47" t="s">
        <v>37</v>
      </c>
      <c r="G101" s="47" t="s">
        <v>38</v>
      </c>
      <c r="H101" s="47" t="s">
        <v>39</v>
      </c>
      <c r="I101" s="47" t="s">
        <v>39</v>
      </c>
      <c r="J101" s="47" t="s">
        <v>22</v>
      </c>
      <c r="K101" s="59" t="s">
        <v>23</v>
      </c>
      <c r="L101" s="59" t="s">
        <v>23</v>
      </c>
      <c r="M101" s="47" t="s">
        <v>24</v>
      </c>
    </row>
    <row r="102" customHeight="1" spans="1:13">
      <c r="A102" s="47" t="s">
        <v>324</v>
      </c>
      <c r="B102" s="47" t="s">
        <v>322</v>
      </c>
      <c r="C102" s="47" t="s">
        <v>231</v>
      </c>
      <c r="D102" s="47" t="s">
        <v>43</v>
      </c>
      <c r="E102" s="47" t="s">
        <v>57</v>
      </c>
      <c r="F102" s="47" t="s">
        <v>28</v>
      </c>
      <c r="G102" s="47" t="s">
        <v>38</v>
      </c>
      <c r="H102" s="47" t="s">
        <v>58</v>
      </c>
      <c r="I102" s="47" t="s">
        <v>58</v>
      </c>
      <c r="J102" s="47" t="s">
        <v>22</v>
      </c>
      <c r="K102" s="59" t="s">
        <v>23</v>
      </c>
      <c r="L102" s="47" t="s">
        <v>65</v>
      </c>
      <c r="M102" s="47" t="s">
        <v>24</v>
      </c>
    </row>
    <row r="103" customHeight="1" spans="1:13">
      <c r="A103" s="47" t="s">
        <v>325</v>
      </c>
      <c r="B103" s="47" t="s">
        <v>326</v>
      </c>
      <c r="C103" s="47" t="s">
        <v>273</v>
      </c>
      <c r="D103" s="47" t="s">
        <v>86</v>
      </c>
      <c r="E103" s="47" t="s">
        <v>81</v>
      </c>
      <c r="F103" s="47" t="s">
        <v>37</v>
      </c>
      <c r="G103" s="47" t="s">
        <v>19</v>
      </c>
      <c r="H103" s="47" t="s">
        <v>82</v>
      </c>
      <c r="I103" s="47" t="s">
        <v>184</v>
      </c>
      <c r="J103" s="47" t="s">
        <v>22</v>
      </c>
      <c r="K103" s="59" t="s">
        <v>23</v>
      </c>
      <c r="L103" s="59" t="s">
        <v>23</v>
      </c>
      <c r="M103" s="47" t="s">
        <v>327</v>
      </c>
    </row>
    <row r="104" customHeight="1" spans="1:13">
      <c r="A104" s="47" t="s">
        <v>328</v>
      </c>
      <c r="B104" s="47" t="s">
        <v>299</v>
      </c>
      <c r="C104" s="47" t="s">
        <v>329</v>
      </c>
      <c r="D104" s="47" t="s">
        <v>16</v>
      </c>
      <c r="E104" s="47" t="s">
        <v>57</v>
      </c>
      <c r="F104" s="47" t="s">
        <v>28</v>
      </c>
      <c r="G104" s="47" t="s">
        <v>38</v>
      </c>
      <c r="H104" s="47" t="s">
        <v>58</v>
      </c>
      <c r="I104" s="47" t="s">
        <v>58</v>
      </c>
      <c r="J104" s="47" t="s">
        <v>22</v>
      </c>
      <c r="K104" s="59" t="s">
        <v>23</v>
      </c>
      <c r="L104" s="47" t="s">
        <v>65</v>
      </c>
      <c r="M104" s="47" t="s">
        <v>315</v>
      </c>
    </row>
    <row r="105" customHeight="1" spans="1:13">
      <c r="A105" s="47" t="s">
        <v>330</v>
      </c>
      <c r="B105" s="47" t="s">
        <v>303</v>
      </c>
      <c r="C105" s="47" t="s">
        <v>331</v>
      </c>
      <c r="D105" s="47" t="s">
        <v>16</v>
      </c>
      <c r="E105" s="47" t="s">
        <v>63</v>
      </c>
      <c r="F105" s="47" t="s">
        <v>18</v>
      </c>
      <c r="G105" s="47" t="s">
        <v>19</v>
      </c>
      <c r="H105" s="47" t="s">
        <v>64</v>
      </c>
      <c r="I105" s="47" t="s">
        <v>332</v>
      </c>
      <c r="J105" s="47" t="s">
        <v>22</v>
      </c>
      <c r="K105" s="47" t="s">
        <v>53</v>
      </c>
      <c r="L105" s="47" t="s">
        <v>29</v>
      </c>
      <c r="M105" s="47" t="s">
        <v>333</v>
      </c>
    </row>
    <row r="106" customHeight="1" spans="1:13">
      <c r="A106" s="47" t="s">
        <v>334</v>
      </c>
      <c r="B106" s="47" t="s">
        <v>303</v>
      </c>
      <c r="C106" s="47" t="s">
        <v>335</v>
      </c>
      <c r="D106" s="47" t="s">
        <v>43</v>
      </c>
      <c r="E106" s="47" t="s">
        <v>27</v>
      </c>
      <c r="F106" s="47" t="s">
        <v>28</v>
      </c>
      <c r="G106" s="47" t="s">
        <v>38</v>
      </c>
      <c r="H106" s="47" t="s">
        <v>30</v>
      </c>
      <c r="I106" s="47" t="s">
        <v>30</v>
      </c>
      <c r="J106" s="47" t="s">
        <v>22</v>
      </c>
      <c r="K106" s="59" t="s">
        <v>23</v>
      </c>
      <c r="L106" s="59" t="s">
        <v>23</v>
      </c>
      <c r="M106" s="47" t="s">
        <v>33</v>
      </c>
    </row>
    <row r="107" customHeight="1" spans="1:13">
      <c r="A107" s="47" t="s">
        <v>336</v>
      </c>
      <c r="B107" s="47" t="s">
        <v>337</v>
      </c>
      <c r="C107" s="47" t="s">
        <v>338</v>
      </c>
      <c r="D107" s="47" t="s">
        <v>16</v>
      </c>
      <c r="E107" s="47" t="s">
        <v>103</v>
      </c>
      <c r="F107" s="47" t="s">
        <v>37</v>
      </c>
      <c r="G107" s="47" t="s">
        <v>38</v>
      </c>
      <c r="H107" s="47" t="s">
        <v>77</v>
      </c>
      <c r="I107" s="47" t="s">
        <v>77</v>
      </c>
      <c r="J107" s="47" t="s">
        <v>22</v>
      </c>
      <c r="K107" s="59" t="s">
        <v>23</v>
      </c>
      <c r="L107" s="59" t="s">
        <v>23</v>
      </c>
      <c r="M107" s="47" t="s">
        <v>40</v>
      </c>
    </row>
    <row r="108" customHeight="1" spans="1:13">
      <c r="A108" s="47" t="s">
        <v>339</v>
      </c>
      <c r="B108" s="47" t="s">
        <v>337</v>
      </c>
      <c r="C108" s="47" t="s">
        <v>340</v>
      </c>
      <c r="D108" s="47" t="s">
        <v>107</v>
      </c>
      <c r="E108" s="47" t="s">
        <v>341</v>
      </c>
      <c r="F108" s="47" t="s">
        <v>28</v>
      </c>
      <c r="G108" s="47" t="s">
        <v>38</v>
      </c>
      <c r="H108" s="47" t="s">
        <v>147</v>
      </c>
      <c r="I108" s="47" t="s">
        <v>147</v>
      </c>
      <c r="J108" s="47" t="s">
        <v>22</v>
      </c>
      <c r="K108" s="59" t="s">
        <v>23</v>
      </c>
      <c r="L108" s="47" t="s">
        <v>54</v>
      </c>
      <c r="M108" s="47" t="s">
        <v>40</v>
      </c>
    </row>
    <row r="109" customHeight="1" spans="1:13">
      <c r="A109" s="47" t="s">
        <v>342</v>
      </c>
      <c r="B109" s="47" t="s">
        <v>337</v>
      </c>
      <c r="C109" s="47" t="s">
        <v>343</v>
      </c>
      <c r="D109" s="47" t="s">
        <v>43</v>
      </c>
      <c r="E109" s="47" t="s">
        <v>81</v>
      </c>
      <c r="F109" s="47" t="s">
        <v>37</v>
      </c>
      <c r="G109" s="47" t="s">
        <v>38</v>
      </c>
      <c r="H109" s="47" t="s">
        <v>82</v>
      </c>
      <c r="I109" s="59" t="s">
        <v>23</v>
      </c>
      <c r="J109" s="47" t="s">
        <v>32</v>
      </c>
      <c r="K109" s="59" t="s">
        <v>23</v>
      </c>
      <c r="L109" s="59" t="s">
        <v>23</v>
      </c>
      <c r="M109" s="47" t="s">
        <v>73</v>
      </c>
    </row>
    <row r="110" customHeight="1" spans="1:13">
      <c r="A110" s="47" t="s">
        <v>344</v>
      </c>
      <c r="B110" s="47" t="s">
        <v>337</v>
      </c>
      <c r="C110" s="47" t="s">
        <v>35</v>
      </c>
      <c r="D110" s="47" t="s">
        <v>16</v>
      </c>
      <c r="E110" s="47" t="s">
        <v>17</v>
      </c>
      <c r="F110" s="47" t="s">
        <v>18</v>
      </c>
      <c r="G110" s="47" t="s">
        <v>38</v>
      </c>
      <c r="H110" s="47" t="s">
        <v>20</v>
      </c>
      <c r="I110" s="47" t="s">
        <v>20</v>
      </c>
      <c r="J110" s="47" t="s">
        <v>22</v>
      </c>
      <c r="K110" s="59" t="s">
        <v>23</v>
      </c>
      <c r="L110" s="47" t="s">
        <v>65</v>
      </c>
      <c r="M110" s="47" t="s">
        <v>24</v>
      </c>
    </row>
    <row r="111" customHeight="1" spans="1:13">
      <c r="A111" s="47" t="s">
        <v>345</v>
      </c>
      <c r="B111" s="47" t="s">
        <v>337</v>
      </c>
      <c r="C111" s="47" t="s">
        <v>346</v>
      </c>
      <c r="D111" s="47" t="s">
        <v>107</v>
      </c>
      <c r="E111" s="47" t="s">
        <v>50</v>
      </c>
      <c r="F111" s="47" t="s">
        <v>28</v>
      </c>
      <c r="G111" s="47" t="s">
        <v>38</v>
      </c>
      <c r="H111" s="47" t="s">
        <v>347</v>
      </c>
      <c r="I111" s="47" t="s">
        <v>52</v>
      </c>
      <c r="J111" s="47" t="s">
        <v>22</v>
      </c>
      <c r="K111" s="59" t="s">
        <v>23</v>
      </c>
      <c r="L111" s="59" t="s">
        <v>23</v>
      </c>
      <c r="M111" s="47" t="s">
        <v>24</v>
      </c>
    </row>
    <row r="112" customHeight="1" spans="1:13">
      <c r="A112" s="47" t="s">
        <v>348</v>
      </c>
      <c r="B112" s="47" t="s">
        <v>337</v>
      </c>
      <c r="C112" s="47" t="s">
        <v>349</v>
      </c>
      <c r="D112" s="47" t="s">
        <v>43</v>
      </c>
      <c r="E112" s="47" t="s">
        <v>17</v>
      </c>
      <c r="F112" s="47" t="s">
        <v>18</v>
      </c>
      <c r="G112" s="47" t="s">
        <v>19</v>
      </c>
      <c r="H112" s="47" t="s">
        <v>20</v>
      </c>
      <c r="I112" s="47" t="s">
        <v>21</v>
      </c>
      <c r="J112" s="47" t="s">
        <v>22</v>
      </c>
      <c r="K112" s="59" t="s">
        <v>23</v>
      </c>
      <c r="L112" s="59" t="s">
        <v>23</v>
      </c>
      <c r="M112" s="47" t="s">
        <v>47</v>
      </c>
    </row>
    <row r="113" customHeight="1" spans="1:13">
      <c r="A113" s="47" t="s">
        <v>350</v>
      </c>
      <c r="B113" s="47" t="s">
        <v>337</v>
      </c>
      <c r="C113" s="47" t="s">
        <v>233</v>
      </c>
      <c r="D113" s="47" t="s">
        <v>16</v>
      </c>
      <c r="E113" s="47" t="s">
        <v>17</v>
      </c>
      <c r="F113" s="47" t="s">
        <v>18</v>
      </c>
      <c r="G113" s="47" t="s">
        <v>38</v>
      </c>
      <c r="H113" s="47" t="s">
        <v>20</v>
      </c>
      <c r="I113" s="47" t="s">
        <v>20</v>
      </c>
      <c r="J113" s="47" t="s">
        <v>22</v>
      </c>
      <c r="K113" s="59" t="s">
        <v>23</v>
      </c>
      <c r="L113" s="47" t="s">
        <v>54</v>
      </c>
      <c r="M113" s="47" t="s">
        <v>33</v>
      </c>
    </row>
    <row r="114" customHeight="1" spans="1:13">
      <c r="A114" s="47" t="s">
        <v>351</v>
      </c>
      <c r="B114" s="47" t="s">
        <v>337</v>
      </c>
      <c r="C114" s="47" t="s">
        <v>233</v>
      </c>
      <c r="D114" s="47" t="s">
        <v>352</v>
      </c>
      <c r="E114" s="47" t="s">
        <v>17</v>
      </c>
      <c r="F114" s="47" t="s">
        <v>18</v>
      </c>
      <c r="G114" s="47" t="s">
        <v>38</v>
      </c>
      <c r="H114" s="47" t="s">
        <v>20</v>
      </c>
      <c r="I114" s="59" t="s">
        <v>23</v>
      </c>
      <c r="J114" s="47" t="s">
        <v>32</v>
      </c>
      <c r="K114" s="47" t="s">
        <v>119</v>
      </c>
      <c r="L114" s="59" t="s">
        <v>23</v>
      </c>
      <c r="M114" s="47" t="s">
        <v>47</v>
      </c>
    </row>
    <row r="115" customHeight="1" spans="1:13">
      <c r="A115" s="47" t="s">
        <v>353</v>
      </c>
      <c r="B115" s="47" t="s">
        <v>337</v>
      </c>
      <c r="C115" s="47" t="s">
        <v>354</v>
      </c>
      <c r="D115" s="47" t="s">
        <v>43</v>
      </c>
      <c r="E115" s="47" t="s">
        <v>50</v>
      </c>
      <c r="F115" s="47" t="s">
        <v>28</v>
      </c>
      <c r="G115" s="47" t="s">
        <v>38</v>
      </c>
      <c r="H115" s="47" t="s">
        <v>52</v>
      </c>
      <c r="I115" s="47" t="s">
        <v>52</v>
      </c>
      <c r="J115" s="47" t="s">
        <v>22</v>
      </c>
      <c r="K115" s="59" t="s">
        <v>23</v>
      </c>
      <c r="L115" s="59" t="s">
        <v>23</v>
      </c>
      <c r="M115" s="47" t="s">
        <v>73</v>
      </c>
    </row>
    <row r="116" customHeight="1" spans="1:13">
      <c r="A116" s="47" t="s">
        <v>355</v>
      </c>
      <c r="B116" s="47" t="s">
        <v>337</v>
      </c>
      <c r="C116" s="47" t="s">
        <v>356</v>
      </c>
      <c r="D116" s="47" t="s">
        <v>43</v>
      </c>
      <c r="E116" s="47" t="s">
        <v>108</v>
      </c>
      <c r="F116" s="47" t="s">
        <v>109</v>
      </c>
      <c r="G116" s="47" t="s">
        <v>19</v>
      </c>
      <c r="H116" s="47" t="s">
        <v>110</v>
      </c>
      <c r="I116" s="47" t="s">
        <v>357</v>
      </c>
      <c r="J116" s="47" t="s">
        <v>22</v>
      </c>
      <c r="K116" s="59" t="s">
        <v>23</v>
      </c>
      <c r="L116" s="59" t="s">
        <v>23</v>
      </c>
      <c r="M116" s="47" t="s">
        <v>358</v>
      </c>
    </row>
    <row r="117" customHeight="1" spans="1:13">
      <c r="A117" s="47" t="s">
        <v>359</v>
      </c>
      <c r="B117" s="47" t="s">
        <v>360</v>
      </c>
      <c r="C117" s="47" t="s">
        <v>361</v>
      </c>
      <c r="D117" s="47" t="s">
        <v>16</v>
      </c>
      <c r="E117" s="47" t="s">
        <v>17</v>
      </c>
      <c r="F117" s="47" t="s">
        <v>18</v>
      </c>
      <c r="G117" s="47" t="s">
        <v>19</v>
      </c>
      <c r="H117" s="47" t="s">
        <v>20</v>
      </c>
      <c r="I117" s="47" t="s">
        <v>21</v>
      </c>
      <c r="J117" s="47" t="s">
        <v>32</v>
      </c>
      <c r="K117" s="59" t="s">
        <v>23</v>
      </c>
      <c r="L117" s="47" t="s">
        <v>54</v>
      </c>
      <c r="M117" s="47" t="s">
        <v>73</v>
      </c>
    </row>
    <row r="118" customHeight="1" spans="1:13">
      <c r="A118" s="47" t="s">
        <v>362</v>
      </c>
      <c r="B118" s="47" t="s">
        <v>360</v>
      </c>
      <c r="C118" s="47" t="s">
        <v>363</v>
      </c>
      <c r="D118" s="47" t="s">
        <v>16</v>
      </c>
      <c r="E118" s="47" t="s">
        <v>364</v>
      </c>
      <c r="F118" s="47" t="s">
        <v>18</v>
      </c>
      <c r="G118" s="47" t="s">
        <v>38</v>
      </c>
      <c r="H118" s="47" t="s">
        <v>20</v>
      </c>
      <c r="I118" s="47" t="s">
        <v>20</v>
      </c>
      <c r="J118" s="47" t="s">
        <v>68</v>
      </c>
      <c r="K118" s="59" t="s">
        <v>23</v>
      </c>
      <c r="L118" s="59" t="s">
        <v>23</v>
      </c>
      <c r="M118" s="47" t="s">
        <v>73</v>
      </c>
    </row>
    <row r="119" customHeight="1" spans="1:13">
      <c r="A119" s="47" t="s">
        <v>365</v>
      </c>
      <c r="B119" s="47" t="s">
        <v>360</v>
      </c>
      <c r="C119" s="47" t="s">
        <v>366</v>
      </c>
      <c r="D119" s="47" t="s">
        <v>16</v>
      </c>
      <c r="E119" s="47" t="s">
        <v>367</v>
      </c>
      <c r="F119" s="47" t="s">
        <v>368</v>
      </c>
      <c r="G119" s="47" t="s">
        <v>38</v>
      </c>
      <c r="H119" s="47" t="s">
        <v>110</v>
      </c>
      <c r="I119" s="47" t="s">
        <v>110</v>
      </c>
      <c r="J119" s="47" t="s">
        <v>22</v>
      </c>
      <c r="K119" s="59" t="s">
        <v>23</v>
      </c>
      <c r="L119" s="59" t="s">
        <v>23</v>
      </c>
      <c r="M119" s="47" t="s">
        <v>220</v>
      </c>
    </row>
    <row r="120" customHeight="1" spans="1:13">
      <c r="A120" s="47" t="s">
        <v>369</v>
      </c>
      <c r="B120" s="47" t="s">
        <v>370</v>
      </c>
      <c r="C120" s="47" t="s">
        <v>261</v>
      </c>
      <c r="D120" s="47" t="s">
        <v>62</v>
      </c>
      <c r="E120" s="47" t="s">
        <v>146</v>
      </c>
      <c r="F120" s="47" t="s">
        <v>28</v>
      </c>
      <c r="G120" s="47" t="s">
        <v>38</v>
      </c>
      <c r="H120" s="47" t="s">
        <v>147</v>
      </c>
      <c r="I120" s="47" t="s">
        <v>147</v>
      </c>
      <c r="J120" s="47" t="s">
        <v>22</v>
      </c>
      <c r="K120" s="59" t="s">
        <v>23</v>
      </c>
      <c r="L120" s="59" t="s">
        <v>23</v>
      </c>
      <c r="M120" s="47" t="s">
        <v>40</v>
      </c>
    </row>
    <row r="121" customHeight="1" spans="1:13">
      <c r="A121" s="47" t="s">
        <v>371</v>
      </c>
      <c r="B121" s="47" t="s">
        <v>370</v>
      </c>
      <c r="C121" s="47" t="s">
        <v>317</v>
      </c>
      <c r="D121" s="47" t="s">
        <v>107</v>
      </c>
      <c r="E121" s="47" t="s">
        <v>108</v>
      </c>
      <c r="F121" s="47" t="s">
        <v>109</v>
      </c>
      <c r="G121" s="47" t="s">
        <v>38</v>
      </c>
      <c r="H121" s="47" t="s">
        <v>110</v>
      </c>
      <c r="I121" s="47" t="s">
        <v>110</v>
      </c>
      <c r="J121" s="47" t="s">
        <v>22</v>
      </c>
      <c r="K121" s="59" t="s">
        <v>23</v>
      </c>
      <c r="L121" s="47" t="s">
        <v>65</v>
      </c>
      <c r="M121" s="47" t="s">
        <v>47</v>
      </c>
    </row>
    <row r="122" customHeight="1" spans="1:13">
      <c r="A122" s="47" t="s">
        <v>372</v>
      </c>
      <c r="B122" s="47" t="s">
        <v>373</v>
      </c>
      <c r="C122" s="47" t="s">
        <v>374</v>
      </c>
      <c r="D122" s="47" t="s">
        <v>43</v>
      </c>
      <c r="E122" s="47" t="s">
        <v>103</v>
      </c>
      <c r="F122" s="47" t="s">
        <v>37</v>
      </c>
      <c r="G122" s="47" t="s">
        <v>19</v>
      </c>
      <c r="H122" s="47" t="s">
        <v>77</v>
      </c>
      <c r="I122" s="59" t="s">
        <v>23</v>
      </c>
      <c r="J122" s="47" t="s">
        <v>22</v>
      </c>
      <c r="K122" s="59" t="s">
        <v>23</v>
      </c>
      <c r="L122" s="59" t="s">
        <v>23</v>
      </c>
      <c r="M122" s="47" t="s">
        <v>24</v>
      </c>
    </row>
    <row r="123" customHeight="1" spans="1:13">
      <c r="A123" s="47" t="s">
        <v>375</v>
      </c>
      <c r="B123" s="47" t="s">
        <v>376</v>
      </c>
      <c r="C123" s="47" t="s">
        <v>377</v>
      </c>
      <c r="D123" s="47" t="s">
        <v>134</v>
      </c>
      <c r="E123" s="47" t="s">
        <v>367</v>
      </c>
      <c r="F123" s="47" t="s">
        <v>109</v>
      </c>
      <c r="G123" s="47" t="s">
        <v>19</v>
      </c>
      <c r="H123" s="47" t="s">
        <v>110</v>
      </c>
      <c r="I123" s="47" t="s">
        <v>357</v>
      </c>
      <c r="J123" s="47" t="s">
        <v>22</v>
      </c>
      <c r="K123" s="59" t="s">
        <v>23</v>
      </c>
      <c r="L123" s="59" t="s">
        <v>23</v>
      </c>
      <c r="M123" s="47" t="s">
        <v>47</v>
      </c>
    </row>
    <row r="124" customHeight="1" spans="1:13">
      <c r="A124" s="47" t="s">
        <v>378</v>
      </c>
      <c r="B124" s="47" t="s">
        <v>379</v>
      </c>
      <c r="C124" s="47" t="s">
        <v>380</v>
      </c>
      <c r="D124" s="47" t="s">
        <v>137</v>
      </c>
      <c r="E124" s="47" t="s">
        <v>63</v>
      </c>
      <c r="F124" s="47" t="s">
        <v>18</v>
      </c>
      <c r="G124" s="47" t="s">
        <v>38</v>
      </c>
      <c r="H124" s="47" t="s">
        <v>64</v>
      </c>
      <c r="I124" s="47" t="s">
        <v>64</v>
      </c>
      <c r="J124" s="47" t="s">
        <v>32</v>
      </c>
      <c r="K124" s="59" t="s">
        <v>23</v>
      </c>
      <c r="L124" s="47" t="s">
        <v>65</v>
      </c>
      <c r="M124" s="47" t="s">
        <v>73</v>
      </c>
    </row>
    <row r="125" customHeight="1" spans="1:13">
      <c r="A125" s="47" t="s">
        <v>381</v>
      </c>
      <c r="B125" s="47" t="s">
        <v>382</v>
      </c>
      <c r="C125" s="47" t="s">
        <v>198</v>
      </c>
      <c r="D125" s="47" t="s">
        <v>16</v>
      </c>
      <c r="E125" s="47" t="s">
        <v>367</v>
      </c>
      <c r="F125" s="47" t="s">
        <v>109</v>
      </c>
      <c r="G125" s="47" t="s">
        <v>19</v>
      </c>
      <c r="H125" s="47" t="s">
        <v>110</v>
      </c>
      <c r="I125" s="47" t="s">
        <v>357</v>
      </c>
      <c r="J125" s="47" t="s">
        <v>127</v>
      </c>
      <c r="K125" s="59" t="s">
        <v>23</v>
      </c>
      <c r="L125" s="59" t="s">
        <v>23</v>
      </c>
      <c r="M125" s="47" t="s">
        <v>73</v>
      </c>
    </row>
    <row r="126" customHeight="1" spans="1:13">
      <c r="A126" s="47" t="s">
        <v>383</v>
      </c>
      <c r="B126" s="47" t="s">
        <v>379</v>
      </c>
      <c r="C126" s="47" t="s">
        <v>273</v>
      </c>
      <c r="D126" s="47" t="s">
        <v>43</v>
      </c>
      <c r="E126" s="47" t="s">
        <v>165</v>
      </c>
      <c r="F126" s="47" t="s">
        <v>109</v>
      </c>
      <c r="G126" s="47" t="s">
        <v>19</v>
      </c>
      <c r="H126" s="47" t="s">
        <v>82</v>
      </c>
      <c r="I126" s="47" t="s">
        <v>184</v>
      </c>
      <c r="J126" s="47" t="s">
        <v>22</v>
      </c>
      <c r="K126" s="59" t="s">
        <v>23</v>
      </c>
      <c r="L126" s="59" t="s">
        <v>23</v>
      </c>
      <c r="M126" s="47" t="s">
        <v>40</v>
      </c>
    </row>
    <row r="127" customHeight="1" spans="1:13">
      <c r="A127" s="47" t="s">
        <v>384</v>
      </c>
      <c r="B127" s="47" t="s">
        <v>382</v>
      </c>
      <c r="C127" s="47" t="s">
        <v>385</v>
      </c>
      <c r="D127" s="47" t="s">
        <v>16</v>
      </c>
      <c r="E127" s="47" t="s">
        <v>57</v>
      </c>
      <c r="F127" s="47" t="s">
        <v>28</v>
      </c>
      <c r="G127" s="47" t="s">
        <v>38</v>
      </c>
      <c r="H127" s="47" t="s">
        <v>58</v>
      </c>
      <c r="I127" s="47" t="s">
        <v>58</v>
      </c>
      <c r="J127" s="47" t="s">
        <v>32</v>
      </c>
      <c r="K127" s="59" t="s">
        <v>23</v>
      </c>
      <c r="L127" s="47" t="s">
        <v>65</v>
      </c>
      <c r="M127" s="47" t="s">
        <v>40</v>
      </c>
    </row>
    <row r="128" customHeight="1" spans="1:13">
      <c r="A128" s="47" t="s">
        <v>386</v>
      </c>
      <c r="B128" s="47" t="s">
        <v>379</v>
      </c>
      <c r="C128" s="47" t="s">
        <v>363</v>
      </c>
      <c r="D128" s="47" t="s">
        <v>16</v>
      </c>
      <c r="E128" s="47" t="s">
        <v>103</v>
      </c>
      <c r="F128" s="47" t="s">
        <v>387</v>
      </c>
      <c r="G128" s="47" t="s">
        <v>38</v>
      </c>
      <c r="H128" s="47" t="s">
        <v>77</v>
      </c>
      <c r="I128" s="47" t="s">
        <v>227</v>
      </c>
      <c r="J128" s="47" t="s">
        <v>22</v>
      </c>
      <c r="K128" s="47" t="s">
        <v>53</v>
      </c>
      <c r="L128" s="47" t="s">
        <v>65</v>
      </c>
      <c r="M128" s="47" t="s">
        <v>40</v>
      </c>
    </row>
    <row r="129" customHeight="1" spans="1:13">
      <c r="A129" s="47" t="s">
        <v>388</v>
      </c>
      <c r="B129" s="47" t="s">
        <v>379</v>
      </c>
      <c r="C129" s="47" t="s">
        <v>389</v>
      </c>
      <c r="D129" s="47" t="s">
        <v>16</v>
      </c>
      <c r="E129" s="47" t="s">
        <v>63</v>
      </c>
      <c r="F129" s="47" t="s">
        <v>18</v>
      </c>
      <c r="G129" s="47" t="s">
        <v>38</v>
      </c>
      <c r="H129" s="47" t="s">
        <v>64</v>
      </c>
      <c r="I129" s="47" t="s">
        <v>64</v>
      </c>
      <c r="J129" s="47" t="s">
        <v>22</v>
      </c>
      <c r="K129" s="59" t="s">
        <v>23</v>
      </c>
      <c r="L129" s="47" t="s">
        <v>65</v>
      </c>
      <c r="M129" s="47" t="s">
        <v>33</v>
      </c>
    </row>
    <row r="130" customHeight="1" spans="1:13">
      <c r="A130" s="47" t="s">
        <v>390</v>
      </c>
      <c r="B130" s="47" t="s">
        <v>391</v>
      </c>
      <c r="C130" s="47" t="s">
        <v>392</v>
      </c>
      <c r="D130" s="47" t="s">
        <v>393</v>
      </c>
      <c r="E130" s="47" t="s">
        <v>95</v>
      </c>
      <c r="F130" s="47" t="s">
        <v>45</v>
      </c>
      <c r="G130" s="47" t="s">
        <v>38</v>
      </c>
      <c r="H130" s="47" t="s">
        <v>77</v>
      </c>
      <c r="I130" s="47" t="s">
        <v>77</v>
      </c>
      <c r="J130" s="47" t="s">
        <v>22</v>
      </c>
      <c r="K130" s="59" t="s">
        <v>23</v>
      </c>
      <c r="L130" s="59" t="s">
        <v>23</v>
      </c>
      <c r="M130" s="47" t="s">
        <v>47</v>
      </c>
    </row>
    <row r="131" customHeight="1" spans="1:13">
      <c r="A131" s="47" t="s">
        <v>394</v>
      </c>
      <c r="B131" s="47" t="s">
        <v>391</v>
      </c>
      <c r="C131" s="47" t="s">
        <v>395</v>
      </c>
      <c r="D131" s="47" t="s">
        <v>16</v>
      </c>
      <c r="E131" s="47" t="s">
        <v>396</v>
      </c>
      <c r="F131" s="59" t="s">
        <v>23</v>
      </c>
      <c r="G131" s="47" t="s">
        <v>38</v>
      </c>
      <c r="H131" s="47" t="s">
        <v>64</v>
      </c>
      <c r="I131" s="47" t="s">
        <v>64</v>
      </c>
      <c r="J131" s="47" t="s">
        <v>22</v>
      </c>
      <c r="K131" s="59" t="s">
        <v>23</v>
      </c>
      <c r="L131" s="59" t="s">
        <v>23</v>
      </c>
      <c r="M131" s="47" t="s">
        <v>73</v>
      </c>
    </row>
    <row r="132" customHeight="1" spans="1:13">
      <c r="A132" s="47" t="s">
        <v>397</v>
      </c>
      <c r="B132" s="47" t="s">
        <v>391</v>
      </c>
      <c r="C132" s="47" t="s">
        <v>398</v>
      </c>
      <c r="D132" s="47" t="s">
        <v>16</v>
      </c>
      <c r="E132" s="47" t="s">
        <v>36</v>
      </c>
      <c r="F132" s="47" t="s">
        <v>37</v>
      </c>
      <c r="G132" s="47" t="s">
        <v>38</v>
      </c>
      <c r="H132" s="47" t="s">
        <v>39</v>
      </c>
      <c r="I132" s="47" t="s">
        <v>399</v>
      </c>
      <c r="J132" s="47" t="s">
        <v>22</v>
      </c>
      <c r="K132" s="59" t="s">
        <v>23</v>
      </c>
      <c r="L132" s="59" t="s">
        <v>23</v>
      </c>
      <c r="M132" s="47" t="s">
        <v>358</v>
      </c>
    </row>
    <row r="133" customHeight="1" spans="1:13">
      <c r="A133" s="47" t="s">
        <v>400</v>
      </c>
      <c r="B133" s="47" t="s">
        <v>391</v>
      </c>
      <c r="C133" s="47" t="s">
        <v>401</v>
      </c>
      <c r="D133" s="47" t="s">
        <v>16</v>
      </c>
      <c r="E133" s="47" t="s">
        <v>146</v>
      </c>
      <c r="F133" s="47" t="s">
        <v>28</v>
      </c>
      <c r="G133" s="47" t="s">
        <v>38</v>
      </c>
      <c r="H133" s="47" t="s">
        <v>147</v>
      </c>
      <c r="I133" s="47" t="s">
        <v>147</v>
      </c>
      <c r="J133" s="47" t="s">
        <v>22</v>
      </c>
      <c r="K133" s="59" t="s">
        <v>23</v>
      </c>
      <c r="L133" s="47" t="s">
        <v>54</v>
      </c>
      <c r="M133" s="47" t="s">
        <v>33</v>
      </c>
    </row>
    <row r="134" customHeight="1" spans="1:13">
      <c r="A134" s="47" t="s">
        <v>402</v>
      </c>
      <c r="B134" s="47" t="s">
        <v>391</v>
      </c>
      <c r="C134" s="47" t="s">
        <v>226</v>
      </c>
      <c r="D134" s="47" t="s">
        <v>107</v>
      </c>
      <c r="E134" s="47" t="s">
        <v>367</v>
      </c>
      <c r="F134" s="47" t="s">
        <v>109</v>
      </c>
      <c r="G134" s="47" t="s">
        <v>38</v>
      </c>
      <c r="H134" s="47" t="s">
        <v>110</v>
      </c>
      <c r="I134" s="47" t="s">
        <v>403</v>
      </c>
      <c r="J134" s="47" t="s">
        <v>22</v>
      </c>
      <c r="K134" s="47" t="s">
        <v>143</v>
      </c>
      <c r="L134" s="47" t="s">
        <v>65</v>
      </c>
      <c r="M134" s="47" t="s">
        <v>33</v>
      </c>
    </row>
    <row r="135" customHeight="1" spans="1:13">
      <c r="A135" s="47" t="s">
        <v>404</v>
      </c>
      <c r="B135" s="47" t="s">
        <v>391</v>
      </c>
      <c r="C135" s="47" t="s">
        <v>405</v>
      </c>
      <c r="D135" s="47" t="s">
        <v>16</v>
      </c>
      <c r="E135" s="47" t="s">
        <v>217</v>
      </c>
      <c r="F135" s="47" t="s">
        <v>28</v>
      </c>
      <c r="G135" s="47" t="s">
        <v>38</v>
      </c>
      <c r="H135" s="47" t="s">
        <v>147</v>
      </c>
      <c r="I135" s="47" t="s">
        <v>406</v>
      </c>
      <c r="J135" s="47" t="s">
        <v>22</v>
      </c>
      <c r="K135" s="47" t="s">
        <v>143</v>
      </c>
      <c r="L135" s="59" t="s">
        <v>23</v>
      </c>
      <c r="M135" s="47" t="s">
        <v>24</v>
      </c>
    </row>
    <row r="136" customHeight="1" spans="1:13">
      <c r="A136" s="47" t="s">
        <v>407</v>
      </c>
      <c r="B136" s="47" t="s">
        <v>391</v>
      </c>
      <c r="C136" s="47" t="s">
        <v>408</v>
      </c>
      <c r="D136" s="47" t="s">
        <v>16</v>
      </c>
      <c r="E136" s="47" t="s">
        <v>36</v>
      </c>
      <c r="F136" s="47" t="s">
        <v>387</v>
      </c>
      <c r="G136" s="47" t="s">
        <v>19</v>
      </c>
      <c r="H136" s="47" t="s">
        <v>39</v>
      </c>
      <c r="I136" s="47" t="s">
        <v>82</v>
      </c>
      <c r="J136" s="47" t="s">
        <v>32</v>
      </c>
      <c r="K136" s="59" t="s">
        <v>23</v>
      </c>
      <c r="L136" s="47" t="s">
        <v>65</v>
      </c>
      <c r="M136" s="47" t="s">
        <v>181</v>
      </c>
    </row>
    <row r="137" customHeight="1" spans="1:13">
      <c r="A137" s="47" t="s">
        <v>409</v>
      </c>
      <c r="B137" s="47" t="s">
        <v>391</v>
      </c>
      <c r="C137" s="47" t="s">
        <v>153</v>
      </c>
      <c r="D137" s="47" t="s">
        <v>107</v>
      </c>
      <c r="E137" s="47" t="s">
        <v>27</v>
      </c>
      <c r="F137" s="47" t="s">
        <v>28</v>
      </c>
      <c r="G137" s="47" t="s">
        <v>19</v>
      </c>
      <c r="H137" s="47" t="s">
        <v>30</v>
      </c>
      <c r="I137" s="47" t="s">
        <v>258</v>
      </c>
      <c r="J137" s="47" t="s">
        <v>22</v>
      </c>
      <c r="K137" s="59" t="s">
        <v>23</v>
      </c>
      <c r="L137" s="47" t="s">
        <v>54</v>
      </c>
      <c r="M137" s="47" t="s">
        <v>47</v>
      </c>
    </row>
    <row r="138" customHeight="1" spans="1:13">
      <c r="A138" s="47" t="s">
        <v>410</v>
      </c>
      <c r="B138" s="47" t="s">
        <v>411</v>
      </c>
      <c r="C138" s="47" t="s">
        <v>412</v>
      </c>
      <c r="D138" s="47" t="s">
        <v>16</v>
      </c>
      <c r="E138" s="47" t="s">
        <v>267</v>
      </c>
      <c r="F138" s="47" t="s">
        <v>18</v>
      </c>
      <c r="G138" s="47" t="s">
        <v>38</v>
      </c>
      <c r="H138" s="47" t="s">
        <v>64</v>
      </c>
      <c r="I138" s="47" t="s">
        <v>64</v>
      </c>
      <c r="J138" s="47" t="s">
        <v>127</v>
      </c>
      <c r="K138" s="59" t="s">
        <v>23</v>
      </c>
      <c r="L138" s="59" t="s">
        <v>23</v>
      </c>
      <c r="M138" s="47" t="s">
        <v>47</v>
      </c>
    </row>
    <row r="139" customHeight="1" spans="1:13">
      <c r="A139" s="47" t="s">
        <v>413</v>
      </c>
      <c r="B139" s="47" t="s">
        <v>414</v>
      </c>
      <c r="C139" s="47" t="s">
        <v>415</v>
      </c>
      <c r="D139" s="47" t="s">
        <v>16</v>
      </c>
      <c r="E139" s="47" t="s">
        <v>95</v>
      </c>
      <c r="F139" s="47" t="s">
        <v>45</v>
      </c>
      <c r="G139" s="47" t="s">
        <v>38</v>
      </c>
      <c r="H139" s="47" t="s">
        <v>77</v>
      </c>
      <c r="I139" s="47" t="s">
        <v>416</v>
      </c>
      <c r="J139" s="47" t="s">
        <v>22</v>
      </c>
      <c r="K139" s="59" t="s">
        <v>23</v>
      </c>
      <c r="L139" s="47" t="s">
        <v>29</v>
      </c>
      <c r="M139" s="47" t="s">
        <v>40</v>
      </c>
    </row>
    <row r="140" customHeight="1" spans="1:13">
      <c r="A140" s="47" t="s">
        <v>417</v>
      </c>
      <c r="B140" s="47" t="s">
        <v>411</v>
      </c>
      <c r="C140" s="47" t="s">
        <v>418</v>
      </c>
      <c r="D140" s="47" t="s">
        <v>16</v>
      </c>
      <c r="E140" s="47" t="s">
        <v>81</v>
      </c>
      <c r="F140" s="59" t="s">
        <v>23</v>
      </c>
      <c r="G140" s="47" t="s">
        <v>19</v>
      </c>
      <c r="H140" s="59" t="s">
        <v>23</v>
      </c>
      <c r="I140" s="47" t="s">
        <v>184</v>
      </c>
      <c r="J140" s="47" t="s">
        <v>22</v>
      </c>
      <c r="K140" s="59" t="s">
        <v>23</v>
      </c>
      <c r="L140" s="47" t="s">
        <v>54</v>
      </c>
      <c r="M140" s="47" t="s">
        <v>47</v>
      </c>
    </row>
    <row r="141" customHeight="1" spans="1:13">
      <c r="A141" s="47" t="s">
        <v>419</v>
      </c>
      <c r="B141" s="47" t="s">
        <v>411</v>
      </c>
      <c r="C141" s="47" t="s">
        <v>196</v>
      </c>
      <c r="D141" s="47" t="s">
        <v>16</v>
      </c>
      <c r="E141" s="47" t="s">
        <v>367</v>
      </c>
      <c r="F141" s="47" t="s">
        <v>109</v>
      </c>
      <c r="G141" s="47" t="s">
        <v>19</v>
      </c>
      <c r="H141" s="47" t="s">
        <v>110</v>
      </c>
      <c r="I141" s="47" t="s">
        <v>357</v>
      </c>
      <c r="J141" s="47" t="s">
        <v>22</v>
      </c>
      <c r="K141" s="59" t="s">
        <v>23</v>
      </c>
      <c r="L141" s="47" t="s">
        <v>65</v>
      </c>
      <c r="M141" s="47" t="s">
        <v>47</v>
      </c>
    </row>
    <row r="142" customHeight="1" spans="1:13">
      <c r="A142" s="47" t="s">
        <v>420</v>
      </c>
      <c r="B142" s="47" t="s">
        <v>411</v>
      </c>
      <c r="C142" s="47" t="s">
        <v>222</v>
      </c>
      <c r="D142" s="47" t="s">
        <v>43</v>
      </c>
      <c r="E142" s="47" t="s">
        <v>17</v>
      </c>
      <c r="F142" s="47" t="s">
        <v>18</v>
      </c>
      <c r="G142" s="47" t="s">
        <v>38</v>
      </c>
      <c r="H142" s="47" t="s">
        <v>20</v>
      </c>
      <c r="I142" s="47" t="s">
        <v>20</v>
      </c>
      <c r="J142" s="47" t="s">
        <v>22</v>
      </c>
      <c r="K142" s="59" t="s">
        <v>23</v>
      </c>
      <c r="L142" s="47" t="s">
        <v>65</v>
      </c>
      <c r="M142" s="47" t="s">
        <v>358</v>
      </c>
    </row>
    <row r="143" customHeight="1" spans="1:13">
      <c r="A143" s="47" t="s">
        <v>421</v>
      </c>
      <c r="B143" s="47" t="s">
        <v>411</v>
      </c>
      <c r="C143" s="47" t="s">
        <v>255</v>
      </c>
      <c r="D143" s="47" t="s">
        <v>16</v>
      </c>
      <c r="E143" s="47" t="s">
        <v>165</v>
      </c>
      <c r="F143" s="47" t="s">
        <v>109</v>
      </c>
      <c r="G143" s="47" t="s">
        <v>38</v>
      </c>
      <c r="H143" s="47" t="s">
        <v>82</v>
      </c>
      <c r="I143" s="47" t="s">
        <v>82</v>
      </c>
      <c r="J143" s="47" t="s">
        <v>22</v>
      </c>
      <c r="K143" s="59" t="s">
        <v>23</v>
      </c>
      <c r="L143" s="59" t="s">
        <v>23</v>
      </c>
      <c r="M143" s="47" t="s">
        <v>24</v>
      </c>
    </row>
    <row r="144" customHeight="1" spans="1:13">
      <c r="A144" s="47" t="s">
        <v>422</v>
      </c>
      <c r="B144" s="47" t="s">
        <v>423</v>
      </c>
      <c r="C144" s="47" t="s">
        <v>424</v>
      </c>
      <c r="D144" s="47" t="s">
        <v>16</v>
      </c>
      <c r="E144" s="47" t="s">
        <v>50</v>
      </c>
      <c r="F144" s="47" t="s">
        <v>28</v>
      </c>
      <c r="G144" s="47" t="s">
        <v>19</v>
      </c>
      <c r="H144" s="47" t="s">
        <v>52</v>
      </c>
      <c r="I144" s="47" t="s">
        <v>425</v>
      </c>
      <c r="J144" s="47" t="s">
        <v>32</v>
      </c>
      <c r="K144" s="59" t="s">
        <v>23</v>
      </c>
      <c r="L144" s="47" t="s">
        <v>54</v>
      </c>
      <c r="M144" s="47" t="s">
        <v>73</v>
      </c>
    </row>
    <row r="145" customHeight="1" spans="1:13">
      <c r="A145" s="47" t="s">
        <v>426</v>
      </c>
      <c r="B145" s="47" t="s">
        <v>427</v>
      </c>
      <c r="C145" s="47" t="s">
        <v>428</v>
      </c>
      <c r="D145" s="47" t="s">
        <v>16</v>
      </c>
      <c r="E145" s="47" t="s">
        <v>44</v>
      </c>
      <c r="F145" s="47" t="s">
        <v>45</v>
      </c>
      <c r="G145" s="47" t="s">
        <v>38</v>
      </c>
      <c r="H145" s="47" t="s">
        <v>46</v>
      </c>
      <c r="I145" s="47" t="s">
        <v>46</v>
      </c>
      <c r="J145" s="47" t="s">
        <v>22</v>
      </c>
      <c r="K145" s="59" t="s">
        <v>23</v>
      </c>
      <c r="L145" s="47" t="s">
        <v>65</v>
      </c>
      <c r="M145" s="47" t="s">
        <v>47</v>
      </c>
    </row>
    <row r="146" customHeight="1" spans="1:13">
      <c r="A146" s="47" t="s">
        <v>429</v>
      </c>
      <c r="B146" s="47" t="s">
        <v>427</v>
      </c>
      <c r="C146" s="47" t="s">
        <v>430</v>
      </c>
      <c r="D146" s="47" t="s">
        <v>107</v>
      </c>
      <c r="E146" s="47" t="s">
        <v>27</v>
      </c>
      <c r="F146" s="47" t="s">
        <v>28</v>
      </c>
      <c r="G146" s="47" t="s">
        <v>38</v>
      </c>
      <c r="H146" s="47" t="s">
        <v>30</v>
      </c>
      <c r="I146" s="47" t="s">
        <v>30</v>
      </c>
      <c r="J146" s="47" t="s">
        <v>22</v>
      </c>
      <c r="K146" s="59" t="s">
        <v>23</v>
      </c>
      <c r="L146" s="47" t="s">
        <v>65</v>
      </c>
      <c r="M146" s="47" t="s">
        <v>40</v>
      </c>
    </row>
    <row r="147" customHeight="1" spans="1:13">
      <c r="A147" s="47" t="s">
        <v>431</v>
      </c>
      <c r="B147" s="47" t="s">
        <v>427</v>
      </c>
      <c r="C147" s="47" t="s">
        <v>432</v>
      </c>
      <c r="D147" s="47" t="s">
        <v>16</v>
      </c>
      <c r="E147" s="47" t="s">
        <v>81</v>
      </c>
      <c r="F147" s="47" t="s">
        <v>387</v>
      </c>
      <c r="G147" s="47" t="s">
        <v>19</v>
      </c>
      <c r="H147" s="47" t="s">
        <v>82</v>
      </c>
      <c r="I147" s="47" t="s">
        <v>184</v>
      </c>
      <c r="J147" s="47" t="s">
        <v>22</v>
      </c>
      <c r="K147" s="59" t="s">
        <v>23</v>
      </c>
      <c r="L147" s="59" t="s">
        <v>23</v>
      </c>
      <c r="M147" s="47" t="s">
        <v>33</v>
      </c>
    </row>
    <row r="148" customHeight="1" spans="1:13">
      <c r="A148" s="47" t="s">
        <v>433</v>
      </c>
      <c r="B148" s="47" t="s">
        <v>427</v>
      </c>
      <c r="C148" s="47" t="s">
        <v>380</v>
      </c>
      <c r="D148" s="47" t="s">
        <v>16</v>
      </c>
      <c r="E148" s="47" t="s">
        <v>36</v>
      </c>
      <c r="F148" s="47" t="s">
        <v>37</v>
      </c>
      <c r="G148" s="47" t="s">
        <v>19</v>
      </c>
      <c r="H148" s="47" t="s">
        <v>39</v>
      </c>
      <c r="I148" s="47" t="s">
        <v>82</v>
      </c>
      <c r="J148" s="47" t="s">
        <v>22</v>
      </c>
      <c r="K148" s="47" t="s">
        <v>53</v>
      </c>
      <c r="L148" s="59" t="s">
        <v>23</v>
      </c>
      <c r="M148" s="47" t="s">
        <v>24</v>
      </c>
    </row>
    <row r="149" customHeight="1" spans="1:13">
      <c r="A149" s="47" t="s">
        <v>434</v>
      </c>
      <c r="B149" s="47" t="s">
        <v>435</v>
      </c>
      <c r="C149" s="47" t="s">
        <v>436</v>
      </c>
      <c r="D149" s="47" t="s">
        <v>107</v>
      </c>
      <c r="E149" s="47" t="s">
        <v>63</v>
      </c>
      <c r="F149" s="47" t="s">
        <v>18</v>
      </c>
      <c r="G149" s="47" t="s">
        <v>19</v>
      </c>
      <c r="H149" s="47" t="s">
        <v>64</v>
      </c>
      <c r="I149" s="47" t="s">
        <v>39</v>
      </c>
      <c r="J149" s="47" t="s">
        <v>22</v>
      </c>
      <c r="K149" s="59" t="s">
        <v>23</v>
      </c>
      <c r="L149" s="59" t="s">
        <v>23</v>
      </c>
      <c r="M149" s="47" t="s">
        <v>437</v>
      </c>
    </row>
    <row r="150" customHeight="1" spans="1:13">
      <c r="A150" s="47" t="s">
        <v>438</v>
      </c>
      <c r="B150" s="47" t="s">
        <v>427</v>
      </c>
      <c r="C150" s="47" t="s">
        <v>349</v>
      </c>
      <c r="D150" s="47" t="s">
        <v>107</v>
      </c>
      <c r="E150" s="47" t="s">
        <v>199</v>
      </c>
      <c r="F150" s="47" t="s">
        <v>18</v>
      </c>
      <c r="G150" s="47" t="s">
        <v>38</v>
      </c>
      <c r="H150" s="47" t="s">
        <v>39</v>
      </c>
      <c r="I150" s="47" t="s">
        <v>39</v>
      </c>
      <c r="J150" s="47" t="s">
        <v>22</v>
      </c>
      <c r="K150" s="59" t="s">
        <v>23</v>
      </c>
      <c r="L150" s="59" t="s">
        <v>23</v>
      </c>
      <c r="M150" s="47" t="s">
        <v>24</v>
      </c>
    </row>
    <row r="151" customHeight="1" spans="1:13">
      <c r="A151" s="47" t="s">
        <v>439</v>
      </c>
      <c r="B151" s="47" t="s">
        <v>440</v>
      </c>
      <c r="C151" s="47" t="s">
        <v>80</v>
      </c>
      <c r="D151" s="47" t="s">
        <v>16</v>
      </c>
      <c r="E151" s="47" t="s">
        <v>44</v>
      </c>
      <c r="F151" s="47" t="s">
        <v>45</v>
      </c>
      <c r="G151" s="47" t="s">
        <v>29</v>
      </c>
      <c r="H151" s="59" t="s">
        <v>23</v>
      </c>
      <c r="I151" s="47" t="s">
        <v>184</v>
      </c>
      <c r="J151" s="47" t="s">
        <v>22</v>
      </c>
      <c r="K151" s="59" t="s">
        <v>23</v>
      </c>
      <c r="L151" s="59" t="s">
        <v>23</v>
      </c>
      <c r="M151" s="47" t="s">
        <v>73</v>
      </c>
    </row>
    <row r="152" customHeight="1" spans="1:13">
      <c r="A152" s="47" t="s">
        <v>441</v>
      </c>
      <c r="B152" s="47" t="s">
        <v>427</v>
      </c>
      <c r="C152" s="47" t="s">
        <v>442</v>
      </c>
      <c r="D152" s="47" t="s">
        <v>43</v>
      </c>
      <c r="E152" s="47" t="s">
        <v>81</v>
      </c>
      <c r="F152" s="47" t="s">
        <v>37</v>
      </c>
      <c r="G152" s="47" t="s">
        <v>19</v>
      </c>
      <c r="H152" s="47" t="s">
        <v>443</v>
      </c>
      <c r="I152" s="47" t="s">
        <v>184</v>
      </c>
      <c r="J152" s="47" t="s">
        <v>127</v>
      </c>
      <c r="K152" s="59" t="s">
        <v>23</v>
      </c>
      <c r="L152" s="59" t="s">
        <v>23</v>
      </c>
      <c r="M152" s="47" t="s">
        <v>73</v>
      </c>
    </row>
    <row r="153" customHeight="1" spans="1:13">
      <c r="A153" s="47" t="s">
        <v>444</v>
      </c>
      <c r="B153" s="47" t="s">
        <v>440</v>
      </c>
      <c r="C153" s="47" t="s">
        <v>424</v>
      </c>
      <c r="D153" s="47" t="s">
        <v>107</v>
      </c>
      <c r="E153" s="47" t="s">
        <v>63</v>
      </c>
      <c r="F153" s="47" t="s">
        <v>18</v>
      </c>
      <c r="G153" s="47" t="s">
        <v>19</v>
      </c>
      <c r="H153" s="47" t="s">
        <v>64</v>
      </c>
      <c r="I153" s="47" t="s">
        <v>39</v>
      </c>
      <c r="J153" s="47" t="s">
        <v>22</v>
      </c>
      <c r="K153" s="59" t="s">
        <v>23</v>
      </c>
      <c r="L153" s="47" t="s">
        <v>29</v>
      </c>
      <c r="M153" s="47" t="s">
        <v>33</v>
      </c>
    </row>
    <row r="154" customHeight="1" spans="1:13">
      <c r="A154" s="47" t="s">
        <v>445</v>
      </c>
      <c r="B154" s="47" t="s">
        <v>446</v>
      </c>
      <c r="C154" s="47" t="s">
        <v>447</v>
      </c>
      <c r="D154" s="47" t="s">
        <v>16</v>
      </c>
      <c r="E154" s="47" t="s">
        <v>44</v>
      </c>
      <c r="F154" s="47" t="s">
        <v>45</v>
      </c>
      <c r="G154" s="47" t="s">
        <v>29</v>
      </c>
      <c r="H154" s="59" t="s">
        <v>23</v>
      </c>
      <c r="I154" s="47" t="s">
        <v>184</v>
      </c>
      <c r="J154" s="47" t="s">
        <v>127</v>
      </c>
      <c r="K154" s="59" t="s">
        <v>23</v>
      </c>
      <c r="L154" s="47" t="s">
        <v>65</v>
      </c>
      <c r="M154" s="47" t="s">
        <v>24</v>
      </c>
    </row>
    <row r="155" customHeight="1" spans="1:13">
      <c r="A155" s="47" t="s">
        <v>448</v>
      </c>
      <c r="B155" s="47" t="s">
        <v>440</v>
      </c>
      <c r="C155" s="47" t="s">
        <v>449</v>
      </c>
      <c r="D155" s="47" t="s">
        <v>107</v>
      </c>
      <c r="E155" s="47" t="s">
        <v>63</v>
      </c>
      <c r="F155" s="47" t="s">
        <v>18</v>
      </c>
      <c r="G155" s="47" t="s">
        <v>38</v>
      </c>
      <c r="H155" s="47" t="s">
        <v>64</v>
      </c>
      <c r="I155" s="47" t="s">
        <v>64</v>
      </c>
      <c r="J155" s="47" t="s">
        <v>22</v>
      </c>
      <c r="K155" s="59" t="s">
        <v>23</v>
      </c>
      <c r="L155" s="59" t="s">
        <v>23</v>
      </c>
      <c r="M155" s="47" t="s">
        <v>40</v>
      </c>
    </row>
    <row r="156" customHeight="1" spans="1:13">
      <c r="A156" s="47" t="s">
        <v>450</v>
      </c>
      <c r="B156" s="47" t="s">
        <v>440</v>
      </c>
      <c r="C156" s="47" t="s">
        <v>451</v>
      </c>
      <c r="D156" s="47" t="s">
        <v>16</v>
      </c>
      <c r="E156" s="47" t="s">
        <v>146</v>
      </c>
      <c r="F156" s="47" t="s">
        <v>28</v>
      </c>
      <c r="G156" s="47" t="s">
        <v>38</v>
      </c>
      <c r="H156" s="47" t="s">
        <v>147</v>
      </c>
      <c r="I156" s="47" t="s">
        <v>147</v>
      </c>
      <c r="J156" s="47" t="s">
        <v>68</v>
      </c>
      <c r="K156" s="59" t="s">
        <v>23</v>
      </c>
      <c r="L156" s="59" t="s">
        <v>23</v>
      </c>
      <c r="M156" s="47" t="s">
        <v>73</v>
      </c>
    </row>
    <row r="157" customHeight="1" spans="1:13">
      <c r="A157" s="47" t="s">
        <v>452</v>
      </c>
      <c r="B157" s="47" t="s">
        <v>440</v>
      </c>
      <c r="C157" s="47" t="s">
        <v>453</v>
      </c>
      <c r="D157" s="47" t="s">
        <v>16</v>
      </c>
      <c r="E157" s="47" t="s">
        <v>36</v>
      </c>
      <c r="F157" s="47" t="s">
        <v>454</v>
      </c>
      <c r="G157" s="47" t="s">
        <v>19</v>
      </c>
      <c r="H157" s="47" t="s">
        <v>39</v>
      </c>
      <c r="I157" s="47" t="s">
        <v>82</v>
      </c>
      <c r="J157" s="47" t="s">
        <v>22</v>
      </c>
      <c r="K157" s="47" t="s">
        <v>119</v>
      </c>
      <c r="L157" s="59" t="s">
        <v>23</v>
      </c>
      <c r="M157" s="47" t="s">
        <v>47</v>
      </c>
    </row>
    <row r="158" customHeight="1" spans="1:13">
      <c r="A158" s="47" t="s">
        <v>455</v>
      </c>
      <c r="B158" s="47" t="s">
        <v>440</v>
      </c>
      <c r="C158" s="47" t="s">
        <v>456</v>
      </c>
      <c r="D158" s="47" t="s">
        <v>16</v>
      </c>
      <c r="E158" s="47" t="s">
        <v>63</v>
      </c>
      <c r="F158" s="47" t="s">
        <v>18</v>
      </c>
      <c r="G158" s="47" t="s">
        <v>19</v>
      </c>
      <c r="H158" s="47" t="s">
        <v>64</v>
      </c>
      <c r="I158" s="47" t="s">
        <v>39</v>
      </c>
      <c r="J158" s="47" t="s">
        <v>22</v>
      </c>
      <c r="K158" s="59" t="s">
        <v>23</v>
      </c>
      <c r="L158" s="47" t="s">
        <v>65</v>
      </c>
      <c r="M158" s="47" t="s">
        <v>24</v>
      </c>
    </row>
    <row r="159" customHeight="1" spans="1:13">
      <c r="A159" s="47" t="s">
        <v>457</v>
      </c>
      <c r="B159" s="47" t="s">
        <v>458</v>
      </c>
      <c r="C159" s="47" t="s">
        <v>459</v>
      </c>
      <c r="D159" s="47" t="s">
        <v>16</v>
      </c>
      <c r="E159" s="47" t="s">
        <v>44</v>
      </c>
      <c r="F159" s="47" t="s">
        <v>45</v>
      </c>
      <c r="G159" s="47" t="s">
        <v>38</v>
      </c>
      <c r="H159" s="47" t="s">
        <v>46</v>
      </c>
      <c r="I159" s="47" t="s">
        <v>46</v>
      </c>
      <c r="J159" s="47" t="s">
        <v>22</v>
      </c>
      <c r="K159" s="59" t="s">
        <v>23</v>
      </c>
      <c r="L159" s="59" t="s">
        <v>23</v>
      </c>
      <c r="M159" s="47" t="s">
        <v>220</v>
      </c>
    </row>
    <row r="160" customHeight="1" spans="1:13">
      <c r="A160" s="47" t="s">
        <v>460</v>
      </c>
      <c r="B160" s="47" t="s">
        <v>440</v>
      </c>
      <c r="C160" s="47" t="s">
        <v>459</v>
      </c>
      <c r="D160" s="47" t="s">
        <v>16</v>
      </c>
      <c r="E160" s="47" t="s">
        <v>199</v>
      </c>
      <c r="F160" s="47" t="s">
        <v>18</v>
      </c>
      <c r="G160" s="47" t="s">
        <v>38</v>
      </c>
      <c r="H160" s="47" t="s">
        <v>39</v>
      </c>
      <c r="I160" s="47" t="s">
        <v>39</v>
      </c>
      <c r="J160" s="47" t="s">
        <v>22</v>
      </c>
      <c r="K160" s="59" t="s">
        <v>23</v>
      </c>
      <c r="L160" s="47" t="s">
        <v>54</v>
      </c>
      <c r="M160" s="47" t="s">
        <v>40</v>
      </c>
    </row>
    <row r="161" customHeight="1" spans="1:13">
      <c r="A161" s="47" t="s">
        <v>461</v>
      </c>
      <c r="B161" s="47" t="s">
        <v>440</v>
      </c>
      <c r="C161" s="47" t="s">
        <v>436</v>
      </c>
      <c r="D161" s="47" t="s">
        <v>16</v>
      </c>
      <c r="E161" s="47" t="s">
        <v>17</v>
      </c>
      <c r="F161" s="47" t="s">
        <v>18</v>
      </c>
      <c r="G161" s="47" t="s">
        <v>38</v>
      </c>
      <c r="H161" s="47" t="s">
        <v>462</v>
      </c>
      <c r="I161" s="47" t="s">
        <v>20</v>
      </c>
      <c r="J161" s="47" t="s">
        <v>22</v>
      </c>
      <c r="K161" s="47" t="s">
        <v>53</v>
      </c>
      <c r="L161" s="47" t="s">
        <v>54</v>
      </c>
      <c r="M161" s="47" t="s">
        <v>47</v>
      </c>
    </row>
    <row r="162" customHeight="1" spans="1:13">
      <c r="A162" s="47" t="s">
        <v>461</v>
      </c>
      <c r="B162" s="47" t="s">
        <v>440</v>
      </c>
      <c r="C162" s="47" t="s">
        <v>436</v>
      </c>
      <c r="D162" s="47" t="s">
        <v>16</v>
      </c>
      <c r="E162" s="47" t="s">
        <v>17</v>
      </c>
      <c r="F162" s="47" t="s">
        <v>18</v>
      </c>
      <c r="G162" s="47" t="s">
        <v>38</v>
      </c>
      <c r="H162" s="47" t="s">
        <v>20</v>
      </c>
      <c r="I162" s="47" t="s">
        <v>20</v>
      </c>
      <c r="J162" s="47" t="s">
        <v>22</v>
      </c>
      <c r="K162" s="47" t="s">
        <v>53</v>
      </c>
      <c r="L162" s="47" t="s">
        <v>54</v>
      </c>
      <c r="M162" s="47" t="s">
        <v>47</v>
      </c>
    </row>
    <row r="163" customHeight="1" spans="1:13">
      <c r="A163" s="47" t="s">
        <v>463</v>
      </c>
      <c r="B163" s="47" t="s">
        <v>440</v>
      </c>
      <c r="C163" s="47" t="s">
        <v>363</v>
      </c>
      <c r="D163" s="47" t="s">
        <v>16</v>
      </c>
      <c r="E163" s="47" t="s">
        <v>146</v>
      </c>
      <c r="F163" s="47" t="s">
        <v>28</v>
      </c>
      <c r="G163" s="47" t="s">
        <v>38</v>
      </c>
      <c r="H163" s="59" t="s">
        <v>23</v>
      </c>
      <c r="I163" s="47" t="s">
        <v>147</v>
      </c>
      <c r="J163" s="47" t="s">
        <v>32</v>
      </c>
      <c r="K163" s="59" t="s">
        <v>23</v>
      </c>
      <c r="L163" s="59" t="s">
        <v>23</v>
      </c>
      <c r="M163" s="47" t="s">
        <v>33</v>
      </c>
    </row>
    <row r="164" customHeight="1" spans="1:13">
      <c r="A164" s="47" t="s">
        <v>464</v>
      </c>
      <c r="B164" s="47" t="s">
        <v>440</v>
      </c>
      <c r="C164" s="47" t="s">
        <v>465</v>
      </c>
      <c r="D164" s="47" t="s">
        <v>16</v>
      </c>
      <c r="E164" s="47" t="s">
        <v>103</v>
      </c>
      <c r="F164" s="47" t="s">
        <v>37</v>
      </c>
      <c r="G164" s="47" t="s">
        <v>38</v>
      </c>
      <c r="H164" s="59" t="s">
        <v>23</v>
      </c>
      <c r="I164" s="47" t="s">
        <v>77</v>
      </c>
      <c r="J164" s="47" t="s">
        <v>32</v>
      </c>
      <c r="K164" s="59" t="s">
        <v>23</v>
      </c>
      <c r="L164" s="47" t="s">
        <v>65</v>
      </c>
      <c r="M164" s="47" t="s">
        <v>466</v>
      </c>
    </row>
    <row r="165" customHeight="1" spans="1:13">
      <c r="A165" s="47" t="s">
        <v>467</v>
      </c>
      <c r="B165" s="47" t="s">
        <v>440</v>
      </c>
      <c r="C165" s="47" t="s">
        <v>468</v>
      </c>
      <c r="D165" s="47" t="s">
        <v>16</v>
      </c>
      <c r="E165" s="47" t="s">
        <v>17</v>
      </c>
      <c r="F165" s="47" t="s">
        <v>18</v>
      </c>
      <c r="G165" s="47" t="s">
        <v>38</v>
      </c>
      <c r="H165" s="47" t="s">
        <v>20</v>
      </c>
      <c r="I165" s="47" t="s">
        <v>20</v>
      </c>
      <c r="J165" s="47" t="s">
        <v>32</v>
      </c>
      <c r="K165" s="59" t="s">
        <v>23</v>
      </c>
      <c r="L165" s="59" t="s">
        <v>23</v>
      </c>
      <c r="M165" s="47" t="s">
        <v>181</v>
      </c>
    </row>
    <row r="166" customHeight="1" spans="1:13">
      <c r="A166" s="47" t="s">
        <v>467</v>
      </c>
      <c r="B166" s="47" t="s">
        <v>440</v>
      </c>
      <c r="C166" s="47" t="s">
        <v>468</v>
      </c>
      <c r="D166" s="47" t="s">
        <v>86</v>
      </c>
      <c r="E166" s="47" t="s">
        <v>17</v>
      </c>
      <c r="F166" s="47" t="s">
        <v>18</v>
      </c>
      <c r="G166" s="47" t="s">
        <v>38</v>
      </c>
      <c r="H166" s="47" t="s">
        <v>20</v>
      </c>
      <c r="I166" s="47" t="s">
        <v>20</v>
      </c>
      <c r="J166" s="47" t="s">
        <v>32</v>
      </c>
      <c r="K166" s="59" t="s">
        <v>23</v>
      </c>
      <c r="L166" s="59" t="s">
        <v>23</v>
      </c>
      <c r="M166" s="47" t="s">
        <v>33</v>
      </c>
    </row>
    <row r="167" customHeight="1" spans="1:13">
      <c r="A167" s="47" t="s">
        <v>469</v>
      </c>
      <c r="B167" s="47" t="s">
        <v>470</v>
      </c>
      <c r="C167" s="47" t="s">
        <v>471</v>
      </c>
      <c r="D167" s="47" t="s">
        <v>213</v>
      </c>
      <c r="E167" s="47" t="s">
        <v>81</v>
      </c>
      <c r="F167" s="47" t="s">
        <v>37</v>
      </c>
      <c r="G167" s="47" t="s">
        <v>38</v>
      </c>
      <c r="H167" s="47" t="s">
        <v>82</v>
      </c>
      <c r="I167" s="47" t="s">
        <v>82</v>
      </c>
      <c r="J167" s="47" t="s">
        <v>22</v>
      </c>
      <c r="K167" s="59" t="s">
        <v>23</v>
      </c>
      <c r="L167" s="59" t="s">
        <v>23</v>
      </c>
      <c r="M167" s="47" t="s">
        <v>73</v>
      </c>
    </row>
    <row r="168" customHeight="1" spans="1:13">
      <c r="A168" s="47" t="s">
        <v>472</v>
      </c>
      <c r="B168" s="47" t="s">
        <v>440</v>
      </c>
      <c r="C168" s="47" t="s">
        <v>473</v>
      </c>
      <c r="D168" s="47" t="s">
        <v>16</v>
      </c>
      <c r="E168" s="47" t="s">
        <v>146</v>
      </c>
      <c r="F168" s="47" t="s">
        <v>28</v>
      </c>
      <c r="G168" s="47" t="s">
        <v>19</v>
      </c>
      <c r="H168" s="47" t="s">
        <v>147</v>
      </c>
      <c r="I168" s="47" t="s">
        <v>474</v>
      </c>
      <c r="J168" s="47" t="s">
        <v>22</v>
      </c>
      <c r="K168" s="59" t="s">
        <v>23</v>
      </c>
      <c r="L168" s="59" t="s">
        <v>23</v>
      </c>
      <c r="M168" s="47" t="s">
        <v>33</v>
      </c>
    </row>
    <row r="169" customHeight="1" spans="1:13">
      <c r="A169" s="47" t="s">
        <v>475</v>
      </c>
      <c r="B169" s="47" t="s">
        <v>427</v>
      </c>
      <c r="C169" s="47" t="s">
        <v>331</v>
      </c>
      <c r="D169" s="47" t="s">
        <v>16</v>
      </c>
      <c r="E169" s="47" t="s">
        <v>81</v>
      </c>
      <c r="F169" s="47" t="s">
        <v>37</v>
      </c>
      <c r="G169" s="47" t="s">
        <v>38</v>
      </c>
      <c r="H169" s="59" t="s">
        <v>23</v>
      </c>
      <c r="I169" s="47" t="s">
        <v>82</v>
      </c>
      <c r="J169" s="47" t="s">
        <v>22</v>
      </c>
      <c r="K169" s="59" t="s">
        <v>23</v>
      </c>
      <c r="L169" s="59" t="s">
        <v>23</v>
      </c>
      <c r="M169" s="47" t="s">
        <v>47</v>
      </c>
    </row>
    <row r="170" customHeight="1" spans="1:13">
      <c r="A170" s="47" t="s">
        <v>476</v>
      </c>
      <c r="B170" s="47" t="s">
        <v>477</v>
      </c>
      <c r="C170" s="47" t="s">
        <v>478</v>
      </c>
      <c r="D170" s="47" t="s">
        <v>16</v>
      </c>
      <c r="E170" s="47" t="s">
        <v>36</v>
      </c>
      <c r="F170" s="47" t="s">
        <v>37</v>
      </c>
      <c r="G170" s="47" t="s">
        <v>38</v>
      </c>
      <c r="H170" s="59" t="s">
        <v>23</v>
      </c>
      <c r="I170" s="47" t="s">
        <v>39</v>
      </c>
      <c r="J170" s="47" t="s">
        <v>22</v>
      </c>
      <c r="K170" s="59" t="s">
        <v>23</v>
      </c>
      <c r="L170" s="47" t="s">
        <v>29</v>
      </c>
      <c r="M170" s="47" t="s">
        <v>47</v>
      </c>
    </row>
    <row r="171" customHeight="1" spans="1:13">
      <c r="A171" s="47" t="s">
        <v>479</v>
      </c>
      <c r="B171" s="47" t="s">
        <v>477</v>
      </c>
      <c r="C171" s="47" t="s">
        <v>480</v>
      </c>
      <c r="D171" s="47" t="s">
        <v>16</v>
      </c>
      <c r="E171" s="47" t="s">
        <v>165</v>
      </c>
      <c r="F171" s="47" t="s">
        <v>109</v>
      </c>
      <c r="G171" s="47" t="s">
        <v>38</v>
      </c>
      <c r="H171" s="47" t="s">
        <v>82</v>
      </c>
      <c r="I171" s="47" t="s">
        <v>82</v>
      </c>
      <c r="J171" s="47" t="s">
        <v>22</v>
      </c>
      <c r="K171" s="47" t="s">
        <v>53</v>
      </c>
      <c r="L171" s="59" t="s">
        <v>23</v>
      </c>
      <c r="M171" s="47" t="s">
        <v>40</v>
      </c>
    </row>
    <row r="172" customHeight="1" spans="1:13">
      <c r="A172" s="47" t="s">
        <v>481</v>
      </c>
      <c r="B172" s="47" t="s">
        <v>477</v>
      </c>
      <c r="C172" s="47" t="s">
        <v>482</v>
      </c>
      <c r="D172" s="47" t="s">
        <v>16</v>
      </c>
      <c r="E172" s="47" t="s">
        <v>63</v>
      </c>
      <c r="F172" s="47" t="s">
        <v>18</v>
      </c>
      <c r="G172" s="47" t="s">
        <v>19</v>
      </c>
      <c r="H172" s="47" t="s">
        <v>64</v>
      </c>
      <c r="I172" s="47" t="s">
        <v>39</v>
      </c>
      <c r="J172" s="47" t="s">
        <v>22</v>
      </c>
      <c r="K172" s="59" t="s">
        <v>23</v>
      </c>
      <c r="L172" s="59" t="s">
        <v>23</v>
      </c>
      <c r="M172" s="47" t="s">
        <v>73</v>
      </c>
    </row>
    <row r="173" customHeight="1" spans="1:13">
      <c r="A173" s="47" t="s">
        <v>483</v>
      </c>
      <c r="B173" s="47" t="s">
        <v>477</v>
      </c>
      <c r="C173" s="47" t="s">
        <v>484</v>
      </c>
      <c r="D173" s="47" t="s">
        <v>16</v>
      </c>
      <c r="E173" s="47" t="s">
        <v>63</v>
      </c>
      <c r="F173" s="47" t="s">
        <v>18</v>
      </c>
      <c r="G173" s="47" t="s">
        <v>29</v>
      </c>
      <c r="H173" s="47" t="s">
        <v>64</v>
      </c>
      <c r="I173" s="47" t="s">
        <v>227</v>
      </c>
      <c r="J173" s="47" t="s">
        <v>485</v>
      </c>
      <c r="K173" s="59" t="s">
        <v>23</v>
      </c>
      <c r="L173" s="59" t="s">
        <v>23</v>
      </c>
      <c r="M173" s="47" t="s">
        <v>47</v>
      </c>
    </row>
    <row r="174" customHeight="1" spans="1:13">
      <c r="A174" s="47" t="s">
        <v>486</v>
      </c>
      <c r="B174" s="47" t="s">
        <v>487</v>
      </c>
      <c r="C174" s="47" t="s">
        <v>94</v>
      </c>
      <c r="D174" s="47" t="s">
        <v>16</v>
      </c>
      <c r="E174" s="47" t="s">
        <v>103</v>
      </c>
      <c r="F174" s="47" t="s">
        <v>37</v>
      </c>
      <c r="G174" s="47" t="s">
        <v>38</v>
      </c>
      <c r="H174" s="47" t="s">
        <v>77</v>
      </c>
      <c r="I174" s="47" t="s">
        <v>77</v>
      </c>
      <c r="J174" s="47" t="s">
        <v>22</v>
      </c>
      <c r="K174" s="59" t="s">
        <v>23</v>
      </c>
      <c r="L174" s="59" t="s">
        <v>23</v>
      </c>
      <c r="M174" s="47" t="s">
        <v>47</v>
      </c>
    </row>
    <row r="175" customHeight="1" spans="1:13">
      <c r="A175" s="47" t="s">
        <v>488</v>
      </c>
      <c r="B175" s="47" t="s">
        <v>477</v>
      </c>
      <c r="C175" s="47" t="s">
        <v>489</v>
      </c>
      <c r="D175" s="47" t="s">
        <v>16</v>
      </c>
      <c r="E175" s="47" t="s">
        <v>17</v>
      </c>
      <c r="F175" s="47" t="s">
        <v>18</v>
      </c>
      <c r="G175" s="47" t="s">
        <v>38</v>
      </c>
      <c r="H175" s="47" t="s">
        <v>20</v>
      </c>
      <c r="I175" s="47" t="s">
        <v>20</v>
      </c>
      <c r="J175" s="47" t="s">
        <v>22</v>
      </c>
      <c r="K175" s="59" t="s">
        <v>23</v>
      </c>
      <c r="L175" s="59" t="s">
        <v>23</v>
      </c>
      <c r="M175" s="47" t="s">
        <v>490</v>
      </c>
    </row>
    <row r="176" customHeight="1" spans="1:13">
      <c r="A176" s="47" t="s">
        <v>491</v>
      </c>
      <c r="B176" s="47" t="s">
        <v>492</v>
      </c>
      <c r="C176" s="47" t="s">
        <v>493</v>
      </c>
      <c r="D176" s="47" t="s">
        <v>107</v>
      </c>
      <c r="E176" s="47" t="s">
        <v>63</v>
      </c>
      <c r="F176" s="47" t="s">
        <v>18</v>
      </c>
      <c r="G176" s="47" t="s">
        <v>29</v>
      </c>
      <c r="H176" s="47" t="s">
        <v>64</v>
      </c>
      <c r="I176" s="47" t="s">
        <v>227</v>
      </c>
      <c r="J176" s="47" t="s">
        <v>22</v>
      </c>
      <c r="K176" s="59" t="s">
        <v>23</v>
      </c>
      <c r="L176" s="59" t="s">
        <v>23</v>
      </c>
      <c r="M176" s="47" t="s">
        <v>24</v>
      </c>
    </row>
    <row r="177" customHeight="1" spans="1:13">
      <c r="A177" s="47" t="s">
        <v>494</v>
      </c>
      <c r="B177" s="47" t="s">
        <v>495</v>
      </c>
      <c r="C177" s="47" t="s">
        <v>496</v>
      </c>
      <c r="D177" s="47" t="s">
        <v>107</v>
      </c>
      <c r="E177" s="47" t="s">
        <v>81</v>
      </c>
      <c r="F177" s="47" t="s">
        <v>37</v>
      </c>
      <c r="G177" s="47" t="s">
        <v>19</v>
      </c>
      <c r="H177" s="47" t="s">
        <v>82</v>
      </c>
      <c r="I177" s="47" t="s">
        <v>184</v>
      </c>
      <c r="J177" s="47" t="s">
        <v>127</v>
      </c>
      <c r="K177" s="59" t="s">
        <v>23</v>
      </c>
      <c r="L177" s="59" t="s">
        <v>23</v>
      </c>
      <c r="M177" s="47" t="s">
        <v>40</v>
      </c>
    </row>
    <row r="178" customHeight="1" spans="1:13">
      <c r="A178" s="47" t="s">
        <v>497</v>
      </c>
      <c r="B178" s="47" t="s">
        <v>492</v>
      </c>
      <c r="C178" s="47" t="s">
        <v>498</v>
      </c>
      <c r="D178" s="47" t="s">
        <v>43</v>
      </c>
      <c r="E178" s="47" t="s">
        <v>165</v>
      </c>
      <c r="F178" s="47" t="s">
        <v>109</v>
      </c>
      <c r="G178" s="47" t="s">
        <v>38</v>
      </c>
      <c r="H178" s="47" t="s">
        <v>82</v>
      </c>
      <c r="I178" s="47" t="s">
        <v>82</v>
      </c>
      <c r="J178" s="47" t="s">
        <v>22</v>
      </c>
      <c r="K178" s="59" t="s">
        <v>23</v>
      </c>
      <c r="L178" s="59" t="s">
        <v>23</v>
      </c>
      <c r="M178" s="47" t="s">
        <v>33</v>
      </c>
    </row>
    <row r="179" customHeight="1" spans="1:13">
      <c r="A179" s="47" t="s">
        <v>499</v>
      </c>
      <c r="B179" s="47" t="s">
        <v>492</v>
      </c>
      <c r="C179" s="47" t="s">
        <v>500</v>
      </c>
      <c r="D179" s="47" t="s">
        <v>71</v>
      </c>
      <c r="E179" s="47" t="s">
        <v>367</v>
      </c>
      <c r="F179" s="47" t="s">
        <v>109</v>
      </c>
      <c r="G179" s="47" t="s">
        <v>38</v>
      </c>
      <c r="H179" s="47" t="s">
        <v>110</v>
      </c>
      <c r="I179" s="47" t="s">
        <v>403</v>
      </c>
      <c r="J179" s="47" t="s">
        <v>22</v>
      </c>
      <c r="K179" s="47" t="s">
        <v>143</v>
      </c>
      <c r="L179" s="59" t="s">
        <v>23</v>
      </c>
      <c r="M179" s="47" t="s">
        <v>24</v>
      </c>
    </row>
    <row r="180" customHeight="1" spans="1:13">
      <c r="A180" s="47" t="s">
        <v>501</v>
      </c>
      <c r="B180" s="47" t="s">
        <v>502</v>
      </c>
      <c r="C180" s="47" t="s">
        <v>503</v>
      </c>
      <c r="D180" s="47" t="s">
        <v>107</v>
      </c>
      <c r="E180" s="47" t="s">
        <v>17</v>
      </c>
      <c r="F180" s="47" t="s">
        <v>18</v>
      </c>
      <c r="G180" s="47" t="s">
        <v>19</v>
      </c>
      <c r="H180" s="47" t="s">
        <v>20</v>
      </c>
      <c r="I180" s="47" t="s">
        <v>21</v>
      </c>
      <c r="J180" s="47" t="s">
        <v>22</v>
      </c>
      <c r="K180" s="59" t="s">
        <v>23</v>
      </c>
      <c r="L180" s="59" t="s">
        <v>23</v>
      </c>
      <c r="M180" s="47" t="s">
        <v>47</v>
      </c>
    </row>
    <row r="181" customHeight="1" spans="1:13">
      <c r="A181" s="47" t="s">
        <v>504</v>
      </c>
      <c r="B181" s="47" t="s">
        <v>502</v>
      </c>
      <c r="C181" s="47" t="s">
        <v>505</v>
      </c>
      <c r="D181" s="47" t="s">
        <v>107</v>
      </c>
      <c r="E181" s="47" t="s">
        <v>36</v>
      </c>
      <c r="F181" s="47" t="s">
        <v>37</v>
      </c>
      <c r="G181" s="47" t="s">
        <v>38</v>
      </c>
      <c r="H181" s="47" t="s">
        <v>39</v>
      </c>
      <c r="I181" s="59" t="s">
        <v>23</v>
      </c>
      <c r="J181" s="47" t="s">
        <v>22</v>
      </c>
      <c r="K181" s="59" t="s">
        <v>23</v>
      </c>
      <c r="L181" s="47" t="s">
        <v>65</v>
      </c>
      <c r="M181" s="47" t="s">
        <v>73</v>
      </c>
    </row>
    <row r="182" customHeight="1" spans="1:13">
      <c r="A182" s="47" t="s">
        <v>506</v>
      </c>
      <c r="B182" s="47" t="s">
        <v>502</v>
      </c>
      <c r="C182" s="47" t="s">
        <v>507</v>
      </c>
      <c r="D182" s="47" t="s">
        <v>16</v>
      </c>
      <c r="E182" s="47" t="s">
        <v>103</v>
      </c>
      <c r="F182" s="47" t="s">
        <v>37</v>
      </c>
      <c r="G182" s="47" t="s">
        <v>19</v>
      </c>
      <c r="H182" s="47" t="s">
        <v>77</v>
      </c>
      <c r="I182" s="47" t="s">
        <v>96</v>
      </c>
      <c r="J182" s="47" t="s">
        <v>22</v>
      </c>
      <c r="K182" s="47" t="s">
        <v>53</v>
      </c>
      <c r="L182" s="47" t="s">
        <v>65</v>
      </c>
      <c r="M182" s="47" t="s">
        <v>220</v>
      </c>
    </row>
    <row r="183" customHeight="1" spans="1:13">
      <c r="A183" s="47" t="s">
        <v>508</v>
      </c>
      <c r="B183" s="47" t="s">
        <v>509</v>
      </c>
      <c r="C183" s="47" t="s">
        <v>510</v>
      </c>
      <c r="D183" s="47" t="s">
        <v>43</v>
      </c>
      <c r="E183" s="47" t="s">
        <v>27</v>
      </c>
      <c r="F183" s="47" t="s">
        <v>28</v>
      </c>
      <c r="G183" s="47" t="s">
        <v>19</v>
      </c>
      <c r="H183" s="47" t="s">
        <v>30</v>
      </c>
      <c r="I183" s="47" t="s">
        <v>258</v>
      </c>
      <c r="J183" s="47" t="s">
        <v>22</v>
      </c>
      <c r="K183" s="59" t="s">
        <v>23</v>
      </c>
      <c r="L183" s="47" t="s">
        <v>65</v>
      </c>
      <c r="M183" s="47" t="s">
        <v>33</v>
      </c>
    </row>
    <row r="184" customHeight="1" spans="1:13">
      <c r="A184" s="47" t="s">
        <v>511</v>
      </c>
      <c r="B184" s="47" t="s">
        <v>502</v>
      </c>
      <c r="C184" s="47" t="s">
        <v>512</v>
      </c>
      <c r="D184" s="47" t="s">
        <v>513</v>
      </c>
      <c r="E184" s="47" t="s">
        <v>17</v>
      </c>
      <c r="F184" s="47" t="s">
        <v>514</v>
      </c>
      <c r="G184" s="47" t="s">
        <v>38</v>
      </c>
      <c r="H184" s="47" t="s">
        <v>20</v>
      </c>
      <c r="I184" s="59" t="s">
        <v>23</v>
      </c>
      <c r="J184" s="47" t="s">
        <v>32</v>
      </c>
      <c r="K184" s="47" t="s">
        <v>143</v>
      </c>
      <c r="L184" s="59" t="s">
        <v>23</v>
      </c>
      <c r="M184" s="47" t="s">
        <v>73</v>
      </c>
    </row>
    <row r="185" customHeight="1" spans="1:13">
      <c r="A185" s="47" t="s">
        <v>515</v>
      </c>
      <c r="B185" s="47" t="s">
        <v>502</v>
      </c>
      <c r="C185" s="47" t="s">
        <v>196</v>
      </c>
      <c r="D185" s="47" t="s">
        <v>16</v>
      </c>
      <c r="E185" s="47" t="s">
        <v>103</v>
      </c>
      <c r="F185" s="47" t="s">
        <v>37</v>
      </c>
      <c r="G185" s="47" t="s">
        <v>19</v>
      </c>
      <c r="H185" s="47" t="s">
        <v>77</v>
      </c>
      <c r="I185" s="59" t="s">
        <v>23</v>
      </c>
      <c r="J185" s="47" t="s">
        <v>22</v>
      </c>
      <c r="K185" s="59" t="s">
        <v>23</v>
      </c>
      <c r="L185" s="59" t="s">
        <v>23</v>
      </c>
      <c r="M185" s="47" t="s">
        <v>24</v>
      </c>
    </row>
    <row r="186" customHeight="1" spans="1:13">
      <c r="A186" s="47" t="s">
        <v>516</v>
      </c>
      <c r="B186" s="47" t="s">
        <v>502</v>
      </c>
      <c r="C186" s="47" t="s">
        <v>85</v>
      </c>
      <c r="D186" s="47" t="s">
        <v>43</v>
      </c>
      <c r="E186" s="47" t="s">
        <v>63</v>
      </c>
      <c r="F186" s="47" t="s">
        <v>18</v>
      </c>
      <c r="G186" s="47" t="s">
        <v>19</v>
      </c>
      <c r="H186" s="47" t="s">
        <v>64</v>
      </c>
      <c r="I186" s="59" t="s">
        <v>23</v>
      </c>
      <c r="J186" s="47" t="s">
        <v>22</v>
      </c>
      <c r="K186" s="59" t="s">
        <v>23</v>
      </c>
      <c r="L186" s="59" t="s">
        <v>23</v>
      </c>
      <c r="M186" s="47" t="s">
        <v>33</v>
      </c>
    </row>
    <row r="187" customHeight="1" spans="1:13">
      <c r="A187" s="47" t="s">
        <v>517</v>
      </c>
      <c r="B187" s="47" t="s">
        <v>502</v>
      </c>
      <c r="C187" s="47" t="s">
        <v>518</v>
      </c>
      <c r="D187" s="47" t="s">
        <v>16</v>
      </c>
      <c r="E187" s="47" t="s">
        <v>27</v>
      </c>
      <c r="F187" s="47" t="s">
        <v>28</v>
      </c>
      <c r="G187" s="47" t="s">
        <v>29</v>
      </c>
      <c r="H187" s="47" t="s">
        <v>30</v>
      </c>
      <c r="I187" s="59" t="s">
        <v>23</v>
      </c>
      <c r="J187" s="47" t="s">
        <v>22</v>
      </c>
      <c r="K187" s="59" t="s">
        <v>23</v>
      </c>
      <c r="L187" s="59" t="s">
        <v>23</v>
      </c>
      <c r="M187" s="47" t="s">
        <v>40</v>
      </c>
    </row>
    <row r="188" customHeight="1" spans="1:13">
      <c r="A188" s="47" t="s">
        <v>519</v>
      </c>
      <c r="B188" s="47" t="s">
        <v>502</v>
      </c>
      <c r="C188" s="47" t="s">
        <v>380</v>
      </c>
      <c r="D188" s="47" t="s">
        <v>16</v>
      </c>
      <c r="E188" s="47" t="s">
        <v>57</v>
      </c>
      <c r="F188" s="47" t="s">
        <v>28</v>
      </c>
      <c r="G188" s="47" t="s">
        <v>38</v>
      </c>
      <c r="H188" s="47" t="s">
        <v>58</v>
      </c>
      <c r="I188" s="47" t="s">
        <v>58</v>
      </c>
      <c r="J188" s="47" t="s">
        <v>22</v>
      </c>
      <c r="K188" s="59" t="s">
        <v>23</v>
      </c>
      <c r="L188" s="59" t="s">
        <v>23</v>
      </c>
      <c r="M188" s="47" t="s">
        <v>33</v>
      </c>
    </row>
    <row r="189" customHeight="1" spans="1:13">
      <c r="A189" s="47" t="s">
        <v>520</v>
      </c>
      <c r="B189" s="47" t="s">
        <v>509</v>
      </c>
      <c r="C189" s="47" t="s">
        <v>287</v>
      </c>
      <c r="D189" s="47" t="s">
        <v>43</v>
      </c>
      <c r="E189" s="47" t="s">
        <v>341</v>
      </c>
      <c r="F189" s="47" t="s">
        <v>28</v>
      </c>
      <c r="G189" s="47" t="s">
        <v>38</v>
      </c>
      <c r="H189" s="59" t="s">
        <v>23</v>
      </c>
      <c r="I189" s="47" t="s">
        <v>147</v>
      </c>
      <c r="J189" s="47" t="s">
        <v>22</v>
      </c>
      <c r="K189" s="59" t="s">
        <v>23</v>
      </c>
      <c r="L189" s="47" t="s">
        <v>54</v>
      </c>
      <c r="M189" s="47" t="s">
        <v>47</v>
      </c>
    </row>
    <row r="190" customHeight="1" spans="1:13">
      <c r="A190" s="47" t="s">
        <v>521</v>
      </c>
      <c r="B190" s="47" t="s">
        <v>502</v>
      </c>
      <c r="C190" s="47" t="s">
        <v>167</v>
      </c>
      <c r="D190" s="47" t="s">
        <v>107</v>
      </c>
      <c r="E190" s="47" t="s">
        <v>188</v>
      </c>
      <c r="F190" s="47" t="s">
        <v>37</v>
      </c>
      <c r="G190" s="47" t="s">
        <v>38</v>
      </c>
      <c r="H190" s="47" t="s">
        <v>77</v>
      </c>
      <c r="I190" s="47" t="s">
        <v>77</v>
      </c>
      <c r="J190" s="47" t="s">
        <v>22</v>
      </c>
      <c r="K190" s="59" t="s">
        <v>23</v>
      </c>
      <c r="L190" s="59" t="s">
        <v>23</v>
      </c>
      <c r="M190" s="47" t="s">
        <v>33</v>
      </c>
    </row>
    <row r="191" customHeight="1" spans="1:13">
      <c r="A191" s="47" t="s">
        <v>522</v>
      </c>
      <c r="B191" s="47" t="s">
        <v>523</v>
      </c>
      <c r="C191" s="47" t="s">
        <v>524</v>
      </c>
      <c r="D191" s="47" t="s">
        <v>43</v>
      </c>
      <c r="E191" s="47" t="s">
        <v>367</v>
      </c>
      <c r="F191" s="47" t="s">
        <v>109</v>
      </c>
      <c r="G191" s="47" t="s">
        <v>19</v>
      </c>
      <c r="H191" s="47" t="s">
        <v>110</v>
      </c>
      <c r="I191" s="47" t="s">
        <v>525</v>
      </c>
      <c r="J191" s="47" t="s">
        <v>22</v>
      </c>
      <c r="K191" s="47" t="s">
        <v>53</v>
      </c>
      <c r="L191" s="59" t="s">
        <v>23</v>
      </c>
      <c r="M191" s="47" t="s">
        <v>24</v>
      </c>
    </row>
    <row r="192" customHeight="1" spans="1:13">
      <c r="A192" s="47" t="s">
        <v>526</v>
      </c>
      <c r="B192" s="47" t="s">
        <v>523</v>
      </c>
      <c r="C192" s="47" t="s">
        <v>319</v>
      </c>
      <c r="D192" s="47" t="s">
        <v>16</v>
      </c>
      <c r="E192" s="47" t="s">
        <v>103</v>
      </c>
      <c r="F192" s="47" t="s">
        <v>37</v>
      </c>
      <c r="G192" s="47" t="s">
        <v>38</v>
      </c>
      <c r="H192" s="47" t="s">
        <v>77</v>
      </c>
      <c r="I192" s="47" t="s">
        <v>77</v>
      </c>
      <c r="J192" s="47" t="s">
        <v>22</v>
      </c>
      <c r="K192" s="59" t="s">
        <v>23</v>
      </c>
      <c r="L192" s="59" t="s">
        <v>23</v>
      </c>
      <c r="M192" s="47" t="s">
        <v>437</v>
      </c>
    </row>
    <row r="193" customHeight="1" spans="1:13">
      <c r="A193" s="47" t="s">
        <v>527</v>
      </c>
      <c r="B193" s="47" t="s">
        <v>523</v>
      </c>
      <c r="C193" s="47" t="s">
        <v>113</v>
      </c>
      <c r="D193" s="47" t="s">
        <v>107</v>
      </c>
      <c r="E193" s="47" t="s">
        <v>165</v>
      </c>
      <c r="F193" s="47" t="s">
        <v>109</v>
      </c>
      <c r="G193" s="47" t="s">
        <v>29</v>
      </c>
      <c r="H193" s="47" t="s">
        <v>82</v>
      </c>
      <c r="I193" s="47" t="s">
        <v>58</v>
      </c>
      <c r="J193" s="47" t="s">
        <v>32</v>
      </c>
      <c r="K193" s="59" t="s">
        <v>23</v>
      </c>
      <c r="L193" s="47" t="s">
        <v>29</v>
      </c>
      <c r="M193" s="47" t="s">
        <v>33</v>
      </c>
    </row>
    <row r="194" customHeight="1" spans="1:13">
      <c r="A194" s="47" t="s">
        <v>528</v>
      </c>
      <c r="B194" s="47" t="s">
        <v>523</v>
      </c>
      <c r="C194" s="47" t="s">
        <v>529</v>
      </c>
      <c r="D194" s="47" t="s">
        <v>16</v>
      </c>
      <c r="E194" s="47" t="s">
        <v>44</v>
      </c>
      <c r="F194" s="47" t="s">
        <v>45</v>
      </c>
      <c r="G194" s="47" t="s">
        <v>38</v>
      </c>
      <c r="H194" s="47" t="s">
        <v>46</v>
      </c>
      <c r="I194" s="47" t="s">
        <v>46</v>
      </c>
      <c r="J194" s="47" t="s">
        <v>22</v>
      </c>
      <c r="K194" s="59" t="s">
        <v>23</v>
      </c>
      <c r="L194" s="47" t="s">
        <v>65</v>
      </c>
      <c r="M194" s="47" t="s">
        <v>47</v>
      </c>
    </row>
    <row r="195" customHeight="1" spans="1:13">
      <c r="A195" s="47" t="s">
        <v>530</v>
      </c>
      <c r="B195" s="47" t="s">
        <v>523</v>
      </c>
      <c r="C195" s="47" t="s">
        <v>531</v>
      </c>
      <c r="D195" s="47" t="s">
        <v>43</v>
      </c>
      <c r="E195" s="47" t="s">
        <v>81</v>
      </c>
      <c r="F195" s="47" t="s">
        <v>37</v>
      </c>
      <c r="G195" s="47" t="s">
        <v>38</v>
      </c>
      <c r="H195" s="47" t="s">
        <v>82</v>
      </c>
      <c r="I195" s="47" t="s">
        <v>532</v>
      </c>
      <c r="J195" s="47" t="s">
        <v>22</v>
      </c>
      <c r="K195" s="47" t="s">
        <v>119</v>
      </c>
      <c r="L195" s="47" t="s">
        <v>19</v>
      </c>
      <c r="M195" s="47" t="s">
        <v>47</v>
      </c>
    </row>
    <row r="196" customHeight="1" spans="1:13">
      <c r="A196" s="47" t="s">
        <v>533</v>
      </c>
      <c r="B196" s="47" t="s">
        <v>534</v>
      </c>
      <c r="C196" s="47" t="s">
        <v>535</v>
      </c>
      <c r="D196" s="47" t="s">
        <v>43</v>
      </c>
      <c r="E196" s="47" t="s">
        <v>44</v>
      </c>
      <c r="F196" s="47" t="s">
        <v>45</v>
      </c>
      <c r="G196" s="47" t="s">
        <v>19</v>
      </c>
      <c r="H196" s="47" t="s">
        <v>46</v>
      </c>
      <c r="I196" s="59" t="s">
        <v>23</v>
      </c>
      <c r="J196" s="47" t="s">
        <v>22</v>
      </c>
      <c r="K196" s="59" t="s">
        <v>23</v>
      </c>
      <c r="L196" s="47" t="s">
        <v>29</v>
      </c>
      <c r="M196" s="47" t="s">
        <v>33</v>
      </c>
    </row>
    <row r="197" customHeight="1" spans="1:13">
      <c r="A197" s="47" t="s">
        <v>536</v>
      </c>
      <c r="B197" s="47" t="s">
        <v>537</v>
      </c>
      <c r="C197" s="47" t="s">
        <v>538</v>
      </c>
      <c r="D197" s="47" t="s">
        <v>16</v>
      </c>
      <c r="E197" s="47" t="s">
        <v>103</v>
      </c>
      <c r="F197" s="59" t="s">
        <v>23</v>
      </c>
      <c r="G197" s="47" t="s">
        <v>19</v>
      </c>
      <c r="H197" s="47" t="s">
        <v>77</v>
      </c>
      <c r="I197" s="47" t="s">
        <v>96</v>
      </c>
      <c r="J197" s="47" t="s">
        <v>22</v>
      </c>
      <c r="K197" s="59" t="s">
        <v>23</v>
      </c>
      <c r="L197" s="47" t="s">
        <v>65</v>
      </c>
      <c r="M197" s="47" t="s">
        <v>33</v>
      </c>
    </row>
    <row r="198" customHeight="1" spans="1:13">
      <c r="A198" s="47" t="s">
        <v>539</v>
      </c>
      <c r="B198" s="47" t="s">
        <v>537</v>
      </c>
      <c r="C198" s="47" t="s">
        <v>540</v>
      </c>
      <c r="D198" s="47" t="s">
        <v>107</v>
      </c>
      <c r="E198" s="47" t="s">
        <v>27</v>
      </c>
      <c r="F198" s="47" t="s">
        <v>28</v>
      </c>
      <c r="G198" s="47" t="s">
        <v>19</v>
      </c>
      <c r="H198" s="47" t="s">
        <v>30</v>
      </c>
      <c r="I198" s="47" t="s">
        <v>258</v>
      </c>
      <c r="J198" s="47" t="s">
        <v>32</v>
      </c>
      <c r="K198" s="59" t="s">
        <v>23</v>
      </c>
      <c r="L198" s="59" t="s">
        <v>23</v>
      </c>
      <c r="M198" s="47" t="s">
        <v>33</v>
      </c>
    </row>
    <row r="199" customHeight="1" spans="1:13">
      <c r="A199" s="47" t="s">
        <v>541</v>
      </c>
      <c r="B199" s="47" t="s">
        <v>534</v>
      </c>
      <c r="C199" s="47" t="s">
        <v>542</v>
      </c>
      <c r="D199" s="47" t="s">
        <v>16</v>
      </c>
      <c r="E199" s="47" t="s">
        <v>36</v>
      </c>
      <c r="F199" s="47" t="s">
        <v>37</v>
      </c>
      <c r="G199" s="47" t="s">
        <v>38</v>
      </c>
      <c r="H199" s="47" t="s">
        <v>39</v>
      </c>
      <c r="I199" s="47" t="s">
        <v>39</v>
      </c>
      <c r="J199" s="47" t="s">
        <v>22</v>
      </c>
      <c r="K199" s="59" t="s">
        <v>23</v>
      </c>
      <c r="L199" s="59" t="s">
        <v>23</v>
      </c>
      <c r="M199" s="47" t="s">
        <v>40</v>
      </c>
    </row>
    <row r="200" customHeight="1" spans="1:13">
      <c r="A200" s="47" t="s">
        <v>543</v>
      </c>
      <c r="B200" s="47" t="s">
        <v>534</v>
      </c>
      <c r="C200" s="47" t="s">
        <v>544</v>
      </c>
      <c r="D200" s="47" t="s">
        <v>125</v>
      </c>
      <c r="E200" s="47" t="s">
        <v>81</v>
      </c>
      <c r="F200" s="47" t="s">
        <v>37</v>
      </c>
      <c r="G200" s="47" t="s">
        <v>19</v>
      </c>
      <c r="H200" s="47" t="s">
        <v>82</v>
      </c>
      <c r="I200" s="47" t="s">
        <v>184</v>
      </c>
      <c r="J200" s="47" t="s">
        <v>22</v>
      </c>
      <c r="K200" s="59" t="s">
        <v>23</v>
      </c>
      <c r="L200" s="47" t="s">
        <v>65</v>
      </c>
      <c r="M200" s="47" t="s">
        <v>33</v>
      </c>
    </row>
    <row r="201" customHeight="1" spans="1:13">
      <c r="A201" s="47" t="s">
        <v>545</v>
      </c>
      <c r="B201" s="47" t="s">
        <v>534</v>
      </c>
      <c r="C201" s="47" t="s">
        <v>546</v>
      </c>
      <c r="D201" s="47" t="s">
        <v>16</v>
      </c>
      <c r="E201" s="47" t="s">
        <v>81</v>
      </c>
      <c r="F201" s="47" t="s">
        <v>37</v>
      </c>
      <c r="G201" s="47" t="s">
        <v>38</v>
      </c>
      <c r="H201" s="47" t="s">
        <v>82</v>
      </c>
      <c r="I201" s="47" t="s">
        <v>82</v>
      </c>
      <c r="J201" s="47" t="s">
        <v>32</v>
      </c>
      <c r="K201" s="47" t="s">
        <v>143</v>
      </c>
      <c r="L201" s="59" t="s">
        <v>23</v>
      </c>
      <c r="M201" s="47" t="s">
        <v>24</v>
      </c>
    </row>
    <row r="202" customHeight="1" spans="1:13">
      <c r="A202" s="47" t="s">
        <v>547</v>
      </c>
      <c r="B202" s="47" t="s">
        <v>534</v>
      </c>
      <c r="C202" s="47" t="s">
        <v>548</v>
      </c>
      <c r="D202" s="47" t="s">
        <v>71</v>
      </c>
      <c r="E202" s="47" t="s">
        <v>44</v>
      </c>
      <c r="F202" s="47" t="s">
        <v>45</v>
      </c>
      <c r="G202" s="47" t="s">
        <v>38</v>
      </c>
      <c r="H202" s="47" t="s">
        <v>46</v>
      </c>
      <c r="I202" s="47" t="s">
        <v>46</v>
      </c>
      <c r="J202" s="47" t="s">
        <v>22</v>
      </c>
      <c r="K202" s="59" t="s">
        <v>23</v>
      </c>
      <c r="L202" s="47" t="s">
        <v>65</v>
      </c>
      <c r="M202" s="47" t="s">
        <v>33</v>
      </c>
    </row>
    <row r="203" customHeight="1" spans="1:13">
      <c r="A203" s="47" t="s">
        <v>549</v>
      </c>
      <c r="B203" s="47" t="s">
        <v>534</v>
      </c>
      <c r="C203" s="47" t="s">
        <v>518</v>
      </c>
      <c r="D203" s="47" t="s">
        <v>16</v>
      </c>
      <c r="E203" s="47" t="s">
        <v>396</v>
      </c>
      <c r="F203" s="47" t="s">
        <v>18</v>
      </c>
      <c r="G203" s="47" t="s">
        <v>19</v>
      </c>
      <c r="H203" s="47" t="s">
        <v>64</v>
      </c>
      <c r="I203" s="47" t="s">
        <v>332</v>
      </c>
      <c r="J203" s="47" t="s">
        <v>22</v>
      </c>
      <c r="K203" s="47" t="s">
        <v>53</v>
      </c>
      <c r="L203" s="59" t="s">
        <v>23</v>
      </c>
      <c r="M203" s="47" t="s">
        <v>47</v>
      </c>
    </row>
    <row r="204" customHeight="1" spans="1:13">
      <c r="A204" s="47" t="s">
        <v>550</v>
      </c>
      <c r="B204" s="47" t="s">
        <v>534</v>
      </c>
      <c r="C204" s="47" t="s">
        <v>67</v>
      </c>
      <c r="D204" s="47" t="s">
        <v>16</v>
      </c>
      <c r="E204" s="47" t="s">
        <v>44</v>
      </c>
      <c r="F204" s="47" t="s">
        <v>45</v>
      </c>
      <c r="G204" s="47" t="s">
        <v>38</v>
      </c>
      <c r="H204" s="47" t="s">
        <v>46</v>
      </c>
      <c r="I204" s="59" t="s">
        <v>23</v>
      </c>
      <c r="J204" s="47" t="s">
        <v>32</v>
      </c>
      <c r="K204" s="47" t="s">
        <v>119</v>
      </c>
      <c r="L204" s="59" t="s">
        <v>23</v>
      </c>
      <c r="M204" s="47" t="s">
        <v>33</v>
      </c>
    </row>
    <row r="205" customHeight="1" spans="1:13">
      <c r="A205" s="47" t="s">
        <v>551</v>
      </c>
      <c r="B205" s="47" t="s">
        <v>534</v>
      </c>
      <c r="C205" s="47" t="s">
        <v>198</v>
      </c>
      <c r="D205" s="47" t="s">
        <v>16</v>
      </c>
      <c r="E205" s="47" t="s">
        <v>44</v>
      </c>
      <c r="F205" s="47" t="s">
        <v>45</v>
      </c>
      <c r="G205" s="59" t="s">
        <v>23</v>
      </c>
      <c r="H205" s="59" t="s">
        <v>23</v>
      </c>
      <c r="I205" s="47" t="s">
        <v>46</v>
      </c>
      <c r="J205" s="47" t="s">
        <v>22</v>
      </c>
      <c r="K205" s="59" t="s">
        <v>23</v>
      </c>
      <c r="L205" s="59" t="s">
        <v>23</v>
      </c>
      <c r="M205" s="47" t="s">
        <v>33</v>
      </c>
    </row>
    <row r="206" customHeight="1" spans="1:13">
      <c r="A206" s="47" t="s">
        <v>551</v>
      </c>
      <c r="B206" s="47" t="s">
        <v>534</v>
      </c>
      <c r="C206" s="47" t="s">
        <v>198</v>
      </c>
      <c r="D206" s="47" t="s">
        <v>16</v>
      </c>
      <c r="E206" s="47" t="s">
        <v>44</v>
      </c>
      <c r="F206" s="47" t="s">
        <v>45</v>
      </c>
      <c r="G206" s="47" t="s">
        <v>38</v>
      </c>
      <c r="H206" s="47" t="s">
        <v>46</v>
      </c>
      <c r="I206" s="47" t="s">
        <v>46</v>
      </c>
      <c r="J206" s="47" t="s">
        <v>22</v>
      </c>
      <c r="K206" s="59" t="s">
        <v>23</v>
      </c>
      <c r="L206" s="59" t="s">
        <v>23</v>
      </c>
      <c r="M206" s="47" t="s">
        <v>320</v>
      </c>
    </row>
    <row r="207" customHeight="1" spans="1:13">
      <c r="A207" s="47" t="s">
        <v>552</v>
      </c>
      <c r="B207" s="47" t="s">
        <v>534</v>
      </c>
      <c r="C207" s="47" t="s">
        <v>553</v>
      </c>
      <c r="D207" s="47" t="s">
        <v>43</v>
      </c>
      <c r="E207" s="47" t="s">
        <v>63</v>
      </c>
      <c r="F207" s="47" t="s">
        <v>18</v>
      </c>
      <c r="G207" s="47" t="s">
        <v>38</v>
      </c>
      <c r="H207" s="47" t="s">
        <v>64</v>
      </c>
      <c r="I207" s="47" t="s">
        <v>64</v>
      </c>
      <c r="J207" s="47" t="s">
        <v>32</v>
      </c>
      <c r="K207" s="59" t="s">
        <v>23</v>
      </c>
      <c r="L207" s="59" t="s">
        <v>23</v>
      </c>
      <c r="M207" s="47" t="s">
        <v>47</v>
      </c>
    </row>
    <row r="208" customHeight="1" spans="1:13">
      <c r="A208" s="47" t="s">
        <v>554</v>
      </c>
      <c r="B208" s="47" t="s">
        <v>555</v>
      </c>
      <c r="C208" s="47" t="s">
        <v>338</v>
      </c>
      <c r="D208" s="47" t="s">
        <v>16</v>
      </c>
      <c r="E208" s="47" t="s">
        <v>367</v>
      </c>
      <c r="F208" s="47" t="s">
        <v>109</v>
      </c>
      <c r="G208" s="47" t="s">
        <v>38</v>
      </c>
      <c r="H208" s="47" t="s">
        <v>110</v>
      </c>
      <c r="I208" s="47" t="s">
        <v>110</v>
      </c>
      <c r="J208" s="47" t="s">
        <v>556</v>
      </c>
      <c r="K208" s="59" t="s">
        <v>23</v>
      </c>
      <c r="L208" s="47" t="s">
        <v>65</v>
      </c>
      <c r="M208" s="47" t="s">
        <v>24</v>
      </c>
    </row>
    <row r="209" customHeight="1" spans="1:13">
      <c r="A209" s="47" t="s">
        <v>557</v>
      </c>
      <c r="B209" s="47" t="s">
        <v>558</v>
      </c>
      <c r="C209" s="47" t="s">
        <v>559</v>
      </c>
      <c r="D209" s="47" t="s">
        <v>16</v>
      </c>
      <c r="E209" s="47" t="s">
        <v>81</v>
      </c>
      <c r="F209" s="47" t="s">
        <v>37</v>
      </c>
      <c r="G209" s="47" t="s">
        <v>38</v>
      </c>
      <c r="H209" s="47" t="s">
        <v>82</v>
      </c>
      <c r="I209" s="47" t="s">
        <v>82</v>
      </c>
      <c r="J209" s="47" t="s">
        <v>22</v>
      </c>
      <c r="K209" s="59" t="s">
        <v>23</v>
      </c>
      <c r="L209" s="47" t="s">
        <v>65</v>
      </c>
      <c r="M209" s="47" t="s">
        <v>40</v>
      </c>
    </row>
    <row r="210" customHeight="1" spans="1:13">
      <c r="A210" s="47" t="s">
        <v>560</v>
      </c>
      <c r="B210" s="47" t="s">
        <v>555</v>
      </c>
      <c r="C210" s="47" t="s">
        <v>449</v>
      </c>
      <c r="D210" s="47" t="s">
        <v>107</v>
      </c>
      <c r="E210" s="47" t="s">
        <v>17</v>
      </c>
      <c r="F210" s="47" t="s">
        <v>18</v>
      </c>
      <c r="G210" s="47" t="s">
        <v>38</v>
      </c>
      <c r="H210" s="47" t="s">
        <v>20</v>
      </c>
      <c r="I210" s="47" t="s">
        <v>20</v>
      </c>
      <c r="J210" s="47" t="s">
        <v>22</v>
      </c>
      <c r="K210" s="59" t="s">
        <v>23</v>
      </c>
      <c r="L210" s="47" t="s">
        <v>65</v>
      </c>
      <c r="M210" s="47" t="s">
        <v>47</v>
      </c>
    </row>
    <row r="211" customHeight="1" spans="1:13">
      <c r="A211" s="47" t="s">
        <v>561</v>
      </c>
      <c r="B211" s="47" t="s">
        <v>558</v>
      </c>
      <c r="C211" s="47" t="s">
        <v>562</v>
      </c>
      <c r="D211" s="47" t="s">
        <v>16</v>
      </c>
      <c r="E211" s="47" t="s">
        <v>563</v>
      </c>
      <c r="F211" s="47" t="s">
        <v>45</v>
      </c>
      <c r="G211" s="47" t="s">
        <v>38</v>
      </c>
      <c r="H211" s="47" t="s">
        <v>77</v>
      </c>
      <c r="I211" s="47" t="s">
        <v>77</v>
      </c>
      <c r="J211" s="47" t="s">
        <v>127</v>
      </c>
      <c r="K211" s="59" t="s">
        <v>23</v>
      </c>
      <c r="L211" s="59" t="s">
        <v>23</v>
      </c>
      <c r="M211" s="47" t="s">
        <v>73</v>
      </c>
    </row>
    <row r="212" customHeight="1" spans="1:13">
      <c r="A212" s="47" t="s">
        <v>564</v>
      </c>
      <c r="B212" s="47" t="s">
        <v>555</v>
      </c>
      <c r="C212" s="47" t="s">
        <v>565</v>
      </c>
      <c r="D212" s="47" t="s">
        <v>16</v>
      </c>
      <c r="E212" s="47" t="s">
        <v>165</v>
      </c>
      <c r="F212" s="47" t="s">
        <v>109</v>
      </c>
      <c r="G212" s="47" t="s">
        <v>38</v>
      </c>
      <c r="H212" s="47" t="s">
        <v>82</v>
      </c>
      <c r="I212" s="47" t="s">
        <v>82</v>
      </c>
      <c r="J212" s="47" t="s">
        <v>22</v>
      </c>
      <c r="K212" s="59" t="s">
        <v>23</v>
      </c>
      <c r="L212" s="47" t="s">
        <v>65</v>
      </c>
      <c r="M212" s="47" t="s">
        <v>40</v>
      </c>
    </row>
    <row r="213" customHeight="1" spans="1:13">
      <c r="A213" s="47" t="s">
        <v>566</v>
      </c>
      <c r="B213" s="47" t="s">
        <v>567</v>
      </c>
      <c r="C213" s="47" t="s">
        <v>314</v>
      </c>
      <c r="D213" s="47" t="s">
        <v>16</v>
      </c>
      <c r="E213" s="47" t="s">
        <v>50</v>
      </c>
      <c r="F213" s="47" t="s">
        <v>28</v>
      </c>
      <c r="G213" s="47" t="s">
        <v>38</v>
      </c>
      <c r="H213" s="47" t="s">
        <v>52</v>
      </c>
      <c r="I213" s="47" t="s">
        <v>52</v>
      </c>
      <c r="J213" s="47" t="s">
        <v>22</v>
      </c>
      <c r="K213" s="59" t="s">
        <v>23</v>
      </c>
      <c r="L213" s="59" t="s">
        <v>23</v>
      </c>
      <c r="M213" s="47" t="s">
        <v>292</v>
      </c>
    </row>
    <row r="214" customHeight="1" spans="1:13">
      <c r="A214" s="47" t="s">
        <v>568</v>
      </c>
      <c r="B214" s="47" t="s">
        <v>555</v>
      </c>
      <c r="C214" s="47" t="s">
        <v>569</v>
      </c>
      <c r="D214" s="47" t="s">
        <v>107</v>
      </c>
      <c r="E214" s="47" t="s">
        <v>563</v>
      </c>
      <c r="F214" s="47" t="s">
        <v>570</v>
      </c>
      <c r="G214" s="47" t="s">
        <v>38</v>
      </c>
      <c r="H214" s="47" t="s">
        <v>77</v>
      </c>
      <c r="I214" s="47" t="s">
        <v>416</v>
      </c>
      <c r="J214" s="47" t="s">
        <v>32</v>
      </c>
      <c r="K214" s="59" t="s">
        <v>23</v>
      </c>
      <c r="L214" s="47" t="s">
        <v>54</v>
      </c>
      <c r="M214" s="47" t="s">
        <v>47</v>
      </c>
    </row>
    <row r="215" customHeight="1" spans="1:13">
      <c r="A215" s="47" t="s">
        <v>571</v>
      </c>
      <c r="B215" s="47" t="s">
        <v>567</v>
      </c>
      <c r="C215" s="47" t="s">
        <v>229</v>
      </c>
      <c r="D215" s="47" t="s">
        <v>107</v>
      </c>
      <c r="E215" s="47" t="s">
        <v>63</v>
      </c>
      <c r="F215" s="47" t="s">
        <v>18</v>
      </c>
      <c r="G215" s="47" t="s">
        <v>38</v>
      </c>
      <c r="H215" s="47" t="s">
        <v>64</v>
      </c>
      <c r="I215" s="47" t="s">
        <v>64</v>
      </c>
      <c r="J215" s="47" t="s">
        <v>32</v>
      </c>
      <c r="K215" s="59" t="s">
        <v>23</v>
      </c>
      <c r="L215" s="47" t="s">
        <v>65</v>
      </c>
      <c r="M215" s="47" t="s">
        <v>33</v>
      </c>
    </row>
    <row r="216" customHeight="1" spans="1:13">
      <c r="A216" s="47" t="s">
        <v>572</v>
      </c>
      <c r="B216" s="47" t="s">
        <v>555</v>
      </c>
      <c r="C216" s="47" t="s">
        <v>573</v>
      </c>
      <c r="D216" s="47" t="s">
        <v>107</v>
      </c>
      <c r="E216" s="47" t="s">
        <v>57</v>
      </c>
      <c r="F216" s="47" t="s">
        <v>28</v>
      </c>
      <c r="G216" s="47" t="s">
        <v>38</v>
      </c>
      <c r="H216" s="47" t="s">
        <v>58</v>
      </c>
      <c r="I216" s="47" t="s">
        <v>58</v>
      </c>
      <c r="J216" s="47" t="s">
        <v>22</v>
      </c>
      <c r="K216" s="59" t="s">
        <v>23</v>
      </c>
      <c r="L216" s="47" t="s">
        <v>65</v>
      </c>
      <c r="M216" s="47" t="s">
        <v>574</v>
      </c>
    </row>
    <row r="217" customHeight="1" spans="1:13">
      <c r="A217" s="47" t="s">
        <v>575</v>
      </c>
      <c r="B217" s="47" t="s">
        <v>555</v>
      </c>
      <c r="C217" s="47" t="s">
        <v>576</v>
      </c>
      <c r="D217" s="47" t="s">
        <v>107</v>
      </c>
      <c r="E217" s="47" t="s">
        <v>63</v>
      </c>
      <c r="F217" s="47" t="s">
        <v>18</v>
      </c>
      <c r="G217" s="47" t="s">
        <v>38</v>
      </c>
      <c r="H217" s="47" t="s">
        <v>64</v>
      </c>
      <c r="I217" s="47" t="s">
        <v>64</v>
      </c>
      <c r="J217" s="47" t="s">
        <v>32</v>
      </c>
      <c r="K217" s="59" t="s">
        <v>23</v>
      </c>
      <c r="L217" s="59" t="s">
        <v>23</v>
      </c>
      <c r="M217" s="47" t="s">
        <v>577</v>
      </c>
    </row>
    <row r="218" customHeight="1" spans="1:13">
      <c r="A218" s="47" t="s">
        <v>578</v>
      </c>
      <c r="B218" s="47" t="s">
        <v>555</v>
      </c>
      <c r="C218" s="47" t="s">
        <v>380</v>
      </c>
      <c r="D218" s="47" t="s">
        <v>16</v>
      </c>
      <c r="E218" s="47" t="s">
        <v>27</v>
      </c>
      <c r="F218" s="47" t="s">
        <v>28</v>
      </c>
      <c r="G218" s="47" t="s">
        <v>19</v>
      </c>
      <c r="H218" s="47" t="s">
        <v>30</v>
      </c>
      <c r="I218" s="47" t="s">
        <v>258</v>
      </c>
      <c r="J218" s="47" t="s">
        <v>32</v>
      </c>
      <c r="K218" s="59" t="s">
        <v>23</v>
      </c>
      <c r="L218" s="47" t="s">
        <v>54</v>
      </c>
      <c r="M218" s="47" t="s">
        <v>73</v>
      </c>
    </row>
    <row r="219" customHeight="1" spans="1:13">
      <c r="A219" s="47" t="s">
        <v>579</v>
      </c>
      <c r="B219" s="47" t="s">
        <v>555</v>
      </c>
      <c r="C219" s="47" t="s">
        <v>580</v>
      </c>
      <c r="D219" s="47" t="s">
        <v>16</v>
      </c>
      <c r="E219" s="47" t="s">
        <v>50</v>
      </c>
      <c r="F219" s="47" t="s">
        <v>28</v>
      </c>
      <c r="G219" s="47" t="s">
        <v>19</v>
      </c>
      <c r="H219" s="47" t="s">
        <v>52</v>
      </c>
      <c r="I219" s="47" t="s">
        <v>425</v>
      </c>
      <c r="J219" s="47" t="s">
        <v>22</v>
      </c>
      <c r="K219" s="59" t="s">
        <v>23</v>
      </c>
      <c r="L219" s="59" t="s">
        <v>23</v>
      </c>
      <c r="M219" s="47" t="s">
        <v>99</v>
      </c>
    </row>
    <row r="220" customHeight="1" spans="1:13">
      <c r="A220" s="47" t="s">
        <v>581</v>
      </c>
      <c r="B220" s="47" t="s">
        <v>567</v>
      </c>
      <c r="C220" s="47" t="s">
        <v>582</v>
      </c>
      <c r="D220" s="47" t="s">
        <v>16</v>
      </c>
      <c r="E220" s="47" t="s">
        <v>367</v>
      </c>
      <c r="F220" s="59" t="s">
        <v>23</v>
      </c>
      <c r="G220" s="47" t="s">
        <v>19</v>
      </c>
      <c r="H220" s="47" t="s">
        <v>110</v>
      </c>
      <c r="I220" s="47" t="s">
        <v>357</v>
      </c>
      <c r="J220" s="47" t="s">
        <v>22</v>
      </c>
      <c r="K220" s="59" t="s">
        <v>23</v>
      </c>
      <c r="L220" s="47" t="s">
        <v>54</v>
      </c>
      <c r="M220" s="47" t="s">
        <v>47</v>
      </c>
    </row>
    <row r="221" customHeight="1" spans="1:13">
      <c r="A221" s="47" t="s">
        <v>581</v>
      </c>
      <c r="B221" s="47" t="s">
        <v>555</v>
      </c>
      <c r="C221" s="47" t="s">
        <v>582</v>
      </c>
      <c r="D221" s="47" t="s">
        <v>16</v>
      </c>
      <c r="E221" s="47" t="s">
        <v>367</v>
      </c>
      <c r="F221" s="47" t="s">
        <v>109</v>
      </c>
      <c r="G221" s="47" t="s">
        <v>19</v>
      </c>
      <c r="H221" s="47" t="s">
        <v>110</v>
      </c>
      <c r="I221" s="47" t="s">
        <v>357</v>
      </c>
      <c r="J221" s="47" t="s">
        <v>22</v>
      </c>
      <c r="K221" s="59" t="s">
        <v>23</v>
      </c>
      <c r="L221" s="47" t="s">
        <v>54</v>
      </c>
      <c r="M221" s="47" t="s">
        <v>47</v>
      </c>
    </row>
    <row r="222" customHeight="1" spans="1:13">
      <c r="A222" s="47" t="s">
        <v>583</v>
      </c>
      <c r="B222" s="47" t="s">
        <v>555</v>
      </c>
      <c r="C222" s="47" t="s">
        <v>584</v>
      </c>
      <c r="D222" s="47" t="s">
        <v>16</v>
      </c>
      <c r="E222" s="47" t="s">
        <v>81</v>
      </c>
      <c r="F222" s="47" t="s">
        <v>37</v>
      </c>
      <c r="G222" s="47" t="s">
        <v>38</v>
      </c>
      <c r="H222" s="47" t="s">
        <v>82</v>
      </c>
      <c r="I222" s="47" t="s">
        <v>82</v>
      </c>
      <c r="J222" s="47" t="s">
        <v>22</v>
      </c>
      <c r="K222" s="59" t="s">
        <v>23</v>
      </c>
      <c r="L222" s="59" t="s">
        <v>23</v>
      </c>
      <c r="M222" s="47" t="s">
        <v>73</v>
      </c>
    </row>
    <row r="223" customHeight="1" spans="1:13">
      <c r="A223" s="47" t="s">
        <v>585</v>
      </c>
      <c r="B223" s="47" t="s">
        <v>555</v>
      </c>
      <c r="C223" s="47" t="s">
        <v>586</v>
      </c>
      <c r="D223" s="47" t="s">
        <v>107</v>
      </c>
      <c r="E223" s="47" t="s">
        <v>95</v>
      </c>
      <c r="F223" s="47" t="s">
        <v>45</v>
      </c>
      <c r="G223" s="47" t="s">
        <v>19</v>
      </c>
      <c r="H223" s="47" t="s">
        <v>77</v>
      </c>
      <c r="I223" s="47" t="s">
        <v>96</v>
      </c>
      <c r="J223" s="47" t="s">
        <v>22</v>
      </c>
      <c r="K223" s="59" t="s">
        <v>23</v>
      </c>
      <c r="L223" s="59" t="s">
        <v>23</v>
      </c>
      <c r="M223" s="47" t="s">
        <v>33</v>
      </c>
    </row>
    <row r="224" customHeight="1" spans="1:13">
      <c r="A224" s="47" t="s">
        <v>587</v>
      </c>
      <c r="B224" s="47" t="s">
        <v>555</v>
      </c>
      <c r="C224" s="47" t="s">
        <v>588</v>
      </c>
      <c r="D224" s="47" t="s">
        <v>107</v>
      </c>
      <c r="E224" s="47" t="s">
        <v>36</v>
      </c>
      <c r="F224" s="47" t="s">
        <v>37</v>
      </c>
      <c r="G224" s="47" t="s">
        <v>38</v>
      </c>
      <c r="H224" s="47" t="s">
        <v>39</v>
      </c>
      <c r="I224" s="47" t="s">
        <v>39</v>
      </c>
      <c r="J224" s="47" t="s">
        <v>22</v>
      </c>
      <c r="K224" s="59" t="s">
        <v>23</v>
      </c>
      <c r="L224" s="59" t="s">
        <v>23</v>
      </c>
      <c r="M224" s="47" t="s">
        <v>157</v>
      </c>
    </row>
    <row r="225" customHeight="1" spans="1:13">
      <c r="A225" s="47" t="s">
        <v>589</v>
      </c>
      <c r="B225" s="47" t="s">
        <v>555</v>
      </c>
      <c r="C225" s="47" t="s">
        <v>468</v>
      </c>
      <c r="D225" s="47" t="s">
        <v>16</v>
      </c>
      <c r="E225" s="47" t="s">
        <v>57</v>
      </c>
      <c r="F225" s="47" t="s">
        <v>28</v>
      </c>
      <c r="G225" s="47" t="s">
        <v>38</v>
      </c>
      <c r="H225" s="47" t="s">
        <v>58</v>
      </c>
      <c r="I225" s="47" t="s">
        <v>590</v>
      </c>
      <c r="J225" s="47" t="s">
        <v>22</v>
      </c>
      <c r="K225" s="47" t="s">
        <v>119</v>
      </c>
      <c r="L225" s="59" t="s">
        <v>23</v>
      </c>
      <c r="M225" s="47" t="s">
        <v>47</v>
      </c>
    </row>
    <row r="226" customHeight="1" spans="1:13">
      <c r="A226" s="47" t="s">
        <v>591</v>
      </c>
      <c r="B226" s="47" t="s">
        <v>555</v>
      </c>
      <c r="C226" s="47" t="s">
        <v>592</v>
      </c>
      <c r="D226" s="47" t="s">
        <v>16</v>
      </c>
      <c r="E226" s="47" t="s">
        <v>63</v>
      </c>
      <c r="F226" s="47" t="s">
        <v>18</v>
      </c>
      <c r="G226" s="47" t="s">
        <v>38</v>
      </c>
      <c r="H226" s="47" t="s">
        <v>64</v>
      </c>
      <c r="I226" s="47" t="s">
        <v>64</v>
      </c>
      <c r="J226" s="47" t="s">
        <v>22</v>
      </c>
      <c r="K226" s="59" t="s">
        <v>23</v>
      </c>
      <c r="L226" s="59" t="s">
        <v>23</v>
      </c>
      <c r="M226" s="47" t="s">
        <v>24</v>
      </c>
    </row>
    <row r="227" customHeight="1" spans="1:13">
      <c r="A227" s="47" t="s">
        <v>593</v>
      </c>
      <c r="B227" s="47" t="s">
        <v>594</v>
      </c>
      <c r="C227" s="47" t="s">
        <v>595</v>
      </c>
      <c r="D227" s="47" t="s">
        <v>16</v>
      </c>
      <c r="E227" s="47" t="s">
        <v>103</v>
      </c>
      <c r="F227" s="47" t="s">
        <v>37</v>
      </c>
      <c r="G227" s="47" t="s">
        <v>38</v>
      </c>
      <c r="H227" s="47" t="s">
        <v>77</v>
      </c>
      <c r="I227" s="47" t="s">
        <v>596</v>
      </c>
      <c r="J227" s="47" t="s">
        <v>22</v>
      </c>
      <c r="K227" s="47" t="s">
        <v>143</v>
      </c>
      <c r="L227" s="47" t="s">
        <v>65</v>
      </c>
      <c r="M227" s="47" t="s">
        <v>73</v>
      </c>
    </row>
    <row r="228" customHeight="1" spans="1:13">
      <c r="A228" s="47" t="s">
        <v>597</v>
      </c>
      <c r="B228" s="47" t="s">
        <v>598</v>
      </c>
      <c r="C228" s="47" t="s">
        <v>599</v>
      </c>
      <c r="D228" s="47" t="s">
        <v>16</v>
      </c>
      <c r="E228" s="47" t="s">
        <v>367</v>
      </c>
      <c r="F228" s="47" t="s">
        <v>109</v>
      </c>
      <c r="G228" s="47" t="s">
        <v>38</v>
      </c>
      <c r="H228" s="47" t="s">
        <v>110</v>
      </c>
      <c r="I228" s="47" t="s">
        <v>110</v>
      </c>
      <c r="J228" s="47" t="s">
        <v>22</v>
      </c>
      <c r="K228" s="59" t="s">
        <v>23</v>
      </c>
      <c r="L228" s="59" t="s">
        <v>23</v>
      </c>
      <c r="M228" s="47" t="s">
        <v>157</v>
      </c>
    </row>
    <row r="229" customHeight="1" spans="1:13">
      <c r="A229" s="47" t="s">
        <v>597</v>
      </c>
      <c r="B229" s="47" t="s">
        <v>598</v>
      </c>
      <c r="C229" s="47" t="s">
        <v>599</v>
      </c>
      <c r="D229" s="47" t="s">
        <v>16</v>
      </c>
      <c r="E229" s="47" t="s">
        <v>600</v>
      </c>
      <c r="F229" s="47" t="s">
        <v>109</v>
      </c>
      <c r="G229" s="47" t="s">
        <v>38</v>
      </c>
      <c r="H229" s="47" t="s">
        <v>110</v>
      </c>
      <c r="I229" s="47" t="s">
        <v>601</v>
      </c>
      <c r="J229" s="47" t="s">
        <v>22</v>
      </c>
      <c r="K229" s="59" t="s">
        <v>23</v>
      </c>
      <c r="L229" s="59" t="s">
        <v>23</v>
      </c>
      <c r="M229" s="47" t="s">
        <v>73</v>
      </c>
    </row>
    <row r="230" customHeight="1" spans="1:13">
      <c r="A230" s="47" t="s">
        <v>602</v>
      </c>
      <c r="B230" s="47" t="s">
        <v>594</v>
      </c>
      <c r="C230" s="47" t="s">
        <v>603</v>
      </c>
      <c r="D230" s="47" t="s">
        <v>16</v>
      </c>
      <c r="E230" s="47" t="s">
        <v>50</v>
      </c>
      <c r="F230" s="47" t="s">
        <v>28</v>
      </c>
      <c r="G230" s="47" t="s">
        <v>19</v>
      </c>
      <c r="H230" s="47" t="s">
        <v>52</v>
      </c>
      <c r="I230" s="47" t="s">
        <v>425</v>
      </c>
      <c r="J230" s="47" t="s">
        <v>32</v>
      </c>
      <c r="K230" s="59" t="s">
        <v>23</v>
      </c>
      <c r="L230" s="59" t="s">
        <v>23</v>
      </c>
      <c r="M230" s="47" t="s">
        <v>73</v>
      </c>
    </row>
    <row r="231" customHeight="1" spans="1:13">
      <c r="A231" s="47" t="s">
        <v>604</v>
      </c>
      <c r="B231" s="47" t="s">
        <v>594</v>
      </c>
      <c r="C231" s="47" t="s">
        <v>605</v>
      </c>
      <c r="D231" s="47" t="s">
        <v>16</v>
      </c>
      <c r="E231" s="47" t="s">
        <v>17</v>
      </c>
      <c r="F231" s="47" t="s">
        <v>18</v>
      </c>
      <c r="G231" s="47" t="s">
        <v>38</v>
      </c>
      <c r="H231" s="47" t="s">
        <v>20</v>
      </c>
      <c r="I231" s="47" t="s">
        <v>20</v>
      </c>
      <c r="J231" s="47" t="s">
        <v>22</v>
      </c>
      <c r="K231" s="59" t="s">
        <v>23</v>
      </c>
      <c r="L231" s="47" t="s">
        <v>65</v>
      </c>
      <c r="M231" s="47" t="s">
        <v>99</v>
      </c>
    </row>
    <row r="232" customHeight="1" spans="1:13">
      <c r="A232" s="47" t="s">
        <v>606</v>
      </c>
      <c r="B232" s="47" t="s">
        <v>594</v>
      </c>
      <c r="C232" s="47" t="s">
        <v>607</v>
      </c>
      <c r="D232" s="47" t="s">
        <v>43</v>
      </c>
      <c r="E232" s="47" t="s">
        <v>146</v>
      </c>
      <c r="F232" s="47" t="s">
        <v>28</v>
      </c>
      <c r="G232" s="47" t="s">
        <v>38</v>
      </c>
      <c r="H232" s="47" t="s">
        <v>147</v>
      </c>
      <c r="I232" s="47" t="s">
        <v>608</v>
      </c>
      <c r="J232" s="47" t="s">
        <v>22</v>
      </c>
      <c r="K232" s="59" t="s">
        <v>23</v>
      </c>
      <c r="L232" s="59" t="s">
        <v>23</v>
      </c>
      <c r="M232" s="47" t="s">
        <v>33</v>
      </c>
    </row>
    <row r="233" customHeight="1" spans="1:13">
      <c r="A233" s="47" t="s">
        <v>609</v>
      </c>
      <c r="B233" s="47" t="s">
        <v>610</v>
      </c>
      <c r="C233" s="47" t="s">
        <v>586</v>
      </c>
      <c r="D233" s="47" t="s">
        <v>16</v>
      </c>
      <c r="E233" s="47" t="s">
        <v>165</v>
      </c>
      <c r="F233" s="47" t="s">
        <v>109</v>
      </c>
      <c r="G233" s="47" t="s">
        <v>19</v>
      </c>
      <c r="H233" s="47" t="s">
        <v>82</v>
      </c>
      <c r="I233" s="47" t="s">
        <v>184</v>
      </c>
      <c r="J233" s="47" t="s">
        <v>22</v>
      </c>
      <c r="K233" s="59" t="s">
        <v>23</v>
      </c>
      <c r="L233" s="59" t="s">
        <v>23</v>
      </c>
      <c r="M233" s="47" t="s">
        <v>73</v>
      </c>
    </row>
    <row r="234" customHeight="1" spans="1:13">
      <c r="A234" s="47" t="s">
        <v>611</v>
      </c>
      <c r="B234" s="47" t="s">
        <v>594</v>
      </c>
      <c r="C234" s="47" t="s">
        <v>612</v>
      </c>
      <c r="D234" s="47" t="s">
        <v>71</v>
      </c>
      <c r="E234" s="47" t="s">
        <v>81</v>
      </c>
      <c r="F234" s="47" t="s">
        <v>37</v>
      </c>
      <c r="G234" s="47" t="s">
        <v>29</v>
      </c>
      <c r="H234" s="47" t="s">
        <v>443</v>
      </c>
      <c r="I234" s="47" t="s">
        <v>58</v>
      </c>
      <c r="J234" s="47" t="s">
        <v>22</v>
      </c>
      <c r="K234" s="59" t="s">
        <v>23</v>
      </c>
      <c r="L234" s="59" t="s">
        <v>23</v>
      </c>
      <c r="M234" s="47" t="s">
        <v>40</v>
      </c>
    </row>
    <row r="235" customHeight="1" spans="1:13">
      <c r="A235" s="47" t="s">
        <v>613</v>
      </c>
      <c r="B235" s="47" t="s">
        <v>614</v>
      </c>
      <c r="C235" s="47" t="s">
        <v>136</v>
      </c>
      <c r="D235" s="47" t="s">
        <v>16</v>
      </c>
      <c r="E235" s="47" t="s">
        <v>17</v>
      </c>
      <c r="F235" s="47" t="s">
        <v>18</v>
      </c>
      <c r="G235" s="47" t="s">
        <v>38</v>
      </c>
      <c r="H235" s="47" t="s">
        <v>20</v>
      </c>
      <c r="I235" s="47" t="s">
        <v>20</v>
      </c>
      <c r="J235" s="47" t="s">
        <v>32</v>
      </c>
      <c r="K235" s="59" t="s">
        <v>23</v>
      </c>
      <c r="L235" s="59" t="s">
        <v>23</v>
      </c>
      <c r="M235" s="47" t="s">
        <v>33</v>
      </c>
    </row>
    <row r="236" customHeight="1" spans="1:13">
      <c r="A236" s="47" t="s">
        <v>615</v>
      </c>
      <c r="B236" s="47" t="s">
        <v>614</v>
      </c>
      <c r="C236" s="47" t="s">
        <v>616</v>
      </c>
      <c r="D236" s="47" t="s">
        <v>16</v>
      </c>
      <c r="E236" s="47" t="s">
        <v>63</v>
      </c>
      <c r="F236" s="47" t="s">
        <v>18</v>
      </c>
      <c r="G236" s="47" t="s">
        <v>19</v>
      </c>
      <c r="H236" s="47" t="s">
        <v>64</v>
      </c>
      <c r="I236" s="47" t="s">
        <v>39</v>
      </c>
      <c r="J236" s="47" t="s">
        <v>22</v>
      </c>
      <c r="K236" s="59" t="s">
        <v>23</v>
      </c>
      <c r="L236" s="47" t="s">
        <v>29</v>
      </c>
      <c r="M236" s="47" t="s">
        <v>40</v>
      </c>
    </row>
    <row r="237" customHeight="1" spans="1:13">
      <c r="A237" s="47" t="s">
        <v>617</v>
      </c>
      <c r="B237" s="47" t="s">
        <v>614</v>
      </c>
      <c r="C237" s="47" t="s">
        <v>618</v>
      </c>
      <c r="D237" s="47" t="s">
        <v>107</v>
      </c>
      <c r="E237" s="47" t="s">
        <v>27</v>
      </c>
      <c r="F237" s="47" t="s">
        <v>28</v>
      </c>
      <c r="G237" s="47" t="s">
        <v>38</v>
      </c>
      <c r="H237" s="47" t="s">
        <v>30</v>
      </c>
      <c r="I237" s="47" t="s">
        <v>30</v>
      </c>
      <c r="J237" s="47" t="s">
        <v>22</v>
      </c>
      <c r="K237" s="59" t="s">
        <v>23</v>
      </c>
      <c r="L237" s="47" t="s">
        <v>65</v>
      </c>
      <c r="M237" s="47" t="s">
        <v>24</v>
      </c>
    </row>
    <row r="238" customHeight="1" spans="1:13">
      <c r="A238" s="47" t="s">
        <v>619</v>
      </c>
      <c r="B238" s="47" t="s">
        <v>614</v>
      </c>
      <c r="C238" s="47" t="s">
        <v>468</v>
      </c>
      <c r="D238" s="47" t="s">
        <v>151</v>
      </c>
      <c r="E238" s="47" t="s">
        <v>57</v>
      </c>
      <c r="F238" s="47" t="s">
        <v>28</v>
      </c>
      <c r="G238" s="47" t="s">
        <v>19</v>
      </c>
      <c r="H238" s="47" t="s">
        <v>58</v>
      </c>
      <c r="I238" s="59" t="s">
        <v>23</v>
      </c>
      <c r="J238" s="47" t="s">
        <v>22</v>
      </c>
      <c r="K238" s="47" t="s">
        <v>53</v>
      </c>
      <c r="L238" s="59" t="s">
        <v>23</v>
      </c>
      <c r="M238" s="47" t="s">
        <v>33</v>
      </c>
    </row>
    <row r="239" customHeight="1" spans="1:13">
      <c r="A239" s="47" t="s">
        <v>620</v>
      </c>
      <c r="B239" s="47" t="s">
        <v>614</v>
      </c>
      <c r="C239" s="47" t="s">
        <v>94</v>
      </c>
      <c r="D239" s="47" t="s">
        <v>43</v>
      </c>
      <c r="E239" s="47" t="s">
        <v>95</v>
      </c>
      <c r="F239" s="59" t="s">
        <v>23</v>
      </c>
      <c r="G239" s="47" t="s">
        <v>38</v>
      </c>
      <c r="H239" s="47" t="s">
        <v>77</v>
      </c>
      <c r="I239" s="47" t="s">
        <v>77</v>
      </c>
      <c r="J239" s="47" t="s">
        <v>22</v>
      </c>
      <c r="K239" s="59" t="s">
        <v>23</v>
      </c>
      <c r="L239" s="59" t="s">
        <v>23</v>
      </c>
      <c r="M239" s="47" t="s">
        <v>157</v>
      </c>
    </row>
    <row r="240" customHeight="1" spans="1:13">
      <c r="A240" s="47" t="s">
        <v>621</v>
      </c>
      <c r="B240" s="47" t="s">
        <v>622</v>
      </c>
      <c r="C240" s="47" t="s">
        <v>401</v>
      </c>
      <c r="D240" s="47" t="s">
        <v>107</v>
      </c>
      <c r="E240" s="47" t="s">
        <v>63</v>
      </c>
      <c r="F240" s="47" t="s">
        <v>18</v>
      </c>
      <c r="G240" s="47" t="s">
        <v>38</v>
      </c>
      <c r="H240" s="47" t="s">
        <v>64</v>
      </c>
      <c r="I240" s="47" t="s">
        <v>64</v>
      </c>
      <c r="J240" s="47" t="s">
        <v>22</v>
      </c>
      <c r="K240" s="59" t="s">
        <v>23</v>
      </c>
      <c r="L240" s="59" t="s">
        <v>23</v>
      </c>
      <c r="M240" s="47" t="s">
        <v>33</v>
      </c>
    </row>
    <row r="241" customHeight="1" spans="1:13">
      <c r="A241" s="47" t="s">
        <v>623</v>
      </c>
      <c r="B241" s="47" t="s">
        <v>624</v>
      </c>
      <c r="C241" s="47" t="s">
        <v>625</v>
      </c>
      <c r="D241" s="47" t="s">
        <v>107</v>
      </c>
      <c r="E241" s="47" t="s">
        <v>146</v>
      </c>
      <c r="F241" s="47" t="s">
        <v>28</v>
      </c>
      <c r="G241" s="47" t="s">
        <v>38</v>
      </c>
      <c r="H241" s="47" t="s">
        <v>147</v>
      </c>
      <c r="I241" s="47" t="s">
        <v>147</v>
      </c>
      <c r="J241" s="47" t="s">
        <v>22</v>
      </c>
      <c r="K241" s="59" t="s">
        <v>23</v>
      </c>
      <c r="L241" s="59" t="s">
        <v>23</v>
      </c>
      <c r="M241" s="47" t="s">
        <v>157</v>
      </c>
    </row>
    <row r="242" customHeight="1" spans="1:13">
      <c r="A242" s="47" t="s">
        <v>626</v>
      </c>
      <c r="B242" s="47" t="s">
        <v>622</v>
      </c>
      <c r="C242" s="47" t="s">
        <v>627</v>
      </c>
      <c r="D242" s="47" t="s">
        <v>107</v>
      </c>
      <c r="E242" s="47" t="s">
        <v>103</v>
      </c>
      <c r="F242" s="47" t="s">
        <v>37</v>
      </c>
      <c r="G242" s="47" t="s">
        <v>19</v>
      </c>
      <c r="H242" s="47" t="s">
        <v>77</v>
      </c>
      <c r="I242" s="47" t="s">
        <v>96</v>
      </c>
      <c r="J242" s="47" t="s">
        <v>22</v>
      </c>
      <c r="K242" s="59" t="s">
        <v>23</v>
      </c>
      <c r="L242" s="59" t="s">
        <v>23</v>
      </c>
      <c r="M242" s="47" t="s">
        <v>33</v>
      </c>
    </row>
    <row r="243" customHeight="1" spans="1:13">
      <c r="A243" s="47" t="s">
        <v>628</v>
      </c>
      <c r="B243" s="47" t="s">
        <v>622</v>
      </c>
      <c r="C243" s="47" t="s">
        <v>629</v>
      </c>
      <c r="D243" s="47" t="s">
        <v>137</v>
      </c>
      <c r="E243" s="47" t="s">
        <v>44</v>
      </c>
      <c r="F243" s="47" t="s">
        <v>45</v>
      </c>
      <c r="G243" s="47" t="s">
        <v>19</v>
      </c>
      <c r="H243" s="47" t="s">
        <v>46</v>
      </c>
      <c r="I243" s="47" t="s">
        <v>114</v>
      </c>
      <c r="J243" s="47" t="s">
        <v>22</v>
      </c>
      <c r="K243" s="59" t="s">
        <v>23</v>
      </c>
      <c r="L243" s="47" t="s">
        <v>54</v>
      </c>
      <c r="M243" s="47" t="s">
        <v>47</v>
      </c>
    </row>
    <row r="244" customHeight="1" spans="1:13">
      <c r="A244" s="47" t="s">
        <v>628</v>
      </c>
      <c r="B244" s="47" t="s">
        <v>622</v>
      </c>
      <c r="C244" s="47" t="s">
        <v>629</v>
      </c>
      <c r="D244" s="47" t="s">
        <v>107</v>
      </c>
      <c r="E244" s="47" t="s">
        <v>235</v>
      </c>
      <c r="F244" s="47" t="s">
        <v>45</v>
      </c>
      <c r="G244" s="47" t="s">
        <v>19</v>
      </c>
      <c r="H244" s="47" t="s">
        <v>46</v>
      </c>
      <c r="I244" s="47" t="s">
        <v>114</v>
      </c>
      <c r="J244" s="47" t="s">
        <v>22</v>
      </c>
      <c r="K244" s="59" t="s">
        <v>23</v>
      </c>
      <c r="L244" s="47" t="s">
        <v>54</v>
      </c>
      <c r="M244" s="47" t="s">
        <v>47</v>
      </c>
    </row>
    <row r="245" customHeight="1" spans="1:13">
      <c r="A245" s="47" t="s">
        <v>630</v>
      </c>
      <c r="B245" s="47" t="s">
        <v>622</v>
      </c>
      <c r="C245" s="47" t="s">
        <v>247</v>
      </c>
      <c r="D245" s="47" t="s">
        <v>16</v>
      </c>
      <c r="E245" s="47" t="s">
        <v>217</v>
      </c>
      <c r="F245" s="47" t="s">
        <v>28</v>
      </c>
      <c r="G245" s="47" t="s">
        <v>38</v>
      </c>
      <c r="H245" s="59" t="s">
        <v>23</v>
      </c>
      <c r="I245" s="47" t="s">
        <v>147</v>
      </c>
      <c r="J245" s="47" t="s">
        <v>22</v>
      </c>
      <c r="K245" s="59" t="s">
        <v>23</v>
      </c>
      <c r="L245" s="47" t="s">
        <v>65</v>
      </c>
      <c r="M245" s="47" t="s">
        <v>47</v>
      </c>
    </row>
    <row r="246" customHeight="1" spans="1:13">
      <c r="A246" s="47" t="s">
        <v>631</v>
      </c>
      <c r="B246" s="47" t="s">
        <v>622</v>
      </c>
      <c r="C246" s="47" t="s">
        <v>280</v>
      </c>
      <c r="D246" s="47" t="s">
        <v>43</v>
      </c>
      <c r="E246" s="47" t="s">
        <v>81</v>
      </c>
      <c r="F246" s="47" t="s">
        <v>37</v>
      </c>
      <c r="G246" s="47" t="s">
        <v>38</v>
      </c>
      <c r="H246" s="47" t="s">
        <v>82</v>
      </c>
      <c r="I246" s="47" t="s">
        <v>82</v>
      </c>
      <c r="J246" s="47" t="s">
        <v>22</v>
      </c>
      <c r="K246" s="59" t="s">
        <v>23</v>
      </c>
      <c r="L246" s="59" t="s">
        <v>23</v>
      </c>
      <c r="M246" s="47" t="s">
        <v>73</v>
      </c>
    </row>
    <row r="247" customHeight="1" spans="1:13">
      <c r="A247" s="47" t="s">
        <v>632</v>
      </c>
      <c r="B247" s="47" t="s">
        <v>622</v>
      </c>
      <c r="C247" s="47" t="s">
        <v>484</v>
      </c>
      <c r="D247" s="47" t="s">
        <v>107</v>
      </c>
      <c r="E247" s="47" t="s">
        <v>17</v>
      </c>
      <c r="F247" s="47" t="s">
        <v>18</v>
      </c>
      <c r="G247" s="47" t="s">
        <v>38</v>
      </c>
      <c r="H247" s="47" t="s">
        <v>20</v>
      </c>
      <c r="I247" s="47" t="s">
        <v>462</v>
      </c>
      <c r="J247" s="47" t="s">
        <v>68</v>
      </c>
      <c r="K247" s="59" t="s">
        <v>23</v>
      </c>
      <c r="L247" s="59" t="s">
        <v>23</v>
      </c>
      <c r="M247" s="47" t="s">
        <v>73</v>
      </c>
    </row>
    <row r="248" customHeight="1" spans="1:13">
      <c r="A248" s="47" t="s">
        <v>633</v>
      </c>
      <c r="B248" s="47" t="s">
        <v>624</v>
      </c>
      <c r="C248" s="47" t="s">
        <v>529</v>
      </c>
      <c r="D248" s="47" t="s">
        <v>16</v>
      </c>
      <c r="E248" s="47" t="s">
        <v>44</v>
      </c>
      <c r="F248" s="47" t="s">
        <v>45</v>
      </c>
      <c r="G248" s="47" t="s">
        <v>38</v>
      </c>
      <c r="H248" s="47" t="s">
        <v>46</v>
      </c>
      <c r="I248" s="47" t="s">
        <v>46</v>
      </c>
      <c r="J248" s="47" t="s">
        <v>127</v>
      </c>
      <c r="K248" s="47" t="s">
        <v>143</v>
      </c>
      <c r="L248" s="47" t="s">
        <v>65</v>
      </c>
      <c r="M248" s="47" t="s">
        <v>47</v>
      </c>
    </row>
    <row r="249" customHeight="1" spans="1:13">
      <c r="A249" s="47" t="s">
        <v>634</v>
      </c>
      <c r="B249" s="47" t="s">
        <v>622</v>
      </c>
      <c r="C249" s="47" t="s">
        <v>635</v>
      </c>
      <c r="D249" s="47" t="s">
        <v>16</v>
      </c>
      <c r="E249" s="47" t="s">
        <v>36</v>
      </c>
      <c r="F249" s="47" t="s">
        <v>37</v>
      </c>
      <c r="G249" s="47" t="s">
        <v>38</v>
      </c>
      <c r="H249" s="59" t="s">
        <v>23</v>
      </c>
      <c r="I249" s="47" t="s">
        <v>39</v>
      </c>
      <c r="J249" s="47" t="s">
        <v>22</v>
      </c>
      <c r="K249" s="59" t="s">
        <v>23</v>
      </c>
      <c r="L249" s="47" t="s">
        <v>65</v>
      </c>
      <c r="M249" s="47" t="s">
        <v>33</v>
      </c>
    </row>
    <row r="250" customHeight="1" spans="1:13">
      <c r="A250" s="47" t="s">
        <v>636</v>
      </c>
      <c r="B250" s="47" t="s">
        <v>622</v>
      </c>
      <c r="C250" s="47" t="s">
        <v>637</v>
      </c>
      <c r="D250" s="47" t="s">
        <v>43</v>
      </c>
      <c r="E250" s="47" t="s">
        <v>367</v>
      </c>
      <c r="F250" s="47" t="s">
        <v>109</v>
      </c>
      <c r="G250" s="47" t="s">
        <v>29</v>
      </c>
      <c r="H250" s="47" t="s">
        <v>111</v>
      </c>
      <c r="I250" s="47" t="s">
        <v>638</v>
      </c>
      <c r="J250" s="47" t="s">
        <v>22</v>
      </c>
      <c r="K250" s="59" t="s">
        <v>23</v>
      </c>
      <c r="L250" s="47" t="s">
        <v>65</v>
      </c>
      <c r="M250" s="47" t="s">
        <v>73</v>
      </c>
    </row>
    <row r="251" customHeight="1" spans="1:13">
      <c r="A251" s="47" t="s">
        <v>639</v>
      </c>
      <c r="B251" s="47" t="s">
        <v>622</v>
      </c>
      <c r="C251" s="47" t="s">
        <v>287</v>
      </c>
      <c r="D251" s="47" t="s">
        <v>43</v>
      </c>
      <c r="E251" s="47" t="s">
        <v>57</v>
      </c>
      <c r="F251" s="47" t="s">
        <v>28</v>
      </c>
      <c r="G251" s="47" t="s">
        <v>38</v>
      </c>
      <c r="H251" s="47" t="s">
        <v>58</v>
      </c>
      <c r="I251" s="47" t="s">
        <v>58</v>
      </c>
      <c r="J251" s="47" t="s">
        <v>22</v>
      </c>
      <c r="K251" s="59" t="s">
        <v>23</v>
      </c>
      <c r="L251" s="59" t="s">
        <v>23</v>
      </c>
      <c r="M251" s="47" t="s">
        <v>47</v>
      </c>
    </row>
    <row r="252" customHeight="1" spans="1:13">
      <c r="A252" s="47" t="s">
        <v>640</v>
      </c>
      <c r="B252" s="47" t="s">
        <v>641</v>
      </c>
      <c r="C252" s="47" t="s">
        <v>576</v>
      </c>
      <c r="D252" s="47" t="s">
        <v>107</v>
      </c>
      <c r="E252" s="47" t="s">
        <v>36</v>
      </c>
      <c r="F252" s="59" t="s">
        <v>23</v>
      </c>
      <c r="G252" s="47" t="s">
        <v>38</v>
      </c>
      <c r="H252" s="47" t="s">
        <v>39</v>
      </c>
      <c r="I252" s="47" t="s">
        <v>39</v>
      </c>
      <c r="J252" s="47" t="s">
        <v>22</v>
      </c>
      <c r="K252" s="59" t="s">
        <v>23</v>
      </c>
      <c r="L252" s="59" t="s">
        <v>23</v>
      </c>
      <c r="M252" s="47" t="s">
        <v>47</v>
      </c>
    </row>
    <row r="253" customHeight="1" spans="1:13">
      <c r="A253" s="47" t="s">
        <v>642</v>
      </c>
      <c r="B253" s="47" t="s">
        <v>641</v>
      </c>
      <c r="C253" s="47" t="s">
        <v>643</v>
      </c>
      <c r="D253" s="47" t="s">
        <v>213</v>
      </c>
      <c r="E253" s="47" t="s">
        <v>63</v>
      </c>
      <c r="F253" s="47" t="s">
        <v>18</v>
      </c>
      <c r="G253" s="47" t="s">
        <v>38</v>
      </c>
      <c r="H253" s="47" t="s">
        <v>64</v>
      </c>
      <c r="I253" s="47" t="s">
        <v>644</v>
      </c>
      <c r="J253" s="47" t="s">
        <v>22</v>
      </c>
      <c r="K253" s="59" t="s">
        <v>23</v>
      </c>
      <c r="L253" s="47" t="s">
        <v>29</v>
      </c>
      <c r="M253" s="47" t="s">
        <v>47</v>
      </c>
    </row>
    <row r="254" customHeight="1" spans="1:13">
      <c r="A254" s="47" t="s">
        <v>645</v>
      </c>
      <c r="B254" s="47" t="s">
        <v>641</v>
      </c>
      <c r="C254" s="47" t="s">
        <v>646</v>
      </c>
      <c r="D254" s="47" t="s">
        <v>16</v>
      </c>
      <c r="E254" s="47" t="s">
        <v>647</v>
      </c>
      <c r="F254" s="47" t="s">
        <v>45</v>
      </c>
      <c r="G254" s="47" t="s">
        <v>38</v>
      </c>
      <c r="H254" s="47" t="s">
        <v>227</v>
      </c>
      <c r="I254" s="47" t="s">
        <v>648</v>
      </c>
      <c r="J254" s="47" t="s">
        <v>32</v>
      </c>
      <c r="K254" s="47" t="s">
        <v>143</v>
      </c>
      <c r="L254" s="47" t="s">
        <v>19</v>
      </c>
      <c r="M254" s="47" t="s">
        <v>131</v>
      </c>
    </row>
    <row r="255" customHeight="1" spans="1:13">
      <c r="A255" s="47" t="s">
        <v>649</v>
      </c>
      <c r="B255" s="47" t="s">
        <v>650</v>
      </c>
      <c r="C255" s="47" t="s">
        <v>651</v>
      </c>
      <c r="D255" s="47" t="s">
        <v>16</v>
      </c>
      <c r="E255" s="47" t="s">
        <v>57</v>
      </c>
      <c r="F255" s="47" t="s">
        <v>28</v>
      </c>
      <c r="G255" s="47" t="s">
        <v>38</v>
      </c>
      <c r="H255" s="47" t="s">
        <v>58</v>
      </c>
      <c r="I255" s="59" t="s">
        <v>23</v>
      </c>
      <c r="J255" s="47" t="s">
        <v>22</v>
      </c>
      <c r="K255" s="59" t="s">
        <v>23</v>
      </c>
      <c r="L255" s="47" t="s">
        <v>54</v>
      </c>
      <c r="M255" s="47" t="s">
        <v>73</v>
      </c>
    </row>
    <row r="256" customHeight="1" spans="1:13">
      <c r="A256" s="47" t="s">
        <v>652</v>
      </c>
      <c r="B256" s="47" t="s">
        <v>650</v>
      </c>
      <c r="C256" s="47" t="s">
        <v>653</v>
      </c>
      <c r="D256" s="47" t="s">
        <v>107</v>
      </c>
      <c r="E256" s="47" t="s">
        <v>63</v>
      </c>
      <c r="F256" s="47" t="s">
        <v>18</v>
      </c>
      <c r="G256" s="47" t="s">
        <v>19</v>
      </c>
      <c r="H256" s="47" t="s">
        <v>64</v>
      </c>
      <c r="I256" s="47" t="s">
        <v>39</v>
      </c>
      <c r="J256" s="47" t="s">
        <v>22</v>
      </c>
      <c r="K256" s="59" t="s">
        <v>23</v>
      </c>
      <c r="L256" s="59" t="s">
        <v>23</v>
      </c>
      <c r="M256" s="47" t="s">
        <v>33</v>
      </c>
    </row>
    <row r="257" customHeight="1" spans="1:13">
      <c r="A257" s="47" t="s">
        <v>654</v>
      </c>
      <c r="B257" s="47" t="s">
        <v>650</v>
      </c>
      <c r="C257" s="47" t="s">
        <v>655</v>
      </c>
      <c r="D257" s="47" t="s">
        <v>107</v>
      </c>
      <c r="E257" s="47" t="s">
        <v>188</v>
      </c>
      <c r="F257" s="47" t="s">
        <v>37</v>
      </c>
      <c r="G257" s="47" t="s">
        <v>38</v>
      </c>
      <c r="H257" s="47" t="s">
        <v>77</v>
      </c>
      <c r="I257" s="47" t="s">
        <v>77</v>
      </c>
      <c r="J257" s="47" t="s">
        <v>22</v>
      </c>
      <c r="K257" s="59" t="s">
        <v>23</v>
      </c>
      <c r="L257" s="59" t="s">
        <v>23</v>
      </c>
      <c r="M257" s="47" t="s">
        <v>73</v>
      </c>
    </row>
    <row r="258" customHeight="1" spans="1:13">
      <c r="A258" s="47" t="s">
        <v>656</v>
      </c>
      <c r="B258" s="47" t="s">
        <v>650</v>
      </c>
      <c r="C258" s="47" t="s">
        <v>505</v>
      </c>
      <c r="D258" s="47" t="s">
        <v>16</v>
      </c>
      <c r="E258" s="47" t="s">
        <v>146</v>
      </c>
      <c r="F258" s="47" t="s">
        <v>28</v>
      </c>
      <c r="G258" s="47" t="s">
        <v>19</v>
      </c>
      <c r="H258" s="47" t="s">
        <v>147</v>
      </c>
      <c r="I258" s="47" t="s">
        <v>657</v>
      </c>
      <c r="J258" s="47" t="s">
        <v>22</v>
      </c>
      <c r="K258" s="47" t="s">
        <v>53</v>
      </c>
      <c r="L258" s="47" t="s">
        <v>65</v>
      </c>
      <c r="M258" s="47" t="s">
        <v>73</v>
      </c>
    </row>
    <row r="259" customHeight="1" spans="1:13">
      <c r="A259" s="47" t="s">
        <v>656</v>
      </c>
      <c r="B259" s="47" t="s">
        <v>658</v>
      </c>
      <c r="C259" s="47" t="s">
        <v>505</v>
      </c>
      <c r="D259" s="47" t="s">
        <v>213</v>
      </c>
      <c r="E259" s="47" t="s">
        <v>146</v>
      </c>
      <c r="F259" s="47" t="s">
        <v>28</v>
      </c>
      <c r="G259" s="47" t="s">
        <v>19</v>
      </c>
      <c r="H259" s="47" t="s">
        <v>659</v>
      </c>
      <c r="I259" s="47" t="s">
        <v>657</v>
      </c>
      <c r="J259" s="47" t="s">
        <v>22</v>
      </c>
      <c r="K259" s="47" t="s">
        <v>53</v>
      </c>
      <c r="L259" s="47" t="s">
        <v>65</v>
      </c>
      <c r="M259" s="47" t="s">
        <v>73</v>
      </c>
    </row>
    <row r="260" customHeight="1" spans="1:13">
      <c r="A260" s="47" t="s">
        <v>660</v>
      </c>
      <c r="B260" s="47" t="s">
        <v>650</v>
      </c>
      <c r="C260" s="47" t="s">
        <v>661</v>
      </c>
      <c r="D260" s="47" t="s">
        <v>16</v>
      </c>
      <c r="E260" s="47" t="s">
        <v>17</v>
      </c>
      <c r="F260" s="47" t="s">
        <v>18</v>
      </c>
      <c r="G260" s="47" t="s">
        <v>38</v>
      </c>
      <c r="H260" s="47" t="s">
        <v>662</v>
      </c>
      <c r="I260" s="47" t="s">
        <v>663</v>
      </c>
      <c r="J260" s="47" t="s">
        <v>22</v>
      </c>
      <c r="K260" s="47" t="s">
        <v>143</v>
      </c>
      <c r="L260" s="59" t="s">
        <v>23</v>
      </c>
      <c r="M260" s="47" t="s">
        <v>664</v>
      </c>
    </row>
    <row r="261" customHeight="1" spans="1:13">
      <c r="A261" s="47" t="s">
        <v>665</v>
      </c>
      <c r="B261" s="47" t="s">
        <v>666</v>
      </c>
      <c r="C261" s="47" t="s">
        <v>363</v>
      </c>
      <c r="D261" s="47" t="s">
        <v>16</v>
      </c>
      <c r="E261" s="47" t="s">
        <v>63</v>
      </c>
      <c r="F261" s="47" t="s">
        <v>18</v>
      </c>
      <c r="G261" s="47" t="s">
        <v>19</v>
      </c>
      <c r="H261" s="47" t="s">
        <v>64</v>
      </c>
      <c r="I261" s="47" t="s">
        <v>39</v>
      </c>
      <c r="J261" s="47" t="s">
        <v>32</v>
      </c>
      <c r="K261" s="59" t="s">
        <v>23</v>
      </c>
      <c r="L261" s="47" t="s">
        <v>54</v>
      </c>
      <c r="M261" s="47" t="s">
        <v>47</v>
      </c>
    </row>
    <row r="262" customHeight="1" spans="1:13">
      <c r="A262" s="47" t="s">
        <v>667</v>
      </c>
      <c r="B262" s="47" t="s">
        <v>650</v>
      </c>
      <c r="C262" s="47" t="s">
        <v>456</v>
      </c>
      <c r="D262" s="47" t="s">
        <v>16</v>
      </c>
      <c r="E262" s="47" t="s">
        <v>161</v>
      </c>
      <c r="F262" s="47" t="s">
        <v>18</v>
      </c>
      <c r="G262" s="47" t="s">
        <v>38</v>
      </c>
      <c r="H262" s="47" t="s">
        <v>64</v>
      </c>
      <c r="I262" s="47" t="s">
        <v>64</v>
      </c>
      <c r="J262" s="47" t="s">
        <v>22</v>
      </c>
      <c r="K262" s="59" t="s">
        <v>23</v>
      </c>
      <c r="L262" s="59" t="s">
        <v>23</v>
      </c>
      <c r="M262" s="47" t="s">
        <v>47</v>
      </c>
    </row>
    <row r="263" customHeight="1" spans="1:13">
      <c r="A263" s="47" t="s">
        <v>668</v>
      </c>
      <c r="B263" s="47" t="s">
        <v>650</v>
      </c>
      <c r="C263" s="47" t="s">
        <v>229</v>
      </c>
      <c r="D263" s="47" t="s">
        <v>16</v>
      </c>
      <c r="E263" s="47" t="s">
        <v>17</v>
      </c>
      <c r="F263" s="47" t="s">
        <v>18</v>
      </c>
      <c r="G263" s="47" t="s">
        <v>38</v>
      </c>
      <c r="H263" s="47" t="s">
        <v>20</v>
      </c>
      <c r="I263" s="47" t="s">
        <v>20</v>
      </c>
      <c r="J263" s="47" t="s">
        <v>22</v>
      </c>
      <c r="K263" s="59" t="s">
        <v>23</v>
      </c>
      <c r="L263" s="59" t="s">
        <v>23</v>
      </c>
      <c r="M263" s="47" t="s">
        <v>33</v>
      </c>
    </row>
    <row r="264" customHeight="1" spans="1:13">
      <c r="A264" s="47" t="s">
        <v>669</v>
      </c>
      <c r="B264" s="47" t="s">
        <v>650</v>
      </c>
      <c r="C264" s="47" t="s">
        <v>670</v>
      </c>
      <c r="D264" s="47" t="s">
        <v>16</v>
      </c>
      <c r="E264" s="47" t="s">
        <v>103</v>
      </c>
      <c r="F264" s="47" t="s">
        <v>37</v>
      </c>
      <c r="G264" s="47" t="s">
        <v>38</v>
      </c>
      <c r="H264" s="47" t="s">
        <v>77</v>
      </c>
      <c r="I264" s="59" t="s">
        <v>23</v>
      </c>
      <c r="J264" s="47" t="s">
        <v>22</v>
      </c>
      <c r="K264" s="47" t="s">
        <v>53</v>
      </c>
      <c r="L264" s="47" t="s">
        <v>65</v>
      </c>
      <c r="M264" s="47" t="s">
        <v>47</v>
      </c>
    </row>
    <row r="265" customHeight="1" spans="1:13">
      <c r="A265" s="47" t="s">
        <v>671</v>
      </c>
      <c r="B265" s="47" t="s">
        <v>650</v>
      </c>
      <c r="C265" s="47" t="s">
        <v>672</v>
      </c>
      <c r="D265" s="47" t="s">
        <v>16</v>
      </c>
      <c r="E265" s="47" t="s">
        <v>50</v>
      </c>
      <c r="F265" s="47" t="s">
        <v>28</v>
      </c>
      <c r="G265" s="47" t="s">
        <v>38</v>
      </c>
      <c r="H265" s="47" t="s">
        <v>52</v>
      </c>
      <c r="I265" s="47" t="s">
        <v>52</v>
      </c>
      <c r="J265" s="47" t="s">
        <v>32</v>
      </c>
      <c r="K265" s="59" t="s">
        <v>23</v>
      </c>
      <c r="L265" s="59" t="s">
        <v>23</v>
      </c>
      <c r="M265" s="47" t="s">
        <v>47</v>
      </c>
    </row>
    <row r="266" customHeight="1" spans="1:13">
      <c r="A266" s="47" t="s">
        <v>673</v>
      </c>
      <c r="B266" s="47" t="s">
        <v>650</v>
      </c>
      <c r="C266" s="47" t="s">
        <v>674</v>
      </c>
      <c r="D266" s="47" t="s">
        <v>16</v>
      </c>
      <c r="E266" s="47" t="s">
        <v>63</v>
      </c>
      <c r="F266" s="47" t="s">
        <v>18</v>
      </c>
      <c r="G266" s="47" t="s">
        <v>38</v>
      </c>
      <c r="H266" s="47" t="s">
        <v>64</v>
      </c>
      <c r="I266" s="47" t="s">
        <v>64</v>
      </c>
      <c r="J266" s="47" t="s">
        <v>22</v>
      </c>
      <c r="K266" s="59" t="s">
        <v>23</v>
      </c>
      <c r="L266" s="59" t="s">
        <v>23</v>
      </c>
      <c r="M266" s="47" t="s">
        <v>47</v>
      </c>
    </row>
    <row r="267" customHeight="1" spans="1:13">
      <c r="A267" s="47" t="s">
        <v>675</v>
      </c>
      <c r="B267" s="47" t="s">
        <v>650</v>
      </c>
      <c r="C267" s="47" t="s">
        <v>676</v>
      </c>
      <c r="D267" s="47" t="s">
        <v>43</v>
      </c>
      <c r="E267" s="47" t="s">
        <v>50</v>
      </c>
      <c r="F267" s="47" t="s">
        <v>28</v>
      </c>
      <c r="G267" s="47" t="s">
        <v>38</v>
      </c>
      <c r="H267" s="47" t="s">
        <v>52</v>
      </c>
      <c r="I267" s="47" t="s">
        <v>52</v>
      </c>
      <c r="J267" s="47" t="s">
        <v>32</v>
      </c>
      <c r="K267" s="59" t="s">
        <v>23</v>
      </c>
      <c r="L267" s="59" t="s">
        <v>23</v>
      </c>
      <c r="M267" s="47" t="s">
        <v>40</v>
      </c>
    </row>
    <row r="268" customHeight="1" spans="1:13">
      <c r="A268" s="47" t="s">
        <v>677</v>
      </c>
      <c r="B268" s="47" t="s">
        <v>650</v>
      </c>
      <c r="C268" s="47" t="s">
        <v>500</v>
      </c>
      <c r="D268" s="47" t="s">
        <v>16</v>
      </c>
      <c r="E268" s="47" t="s">
        <v>50</v>
      </c>
      <c r="F268" s="47" t="s">
        <v>28</v>
      </c>
      <c r="G268" s="47" t="s">
        <v>38</v>
      </c>
      <c r="H268" s="47" t="s">
        <v>52</v>
      </c>
      <c r="I268" s="47" t="s">
        <v>52</v>
      </c>
      <c r="J268" s="47" t="s">
        <v>22</v>
      </c>
      <c r="K268" s="59" t="s">
        <v>23</v>
      </c>
      <c r="L268" s="47" t="s">
        <v>65</v>
      </c>
      <c r="M268" s="47" t="s">
        <v>131</v>
      </c>
    </row>
    <row r="269" customHeight="1" spans="1:13">
      <c r="A269" s="47" t="s">
        <v>678</v>
      </c>
      <c r="B269" s="47" t="s">
        <v>650</v>
      </c>
      <c r="C269" s="47" t="s">
        <v>679</v>
      </c>
      <c r="D269" s="47" t="s">
        <v>43</v>
      </c>
      <c r="E269" s="47" t="s">
        <v>103</v>
      </c>
      <c r="F269" s="47" t="s">
        <v>37</v>
      </c>
      <c r="G269" s="47" t="s">
        <v>38</v>
      </c>
      <c r="H269" s="47" t="s">
        <v>77</v>
      </c>
      <c r="I269" s="47" t="s">
        <v>77</v>
      </c>
      <c r="J269" s="47" t="s">
        <v>22</v>
      </c>
      <c r="K269" s="59" t="s">
        <v>23</v>
      </c>
      <c r="L269" s="47" t="s">
        <v>54</v>
      </c>
      <c r="M269" s="47" t="s">
        <v>73</v>
      </c>
    </row>
    <row r="270" customHeight="1" spans="1:13">
      <c r="A270" s="47" t="s">
        <v>678</v>
      </c>
      <c r="B270" s="47" t="s">
        <v>680</v>
      </c>
      <c r="C270" s="47" t="s">
        <v>679</v>
      </c>
      <c r="D270" s="47" t="s">
        <v>43</v>
      </c>
      <c r="E270" s="47" t="s">
        <v>103</v>
      </c>
      <c r="F270" s="47" t="s">
        <v>37</v>
      </c>
      <c r="G270" s="47" t="s">
        <v>38</v>
      </c>
      <c r="H270" s="47" t="s">
        <v>77</v>
      </c>
      <c r="I270" s="47" t="s">
        <v>77</v>
      </c>
      <c r="J270" s="47" t="s">
        <v>22</v>
      </c>
      <c r="K270" s="59" t="s">
        <v>23</v>
      </c>
      <c r="L270" s="47" t="s">
        <v>54</v>
      </c>
      <c r="M270" s="47" t="s">
        <v>73</v>
      </c>
    </row>
    <row r="271" customHeight="1" spans="1:13">
      <c r="A271" s="47" t="s">
        <v>681</v>
      </c>
      <c r="B271" s="47" t="s">
        <v>650</v>
      </c>
      <c r="C271" s="47" t="s">
        <v>682</v>
      </c>
      <c r="D271" s="47" t="s">
        <v>16</v>
      </c>
      <c r="E271" s="47" t="s">
        <v>81</v>
      </c>
      <c r="F271" s="47" t="s">
        <v>37</v>
      </c>
      <c r="G271" s="47" t="s">
        <v>38</v>
      </c>
      <c r="H271" s="47" t="s">
        <v>82</v>
      </c>
      <c r="I271" s="47" t="s">
        <v>683</v>
      </c>
      <c r="J271" s="47" t="s">
        <v>22</v>
      </c>
      <c r="K271" s="47" t="s">
        <v>143</v>
      </c>
      <c r="L271" s="47" t="s">
        <v>29</v>
      </c>
      <c r="M271" s="47" t="s">
        <v>73</v>
      </c>
    </row>
    <row r="272" customHeight="1" spans="1:13">
      <c r="A272" s="47" t="s">
        <v>684</v>
      </c>
      <c r="B272" s="47" t="s">
        <v>685</v>
      </c>
      <c r="C272" s="47" t="s">
        <v>398</v>
      </c>
      <c r="D272" s="47" t="s">
        <v>43</v>
      </c>
      <c r="E272" s="47" t="s">
        <v>103</v>
      </c>
      <c r="F272" s="47" t="s">
        <v>37</v>
      </c>
      <c r="G272" s="47" t="s">
        <v>38</v>
      </c>
      <c r="H272" s="47" t="s">
        <v>77</v>
      </c>
      <c r="I272" s="47" t="s">
        <v>77</v>
      </c>
      <c r="J272" s="47" t="s">
        <v>32</v>
      </c>
      <c r="K272" s="59" t="s">
        <v>23</v>
      </c>
      <c r="L272" s="59" t="s">
        <v>23</v>
      </c>
      <c r="M272" s="47" t="s">
        <v>686</v>
      </c>
    </row>
    <row r="273" customHeight="1" spans="1:13">
      <c r="A273" s="47" t="s">
        <v>687</v>
      </c>
      <c r="B273" s="47" t="s">
        <v>685</v>
      </c>
      <c r="C273" s="47" t="s">
        <v>688</v>
      </c>
      <c r="D273" s="47" t="s">
        <v>16</v>
      </c>
      <c r="E273" s="47" t="s">
        <v>44</v>
      </c>
      <c r="F273" s="59" t="s">
        <v>23</v>
      </c>
      <c r="G273" s="47" t="s">
        <v>38</v>
      </c>
      <c r="H273" s="47" t="s">
        <v>46</v>
      </c>
      <c r="I273" s="47" t="s">
        <v>46</v>
      </c>
      <c r="J273" s="47" t="s">
        <v>32</v>
      </c>
      <c r="K273" s="59" t="s">
        <v>23</v>
      </c>
      <c r="L273" s="47" t="s">
        <v>54</v>
      </c>
      <c r="M273" s="47" t="s">
        <v>40</v>
      </c>
    </row>
    <row r="274" customHeight="1" spans="1:13">
      <c r="A274" s="47" t="s">
        <v>689</v>
      </c>
      <c r="B274" s="47" t="s">
        <v>685</v>
      </c>
      <c r="C274" s="47" t="s">
        <v>661</v>
      </c>
      <c r="D274" s="47" t="s">
        <v>690</v>
      </c>
      <c r="E274" s="47" t="s">
        <v>81</v>
      </c>
      <c r="F274" s="47" t="s">
        <v>37</v>
      </c>
      <c r="G274" s="47" t="s">
        <v>38</v>
      </c>
      <c r="H274" s="47" t="s">
        <v>82</v>
      </c>
      <c r="I274" s="47" t="s">
        <v>82</v>
      </c>
      <c r="J274" s="47" t="s">
        <v>68</v>
      </c>
      <c r="K274" s="59" t="s">
        <v>23</v>
      </c>
      <c r="L274" s="47" t="s">
        <v>29</v>
      </c>
      <c r="M274" s="47" t="s">
        <v>320</v>
      </c>
    </row>
    <row r="275" customHeight="1" spans="1:13">
      <c r="A275" s="47" t="s">
        <v>691</v>
      </c>
      <c r="B275" s="47" t="s">
        <v>685</v>
      </c>
      <c r="C275" s="47" t="s">
        <v>692</v>
      </c>
      <c r="D275" s="47" t="s">
        <v>16</v>
      </c>
      <c r="E275" s="47" t="s">
        <v>17</v>
      </c>
      <c r="F275" s="47" t="s">
        <v>18</v>
      </c>
      <c r="G275" s="47" t="s">
        <v>19</v>
      </c>
      <c r="H275" s="47" t="s">
        <v>20</v>
      </c>
      <c r="I275" s="47" t="s">
        <v>21</v>
      </c>
      <c r="J275" s="47" t="s">
        <v>32</v>
      </c>
      <c r="K275" s="59" t="s">
        <v>23</v>
      </c>
      <c r="L275" s="47" t="s">
        <v>54</v>
      </c>
      <c r="M275" s="47" t="s">
        <v>40</v>
      </c>
    </row>
    <row r="276" customHeight="1" spans="1:13">
      <c r="A276" s="47" t="s">
        <v>693</v>
      </c>
      <c r="B276" s="47" t="s">
        <v>685</v>
      </c>
      <c r="C276" s="47" t="s">
        <v>692</v>
      </c>
      <c r="D276" s="47" t="s">
        <v>16</v>
      </c>
      <c r="E276" s="47" t="s">
        <v>103</v>
      </c>
      <c r="F276" s="47" t="s">
        <v>37</v>
      </c>
      <c r="G276" s="47" t="s">
        <v>38</v>
      </c>
      <c r="H276" s="47" t="s">
        <v>77</v>
      </c>
      <c r="I276" s="47" t="s">
        <v>77</v>
      </c>
      <c r="J276" s="47" t="s">
        <v>22</v>
      </c>
      <c r="K276" s="59" t="s">
        <v>23</v>
      </c>
      <c r="L276" s="59" t="s">
        <v>23</v>
      </c>
      <c r="M276" s="47" t="s">
        <v>40</v>
      </c>
    </row>
    <row r="277" customHeight="1" spans="1:13">
      <c r="A277" s="47" t="s">
        <v>694</v>
      </c>
      <c r="B277" s="47" t="s">
        <v>685</v>
      </c>
      <c r="C277" s="47" t="s">
        <v>695</v>
      </c>
      <c r="D277" s="47" t="s">
        <v>16</v>
      </c>
      <c r="E277" s="47" t="s">
        <v>63</v>
      </c>
      <c r="F277" s="47" t="s">
        <v>18</v>
      </c>
      <c r="G277" s="47" t="s">
        <v>38</v>
      </c>
      <c r="H277" s="47" t="s">
        <v>64</v>
      </c>
      <c r="I277" s="47" t="s">
        <v>64</v>
      </c>
      <c r="J277" s="47" t="s">
        <v>22</v>
      </c>
      <c r="K277" s="59" t="s">
        <v>23</v>
      </c>
      <c r="L277" s="59" t="s">
        <v>23</v>
      </c>
      <c r="M277" s="47" t="s">
        <v>47</v>
      </c>
    </row>
    <row r="278" customHeight="1" spans="1:13">
      <c r="A278" s="47" t="s">
        <v>696</v>
      </c>
      <c r="B278" s="47" t="s">
        <v>685</v>
      </c>
      <c r="C278" s="47" t="s">
        <v>697</v>
      </c>
      <c r="D278" s="47" t="s">
        <v>16</v>
      </c>
      <c r="E278" s="47" t="s">
        <v>17</v>
      </c>
      <c r="F278" s="47" t="s">
        <v>18</v>
      </c>
      <c r="G278" s="47" t="s">
        <v>38</v>
      </c>
      <c r="H278" s="47" t="s">
        <v>20</v>
      </c>
      <c r="I278" s="47" t="s">
        <v>20</v>
      </c>
      <c r="J278" s="47" t="s">
        <v>32</v>
      </c>
      <c r="K278" s="59" t="s">
        <v>23</v>
      </c>
      <c r="L278" s="47" t="s">
        <v>54</v>
      </c>
      <c r="M278" s="47" t="s">
        <v>24</v>
      </c>
    </row>
    <row r="279" customHeight="1" spans="1:13">
      <c r="A279" s="47" t="s">
        <v>698</v>
      </c>
      <c r="B279" s="47" t="s">
        <v>685</v>
      </c>
      <c r="C279" s="47" t="s">
        <v>699</v>
      </c>
      <c r="D279" s="47" t="s">
        <v>16</v>
      </c>
      <c r="E279" s="47" t="s">
        <v>700</v>
      </c>
      <c r="F279" s="47" t="s">
        <v>18</v>
      </c>
      <c r="G279" s="47" t="s">
        <v>38</v>
      </c>
      <c r="H279" s="47" t="s">
        <v>64</v>
      </c>
      <c r="I279" s="47" t="s">
        <v>64</v>
      </c>
      <c r="J279" s="47" t="s">
        <v>22</v>
      </c>
      <c r="K279" s="59" t="s">
        <v>23</v>
      </c>
      <c r="L279" s="59" t="s">
        <v>23</v>
      </c>
      <c r="M279" s="47" t="s">
        <v>24</v>
      </c>
    </row>
    <row r="280" customHeight="1" spans="1:13">
      <c r="A280" s="47" t="s">
        <v>701</v>
      </c>
      <c r="B280" s="47" t="s">
        <v>685</v>
      </c>
      <c r="C280" s="47" t="s">
        <v>496</v>
      </c>
      <c r="D280" s="47" t="s">
        <v>107</v>
      </c>
      <c r="E280" s="47" t="s">
        <v>103</v>
      </c>
      <c r="F280" s="47" t="s">
        <v>37</v>
      </c>
      <c r="G280" s="47" t="s">
        <v>38</v>
      </c>
      <c r="H280" s="47" t="s">
        <v>77</v>
      </c>
      <c r="I280" s="59" t="s">
        <v>23</v>
      </c>
      <c r="J280" s="47" t="s">
        <v>22</v>
      </c>
      <c r="K280" s="59" t="s">
        <v>23</v>
      </c>
      <c r="L280" s="47" t="s">
        <v>65</v>
      </c>
      <c r="M280" s="47" t="s">
        <v>33</v>
      </c>
    </row>
    <row r="281" customHeight="1" spans="1:13">
      <c r="A281" s="47" t="s">
        <v>702</v>
      </c>
      <c r="B281" s="47" t="s">
        <v>685</v>
      </c>
      <c r="C281" s="47" t="s">
        <v>703</v>
      </c>
      <c r="D281" s="47" t="s">
        <v>16</v>
      </c>
      <c r="E281" s="47" t="s">
        <v>17</v>
      </c>
      <c r="F281" s="47" t="s">
        <v>18</v>
      </c>
      <c r="G281" s="47" t="s">
        <v>38</v>
      </c>
      <c r="H281" s="47" t="s">
        <v>20</v>
      </c>
      <c r="I281" s="47" t="s">
        <v>20</v>
      </c>
      <c r="J281" s="47" t="s">
        <v>22</v>
      </c>
      <c r="K281" s="59" t="s">
        <v>23</v>
      </c>
      <c r="L281" s="59" t="s">
        <v>23</v>
      </c>
      <c r="M281" s="47" t="s">
        <v>40</v>
      </c>
    </row>
    <row r="282" customHeight="1" spans="1:13">
      <c r="A282" s="47" t="s">
        <v>704</v>
      </c>
      <c r="B282" s="47" t="s">
        <v>685</v>
      </c>
      <c r="C282" s="47" t="s">
        <v>317</v>
      </c>
      <c r="D282" s="47" t="s">
        <v>16</v>
      </c>
      <c r="E282" s="47" t="s">
        <v>63</v>
      </c>
      <c r="F282" s="47" t="s">
        <v>18</v>
      </c>
      <c r="G282" s="47" t="s">
        <v>38</v>
      </c>
      <c r="H282" s="47" t="s">
        <v>64</v>
      </c>
      <c r="I282" s="47" t="s">
        <v>64</v>
      </c>
      <c r="J282" s="47" t="s">
        <v>22</v>
      </c>
      <c r="K282" s="59" t="s">
        <v>23</v>
      </c>
      <c r="L282" s="47" t="s">
        <v>65</v>
      </c>
      <c r="M282" s="47" t="s">
        <v>40</v>
      </c>
    </row>
    <row r="283" customHeight="1" spans="1:13">
      <c r="A283" s="47" t="s">
        <v>705</v>
      </c>
      <c r="B283" s="47" t="s">
        <v>685</v>
      </c>
      <c r="C283" s="47" t="s">
        <v>706</v>
      </c>
      <c r="D283" s="47" t="s">
        <v>16</v>
      </c>
      <c r="E283" s="47" t="s">
        <v>36</v>
      </c>
      <c r="F283" s="47" t="s">
        <v>37</v>
      </c>
      <c r="G283" s="47" t="s">
        <v>19</v>
      </c>
      <c r="H283" s="47" t="s">
        <v>39</v>
      </c>
      <c r="I283" s="59" t="s">
        <v>23</v>
      </c>
      <c r="J283" s="47" t="s">
        <v>22</v>
      </c>
      <c r="K283" s="59" t="s">
        <v>23</v>
      </c>
      <c r="L283" s="59" t="s">
        <v>23</v>
      </c>
      <c r="M283" s="47" t="s">
        <v>24</v>
      </c>
    </row>
    <row r="284" customHeight="1" spans="1:13">
      <c r="A284" s="47" t="s">
        <v>707</v>
      </c>
      <c r="B284" s="47" t="s">
        <v>685</v>
      </c>
      <c r="C284" s="47" t="s">
        <v>708</v>
      </c>
      <c r="D284" s="47" t="s">
        <v>43</v>
      </c>
      <c r="E284" s="47" t="s">
        <v>17</v>
      </c>
      <c r="F284" s="59" t="s">
        <v>23</v>
      </c>
      <c r="G284" s="47" t="s">
        <v>38</v>
      </c>
      <c r="H284" s="47" t="s">
        <v>20</v>
      </c>
      <c r="I284" s="47" t="s">
        <v>663</v>
      </c>
      <c r="J284" s="47" t="s">
        <v>22</v>
      </c>
      <c r="K284" s="47" t="s">
        <v>143</v>
      </c>
      <c r="L284" s="59" t="s">
        <v>23</v>
      </c>
      <c r="M284" s="47" t="s">
        <v>24</v>
      </c>
    </row>
    <row r="285" customHeight="1" spans="1:13">
      <c r="A285" s="47" t="s">
        <v>709</v>
      </c>
      <c r="B285" s="47" t="s">
        <v>685</v>
      </c>
      <c r="C285" s="47" t="s">
        <v>335</v>
      </c>
      <c r="D285" s="47" t="s">
        <v>16</v>
      </c>
      <c r="E285" s="47" t="s">
        <v>17</v>
      </c>
      <c r="F285" s="47" t="s">
        <v>18</v>
      </c>
      <c r="G285" s="47" t="s">
        <v>38</v>
      </c>
      <c r="H285" s="47" t="s">
        <v>20</v>
      </c>
      <c r="I285" s="47" t="s">
        <v>710</v>
      </c>
      <c r="J285" s="47" t="s">
        <v>22</v>
      </c>
      <c r="K285" s="59" t="s">
        <v>23</v>
      </c>
      <c r="L285" s="59" t="s">
        <v>23</v>
      </c>
      <c r="M285" s="47" t="s">
        <v>73</v>
      </c>
    </row>
    <row r="286" customHeight="1" spans="1:13">
      <c r="A286" s="47" t="s">
        <v>711</v>
      </c>
      <c r="B286" s="47" t="s">
        <v>685</v>
      </c>
      <c r="C286" s="47" t="s">
        <v>712</v>
      </c>
      <c r="D286" s="47" t="s">
        <v>16</v>
      </c>
      <c r="E286" s="47" t="s">
        <v>27</v>
      </c>
      <c r="F286" s="47" t="s">
        <v>28</v>
      </c>
      <c r="G286" s="47" t="s">
        <v>38</v>
      </c>
      <c r="H286" s="47" t="s">
        <v>30</v>
      </c>
      <c r="I286" s="47" t="s">
        <v>30</v>
      </c>
      <c r="J286" s="47" t="s">
        <v>22</v>
      </c>
      <c r="K286" s="59" t="s">
        <v>23</v>
      </c>
      <c r="L286" s="59" t="s">
        <v>23</v>
      </c>
      <c r="M286" s="47" t="s">
        <v>33</v>
      </c>
    </row>
    <row r="287" customHeight="1" spans="1:13">
      <c r="A287" s="47" t="s">
        <v>713</v>
      </c>
      <c r="B287" s="47" t="s">
        <v>685</v>
      </c>
      <c r="C287" s="47" t="s">
        <v>714</v>
      </c>
      <c r="D287" s="47" t="s">
        <v>16</v>
      </c>
      <c r="E287" s="47" t="s">
        <v>81</v>
      </c>
      <c r="F287" s="47" t="s">
        <v>37</v>
      </c>
      <c r="G287" s="47" t="s">
        <v>38</v>
      </c>
      <c r="H287" s="47" t="s">
        <v>82</v>
      </c>
      <c r="I287" s="47" t="s">
        <v>82</v>
      </c>
      <c r="J287" s="47" t="s">
        <v>715</v>
      </c>
      <c r="K287" s="59" t="s">
        <v>23</v>
      </c>
      <c r="L287" s="47" t="s">
        <v>54</v>
      </c>
      <c r="M287" s="47" t="s">
        <v>47</v>
      </c>
    </row>
    <row r="288" customHeight="1" spans="1:13">
      <c r="A288" s="47" t="s">
        <v>716</v>
      </c>
      <c r="B288" s="47" t="s">
        <v>666</v>
      </c>
      <c r="C288" s="47" t="s">
        <v>717</v>
      </c>
      <c r="D288" s="47" t="s">
        <v>16</v>
      </c>
      <c r="E288" s="47" t="s">
        <v>50</v>
      </c>
      <c r="F288" s="47" t="s">
        <v>28</v>
      </c>
      <c r="G288" s="47" t="s">
        <v>19</v>
      </c>
      <c r="H288" s="47" t="s">
        <v>52</v>
      </c>
      <c r="I288" s="47" t="s">
        <v>425</v>
      </c>
      <c r="J288" s="47" t="s">
        <v>32</v>
      </c>
      <c r="K288" s="59" t="s">
        <v>23</v>
      </c>
      <c r="L288" s="59" t="s">
        <v>23</v>
      </c>
      <c r="M288" s="47" t="s">
        <v>73</v>
      </c>
    </row>
    <row r="289" customHeight="1" spans="1:13">
      <c r="A289" s="47" t="s">
        <v>718</v>
      </c>
      <c r="B289" s="47" t="s">
        <v>666</v>
      </c>
      <c r="C289" s="47" t="s">
        <v>415</v>
      </c>
      <c r="D289" s="47" t="s">
        <v>16</v>
      </c>
      <c r="E289" s="47" t="s">
        <v>719</v>
      </c>
      <c r="F289" s="47" t="s">
        <v>37</v>
      </c>
      <c r="G289" s="47" t="s">
        <v>38</v>
      </c>
      <c r="H289" s="47" t="s">
        <v>77</v>
      </c>
      <c r="I289" s="47" t="s">
        <v>77</v>
      </c>
      <c r="J289" s="47" t="s">
        <v>22</v>
      </c>
      <c r="K289" s="47" t="s">
        <v>143</v>
      </c>
      <c r="L289" s="59" t="s">
        <v>23</v>
      </c>
      <c r="M289" s="47" t="s">
        <v>24</v>
      </c>
    </row>
    <row r="290" customHeight="1" spans="1:13">
      <c r="A290" s="47" t="s">
        <v>720</v>
      </c>
      <c r="B290" s="47" t="s">
        <v>666</v>
      </c>
      <c r="C290" s="47" t="s">
        <v>721</v>
      </c>
      <c r="D290" s="47" t="s">
        <v>107</v>
      </c>
      <c r="E290" s="47" t="s">
        <v>103</v>
      </c>
      <c r="F290" s="47" t="s">
        <v>37</v>
      </c>
      <c r="G290" s="47" t="s">
        <v>38</v>
      </c>
      <c r="H290" s="47" t="s">
        <v>77</v>
      </c>
      <c r="I290" s="47" t="s">
        <v>77</v>
      </c>
      <c r="J290" s="47" t="s">
        <v>22</v>
      </c>
      <c r="K290" s="59" t="s">
        <v>23</v>
      </c>
      <c r="L290" s="59" t="s">
        <v>23</v>
      </c>
      <c r="M290" s="47" t="s">
        <v>47</v>
      </c>
    </row>
    <row r="291" customHeight="1" spans="1:13">
      <c r="A291" s="47" t="s">
        <v>722</v>
      </c>
      <c r="B291" s="47" t="s">
        <v>666</v>
      </c>
      <c r="C291" s="47" t="s">
        <v>139</v>
      </c>
      <c r="D291" s="47" t="s">
        <v>16</v>
      </c>
      <c r="E291" s="47" t="s">
        <v>81</v>
      </c>
      <c r="F291" s="47" t="s">
        <v>37</v>
      </c>
      <c r="G291" s="47" t="s">
        <v>19</v>
      </c>
      <c r="H291" s="47" t="s">
        <v>82</v>
      </c>
      <c r="I291" s="47" t="s">
        <v>184</v>
      </c>
      <c r="J291" s="47" t="s">
        <v>22</v>
      </c>
      <c r="K291" s="59" t="s">
        <v>23</v>
      </c>
      <c r="L291" s="47" t="s">
        <v>29</v>
      </c>
      <c r="M291" s="47" t="s">
        <v>24</v>
      </c>
    </row>
    <row r="292" customHeight="1" spans="1:13">
      <c r="A292" s="47" t="s">
        <v>723</v>
      </c>
      <c r="B292" s="47" t="s">
        <v>666</v>
      </c>
      <c r="C292" s="47" t="s">
        <v>482</v>
      </c>
      <c r="D292" s="47" t="s">
        <v>16</v>
      </c>
      <c r="E292" s="47" t="s">
        <v>63</v>
      </c>
      <c r="F292" s="47" t="s">
        <v>18</v>
      </c>
      <c r="G292" s="47" t="s">
        <v>38</v>
      </c>
      <c r="H292" s="47" t="s">
        <v>64</v>
      </c>
      <c r="I292" s="47" t="s">
        <v>724</v>
      </c>
      <c r="J292" s="47" t="s">
        <v>22</v>
      </c>
      <c r="K292" s="59" t="s">
        <v>23</v>
      </c>
      <c r="L292" s="47" t="s">
        <v>54</v>
      </c>
      <c r="M292" s="47" t="s">
        <v>24</v>
      </c>
    </row>
    <row r="293" customHeight="1" spans="1:13">
      <c r="A293" s="47" t="s">
        <v>725</v>
      </c>
      <c r="B293" s="47" t="s">
        <v>666</v>
      </c>
      <c r="C293" s="47" t="s">
        <v>271</v>
      </c>
      <c r="D293" s="47" t="s">
        <v>43</v>
      </c>
      <c r="E293" s="47" t="s">
        <v>36</v>
      </c>
      <c r="F293" s="47" t="s">
        <v>37</v>
      </c>
      <c r="G293" s="47" t="s">
        <v>19</v>
      </c>
      <c r="H293" s="47" t="s">
        <v>39</v>
      </c>
      <c r="I293" s="47" t="s">
        <v>82</v>
      </c>
      <c r="J293" s="47" t="s">
        <v>68</v>
      </c>
      <c r="K293" s="59" t="s">
        <v>23</v>
      </c>
      <c r="L293" s="47" t="s">
        <v>54</v>
      </c>
      <c r="M293" s="47" t="s">
        <v>33</v>
      </c>
    </row>
    <row r="294" customHeight="1" spans="1:13">
      <c r="A294" s="47" t="s">
        <v>726</v>
      </c>
      <c r="B294" s="47" t="s">
        <v>666</v>
      </c>
      <c r="C294" s="47" t="s">
        <v>727</v>
      </c>
      <c r="D294" s="47" t="s">
        <v>86</v>
      </c>
      <c r="E294" s="47" t="s">
        <v>81</v>
      </c>
      <c r="F294" s="47" t="s">
        <v>37</v>
      </c>
      <c r="G294" s="47" t="s">
        <v>38</v>
      </c>
      <c r="H294" s="47" t="s">
        <v>82</v>
      </c>
      <c r="I294" s="47" t="s">
        <v>82</v>
      </c>
      <c r="J294" s="47" t="s">
        <v>22</v>
      </c>
      <c r="K294" s="59" t="s">
        <v>23</v>
      </c>
      <c r="L294" s="47" t="s">
        <v>54</v>
      </c>
      <c r="M294" s="47" t="s">
        <v>24</v>
      </c>
    </row>
    <row r="295" customHeight="1" spans="1:13">
      <c r="A295" s="47" t="s">
        <v>728</v>
      </c>
      <c r="B295" s="47" t="s">
        <v>680</v>
      </c>
      <c r="C295" s="47" t="s">
        <v>729</v>
      </c>
      <c r="D295" s="47" t="s">
        <v>16</v>
      </c>
      <c r="E295" s="47" t="s">
        <v>50</v>
      </c>
      <c r="F295" s="47" t="s">
        <v>28</v>
      </c>
      <c r="G295" s="47" t="s">
        <v>38</v>
      </c>
      <c r="H295" s="47" t="s">
        <v>52</v>
      </c>
      <c r="I295" s="47" t="s">
        <v>730</v>
      </c>
      <c r="J295" s="47" t="s">
        <v>22</v>
      </c>
      <c r="K295" s="47" t="s">
        <v>143</v>
      </c>
      <c r="L295" s="47" t="s">
        <v>54</v>
      </c>
      <c r="M295" s="47" t="s">
        <v>490</v>
      </c>
    </row>
    <row r="296" customHeight="1" spans="1:13">
      <c r="A296" s="47" t="s">
        <v>731</v>
      </c>
      <c r="B296" s="47" t="s">
        <v>666</v>
      </c>
      <c r="C296" s="47" t="s">
        <v>732</v>
      </c>
      <c r="D296" s="47" t="s">
        <v>134</v>
      </c>
      <c r="E296" s="47" t="s">
        <v>733</v>
      </c>
      <c r="F296" s="47" t="s">
        <v>28</v>
      </c>
      <c r="G296" s="47" t="s">
        <v>38</v>
      </c>
      <c r="H296" s="47" t="s">
        <v>734</v>
      </c>
      <c r="I296" s="47" t="s">
        <v>52</v>
      </c>
      <c r="J296" s="47" t="s">
        <v>22</v>
      </c>
      <c r="K296" s="59" t="s">
        <v>23</v>
      </c>
      <c r="L296" s="59" t="s">
        <v>23</v>
      </c>
      <c r="M296" s="47" t="s">
        <v>24</v>
      </c>
    </row>
    <row r="297" customHeight="1" spans="1:13">
      <c r="A297" s="47" t="s">
        <v>735</v>
      </c>
      <c r="B297" s="47" t="s">
        <v>666</v>
      </c>
      <c r="C297" s="47" t="s">
        <v>736</v>
      </c>
      <c r="D297" s="47" t="s">
        <v>16</v>
      </c>
      <c r="E297" s="47" t="s">
        <v>103</v>
      </c>
      <c r="F297" s="47" t="s">
        <v>37</v>
      </c>
      <c r="G297" s="47" t="s">
        <v>38</v>
      </c>
      <c r="H297" s="47" t="s">
        <v>77</v>
      </c>
      <c r="I297" s="47" t="s">
        <v>77</v>
      </c>
      <c r="J297" s="47" t="s">
        <v>22</v>
      </c>
      <c r="K297" s="59" t="s">
        <v>23</v>
      </c>
      <c r="L297" s="59" t="s">
        <v>23</v>
      </c>
      <c r="M297" s="47" t="s">
        <v>33</v>
      </c>
    </row>
    <row r="298" customHeight="1" spans="1:13">
      <c r="A298" s="47" t="s">
        <v>737</v>
      </c>
      <c r="B298" s="47" t="s">
        <v>738</v>
      </c>
      <c r="C298" s="47" t="s">
        <v>739</v>
      </c>
      <c r="D298" s="47" t="s">
        <v>43</v>
      </c>
      <c r="E298" s="47" t="s">
        <v>161</v>
      </c>
      <c r="F298" s="47" t="s">
        <v>18</v>
      </c>
      <c r="G298" s="47" t="s">
        <v>38</v>
      </c>
      <c r="H298" s="47" t="s">
        <v>64</v>
      </c>
      <c r="I298" s="47" t="s">
        <v>64</v>
      </c>
      <c r="J298" s="47" t="s">
        <v>22</v>
      </c>
      <c r="K298" s="59" t="s">
        <v>23</v>
      </c>
      <c r="L298" s="59" t="s">
        <v>23</v>
      </c>
      <c r="M298" s="47" t="s">
        <v>40</v>
      </c>
    </row>
    <row r="299" customHeight="1" spans="1:13">
      <c r="A299" s="47" t="s">
        <v>740</v>
      </c>
      <c r="B299" s="47" t="s">
        <v>738</v>
      </c>
      <c r="C299" s="47" t="s">
        <v>428</v>
      </c>
      <c r="D299" s="47" t="s">
        <v>393</v>
      </c>
      <c r="E299" s="47" t="s">
        <v>63</v>
      </c>
      <c r="F299" s="47" t="s">
        <v>18</v>
      </c>
      <c r="G299" s="47" t="s">
        <v>38</v>
      </c>
      <c r="H299" s="47" t="s">
        <v>644</v>
      </c>
      <c r="I299" s="47" t="s">
        <v>64</v>
      </c>
      <c r="J299" s="47" t="s">
        <v>22</v>
      </c>
      <c r="K299" s="59" t="s">
        <v>23</v>
      </c>
      <c r="L299" s="59" t="s">
        <v>23</v>
      </c>
      <c r="M299" s="47" t="s">
        <v>236</v>
      </c>
    </row>
    <row r="300" customHeight="1" spans="1:13">
      <c r="A300" s="47" t="s">
        <v>741</v>
      </c>
      <c r="B300" s="47" t="s">
        <v>738</v>
      </c>
      <c r="C300" s="47" t="s">
        <v>271</v>
      </c>
      <c r="D300" s="47" t="s">
        <v>43</v>
      </c>
      <c r="E300" s="47" t="s">
        <v>17</v>
      </c>
      <c r="F300" s="47" t="s">
        <v>18</v>
      </c>
      <c r="G300" s="47" t="s">
        <v>19</v>
      </c>
      <c r="H300" s="47" t="s">
        <v>462</v>
      </c>
      <c r="I300" s="47" t="s">
        <v>742</v>
      </c>
      <c r="J300" s="47" t="s">
        <v>22</v>
      </c>
      <c r="K300" s="47" t="s">
        <v>53</v>
      </c>
      <c r="L300" s="47" t="s">
        <v>65</v>
      </c>
      <c r="M300" s="47" t="s">
        <v>743</v>
      </c>
    </row>
    <row r="301" customHeight="1" spans="1:13">
      <c r="A301" s="47" t="s">
        <v>744</v>
      </c>
      <c r="B301" s="47" t="s">
        <v>745</v>
      </c>
      <c r="C301" s="47" t="s">
        <v>283</v>
      </c>
      <c r="D301" s="47" t="s">
        <v>107</v>
      </c>
      <c r="E301" s="47" t="s">
        <v>17</v>
      </c>
      <c r="F301" s="47" t="s">
        <v>18</v>
      </c>
      <c r="G301" s="47" t="s">
        <v>19</v>
      </c>
      <c r="H301" s="47" t="s">
        <v>20</v>
      </c>
      <c r="I301" s="47" t="s">
        <v>21</v>
      </c>
      <c r="J301" s="47" t="s">
        <v>32</v>
      </c>
      <c r="K301" s="59" t="s">
        <v>23</v>
      </c>
      <c r="L301" s="59" t="s">
        <v>23</v>
      </c>
      <c r="M301" s="47" t="s">
        <v>73</v>
      </c>
    </row>
    <row r="302" customHeight="1" spans="1:13">
      <c r="A302" s="47" t="s">
        <v>746</v>
      </c>
      <c r="B302" s="47" t="s">
        <v>738</v>
      </c>
      <c r="C302" s="47" t="s">
        <v>747</v>
      </c>
      <c r="D302" s="47" t="s">
        <v>16</v>
      </c>
      <c r="E302" s="47" t="s">
        <v>95</v>
      </c>
      <c r="F302" s="59" t="s">
        <v>23</v>
      </c>
      <c r="G302" s="47" t="s">
        <v>38</v>
      </c>
      <c r="H302" s="47" t="s">
        <v>77</v>
      </c>
      <c r="I302" s="47" t="s">
        <v>77</v>
      </c>
      <c r="J302" s="47" t="s">
        <v>22</v>
      </c>
      <c r="K302" s="59" t="s">
        <v>23</v>
      </c>
      <c r="L302" s="59" t="s">
        <v>23</v>
      </c>
      <c r="M302" s="47" t="s">
        <v>24</v>
      </c>
    </row>
    <row r="303" customHeight="1" spans="1:13">
      <c r="A303" s="47" t="s">
        <v>748</v>
      </c>
      <c r="B303" s="47" t="s">
        <v>749</v>
      </c>
      <c r="C303" s="47" t="s">
        <v>750</v>
      </c>
      <c r="D303" s="47" t="s">
        <v>16</v>
      </c>
      <c r="E303" s="47" t="s">
        <v>36</v>
      </c>
      <c r="F303" s="59" t="s">
        <v>23</v>
      </c>
      <c r="G303" s="47" t="s">
        <v>38</v>
      </c>
      <c r="H303" s="47" t="s">
        <v>39</v>
      </c>
      <c r="I303" s="47" t="s">
        <v>39</v>
      </c>
      <c r="J303" s="47" t="s">
        <v>22</v>
      </c>
      <c r="K303" s="59" t="s">
        <v>23</v>
      </c>
      <c r="L303" s="59" t="s">
        <v>23</v>
      </c>
      <c r="M303" s="47" t="s">
        <v>24</v>
      </c>
    </row>
    <row r="304" customHeight="1" spans="1:13">
      <c r="A304" s="47" t="s">
        <v>751</v>
      </c>
      <c r="B304" s="47" t="s">
        <v>749</v>
      </c>
      <c r="C304" s="47" t="s">
        <v>752</v>
      </c>
      <c r="D304" s="47" t="s">
        <v>16</v>
      </c>
      <c r="E304" s="47" t="s">
        <v>63</v>
      </c>
      <c r="F304" s="59" t="s">
        <v>23</v>
      </c>
      <c r="G304" s="47" t="s">
        <v>38</v>
      </c>
      <c r="H304" s="47" t="s">
        <v>64</v>
      </c>
      <c r="I304" s="47" t="s">
        <v>64</v>
      </c>
      <c r="J304" s="47" t="s">
        <v>753</v>
      </c>
      <c r="K304" s="59" t="s">
        <v>23</v>
      </c>
      <c r="L304" s="59" t="s">
        <v>23</v>
      </c>
      <c r="M304" s="47" t="s">
        <v>24</v>
      </c>
    </row>
    <row r="305" customHeight="1" spans="1:13">
      <c r="A305" s="47" t="s">
        <v>754</v>
      </c>
      <c r="B305" s="47" t="s">
        <v>749</v>
      </c>
      <c r="C305" s="47" t="s">
        <v>755</v>
      </c>
      <c r="D305" s="47" t="s">
        <v>107</v>
      </c>
      <c r="E305" s="47" t="s">
        <v>81</v>
      </c>
      <c r="F305" s="47" t="s">
        <v>37</v>
      </c>
      <c r="G305" s="47" t="s">
        <v>38</v>
      </c>
      <c r="H305" s="47" t="s">
        <v>82</v>
      </c>
      <c r="I305" s="47" t="s">
        <v>82</v>
      </c>
      <c r="J305" s="47" t="s">
        <v>22</v>
      </c>
      <c r="K305" s="59" t="s">
        <v>23</v>
      </c>
      <c r="L305" s="59" t="s">
        <v>23</v>
      </c>
      <c r="M305" s="47" t="s">
        <v>73</v>
      </c>
    </row>
    <row r="306" customHeight="1" spans="1:13">
      <c r="A306" s="47" t="s">
        <v>756</v>
      </c>
      <c r="B306" s="47" t="s">
        <v>749</v>
      </c>
      <c r="C306" s="47" t="s">
        <v>757</v>
      </c>
      <c r="D306" s="47" t="s">
        <v>43</v>
      </c>
      <c r="E306" s="47" t="s">
        <v>367</v>
      </c>
      <c r="F306" s="47" t="s">
        <v>109</v>
      </c>
      <c r="G306" s="47" t="s">
        <v>38</v>
      </c>
      <c r="H306" s="59" t="s">
        <v>23</v>
      </c>
      <c r="I306" s="47" t="s">
        <v>110</v>
      </c>
      <c r="J306" s="47" t="s">
        <v>22</v>
      </c>
      <c r="K306" s="59" t="s">
        <v>23</v>
      </c>
      <c r="L306" s="59" t="s">
        <v>23</v>
      </c>
      <c r="M306" s="47" t="s">
        <v>33</v>
      </c>
    </row>
    <row r="307" customHeight="1" spans="1:13">
      <c r="A307" s="47" t="s">
        <v>758</v>
      </c>
      <c r="B307" s="47" t="s">
        <v>759</v>
      </c>
      <c r="C307" s="47" t="s">
        <v>760</v>
      </c>
      <c r="D307" s="47" t="s">
        <v>16</v>
      </c>
      <c r="E307" s="47" t="s">
        <v>647</v>
      </c>
      <c r="F307" s="59" t="s">
        <v>23</v>
      </c>
      <c r="G307" s="47" t="s">
        <v>19</v>
      </c>
      <c r="H307" s="47" t="s">
        <v>227</v>
      </c>
      <c r="I307" s="47" t="s">
        <v>761</v>
      </c>
      <c r="J307" s="47" t="s">
        <v>22</v>
      </c>
      <c r="K307" s="59" t="s">
        <v>23</v>
      </c>
      <c r="L307" s="59" t="s">
        <v>23</v>
      </c>
      <c r="M307" s="47" t="s">
        <v>33</v>
      </c>
    </row>
    <row r="308" customHeight="1" spans="1:13">
      <c r="A308" s="47" t="s">
        <v>762</v>
      </c>
      <c r="B308" s="47" t="s">
        <v>759</v>
      </c>
      <c r="C308" s="47" t="s">
        <v>584</v>
      </c>
      <c r="D308" s="47" t="s">
        <v>213</v>
      </c>
      <c r="E308" s="47" t="s">
        <v>763</v>
      </c>
      <c r="F308" s="47" t="s">
        <v>18</v>
      </c>
      <c r="G308" s="47" t="s">
        <v>19</v>
      </c>
      <c r="H308" s="47" t="s">
        <v>20</v>
      </c>
      <c r="I308" s="47" t="s">
        <v>21</v>
      </c>
      <c r="J308" s="47" t="s">
        <v>22</v>
      </c>
      <c r="K308" s="59" t="s">
        <v>23</v>
      </c>
      <c r="L308" s="59" t="s">
        <v>23</v>
      </c>
      <c r="M308" s="47" t="s">
        <v>33</v>
      </c>
    </row>
    <row r="309" customHeight="1" spans="1:13">
      <c r="A309" s="47" t="s">
        <v>764</v>
      </c>
      <c r="B309" s="47" t="s">
        <v>759</v>
      </c>
      <c r="C309" s="47" t="s">
        <v>765</v>
      </c>
      <c r="D309" s="47" t="s">
        <v>107</v>
      </c>
      <c r="E309" s="47" t="s">
        <v>63</v>
      </c>
      <c r="F309" s="47" t="s">
        <v>18</v>
      </c>
      <c r="G309" s="47" t="s">
        <v>38</v>
      </c>
      <c r="H309" s="47" t="s">
        <v>64</v>
      </c>
      <c r="I309" s="47" t="s">
        <v>64</v>
      </c>
      <c r="J309" s="47" t="s">
        <v>753</v>
      </c>
      <c r="K309" s="59" t="s">
        <v>23</v>
      </c>
      <c r="L309" s="47" t="s">
        <v>65</v>
      </c>
      <c r="M309" s="47" t="s">
        <v>47</v>
      </c>
    </row>
    <row r="310" customHeight="1" spans="1:13">
      <c r="A310" s="47" t="s">
        <v>766</v>
      </c>
      <c r="B310" s="47" t="s">
        <v>767</v>
      </c>
      <c r="C310" s="47" t="s">
        <v>768</v>
      </c>
      <c r="D310" s="47" t="s">
        <v>16</v>
      </c>
      <c r="E310" s="47" t="s">
        <v>165</v>
      </c>
      <c r="F310" s="47" t="s">
        <v>109</v>
      </c>
      <c r="G310" s="47" t="s">
        <v>38</v>
      </c>
      <c r="H310" s="47" t="s">
        <v>82</v>
      </c>
      <c r="I310" s="47" t="s">
        <v>769</v>
      </c>
      <c r="J310" s="47" t="s">
        <v>485</v>
      </c>
      <c r="K310" s="59" t="s">
        <v>23</v>
      </c>
      <c r="L310" s="59" t="s">
        <v>23</v>
      </c>
      <c r="M310" s="47" t="s">
        <v>33</v>
      </c>
    </row>
    <row r="311" customHeight="1" spans="1:13">
      <c r="A311" s="47" t="s">
        <v>770</v>
      </c>
      <c r="B311" s="47" t="s">
        <v>767</v>
      </c>
      <c r="C311" s="47" t="s">
        <v>771</v>
      </c>
      <c r="D311" s="47" t="s">
        <v>62</v>
      </c>
      <c r="E311" s="47" t="s">
        <v>146</v>
      </c>
      <c r="F311" s="47" t="s">
        <v>28</v>
      </c>
      <c r="G311" s="47" t="s">
        <v>38</v>
      </c>
      <c r="H311" s="47" t="s">
        <v>147</v>
      </c>
      <c r="I311" s="47" t="s">
        <v>147</v>
      </c>
      <c r="J311" s="47" t="s">
        <v>32</v>
      </c>
      <c r="K311" s="59" t="s">
        <v>23</v>
      </c>
      <c r="L311" s="47" t="s">
        <v>65</v>
      </c>
      <c r="M311" s="47" t="s">
        <v>73</v>
      </c>
    </row>
    <row r="312" customHeight="1" spans="1:13">
      <c r="A312" s="47" t="s">
        <v>772</v>
      </c>
      <c r="B312" s="47" t="s">
        <v>767</v>
      </c>
      <c r="C312" s="47" t="s">
        <v>459</v>
      </c>
      <c r="D312" s="47" t="s">
        <v>16</v>
      </c>
      <c r="E312" s="47" t="s">
        <v>165</v>
      </c>
      <c r="F312" s="59" t="s">
        <v>23</v>
      </c>
      <c r="G312" s="47" t="s">
        <v>19</v>
      </c>
      <c r="H312" s="47" t="s">
        <v>82</v>
      </c>
      <c r="I312" s="47" t="s">
        <v>184</v>
      </c>
      <c r="J312" s="47" t="s">
        <v>22</v>
      </c>
      <c r="K312" s="59" t="s">
        <v>23</v>
      </c>
      <c r="L312" s="47" t="s">
        <v>65</v>
      </c>
      <c r="M312" s="47" t="s">
        <v>40</v>
      </c>
    </row>
    <row r="313" customHeight="1" spans="1:13">
      <c r="A313" s="47" t="s">
        <v>773</v>
      </c>
      <c r="B313" s="47" t="s">
        <v>774</v>
      </c>
      <c r="C313" s="47" t="s">
        <v>775</v>
      </c>
      <c r="D313" s="47" t="s">
        <v>393</v>
      </c>
      <c r="E313" s="47" t="s">
        <v>103</v>
      </c>
      <c r="F313" s="47" t="s">
        <v>37</v>
      </c>
      <c r="G313" s="47" t="s">
        <v>38</v>
      </c>
      <c r="H313" s="59" t="s">
        <v>23</v>
      </c>
      <c r="I313" s="47" t="s">
        <v>104</v>
      </c>
      <c r="J313" s="47" t="s">
        <v>32</v>
      </c>
      <c r="K313" s="59" t="s">
        <v>23</v>
      </c>
      <c r="L313" s="59" t="s">
        <v>23</v>
      </c>
      <c r="M313" s="47" t="s">
        <v>24</v>
      </c>
    </row>
    <row r="314" customHeight="1" spans="1:13">
      <c r="A314" s="47" t="s">
        <v>776</v>
      </c>
      <c r="B314" s="47" t="s">
        <v>777</v>
      </c>
      <c r="C314" s="47" t="s">
        <v>778</v>
      </c>
      <c r="D314" s="47" t="s">
        <v>107</v>
      </c>
      <c r="E314" s="47" t="s">
        <v>17</v>
      </c>
      <c r="F314" s="47" t="s">
        <v>309</v>
      </c>
      <c r="G314" s="47" t="s">
        <v>29</v>
      </c>
      <c r="H314" s="47" t="s">
        <v>20</v>
      </c>
      <c r="I314" s="47" t="s">
        <v>39</v>
      </c>
      <c r="J314" s="47" t="s">
        <v>32</v>
      </c>
      <c r="K314" s="59" t="s">
        <v>23</v>
      </c>
      <c r="L314" s="59" t="s">
        <v>23</v>
      </c>
      <c r="M314" s="47" t="s">
        <v>24</v>
      </c>
    </row>
    <row r="315" customHeight="1" spans="1:13">
      <c r="A315" s="47" t="s">
        <v>779</v>
      </c>
      <c r="B315" s="47" t="s">
        <v>777</v>
      </c>
      <c r="C315" s="47" t="s">
        <v>780</v>
      </c>
      <c r="D315" s="47" t="s">
        <v>16</v>
      </c>
      <c r="E315" s="47" t="s">
        <v>781</v>
      </c>
      <c r="F315" s="47" t="s">
        <v>45</v>
      </c>
      <c r="G315" s="47" t="s">
        <v>19</v>
      </c>
      <c r="H315" s="47" t="s">
        <v>46</v>
      </c>
      <c r="I315" s="47" t="s">
        <v>114</v>
      </c>
      <c r="J315" s="47" t="s">
        <v>22</v>
      </c>
      <c r="K315" s="59" t="s">
        <v>23</v>
      </c>
      <c r="L315" s="47" t="s">
        <v>29</v>
      </c>
      <c r="M315" s="47" t="s">
        <v>33</v>
      </c>
    </row>
    <row r="316" customHeight="1" spans="1:13">
      <c r="A316" s="47" t="s">
        <v>779</v>
      </c>
      <c r="B316" s="47" t="s">
        <v>777</v>
      </c>
      <c r="C316" s="47" t="s">
        <v>780</v>
      </c>
      <c r="D316" s="47" t="s">
        <v>16</v>
      </c>
      <c r="E316" s="47" t="s">
        <v>262</v>
      </c>
      <c r="F316" s="47" t="s">
        <v>45</v>
      </c>
      <c r="G316" s="47" t="s">
        <v>19</v>
      </c>
      <c r="H316" s="47" t="s">
        <v>46</v>
      </c>
      <c r="I316" s="47" t="s">
        <v>114</v>
      </c>
      <c r="J316" s="47" t="s">
        <v>127</v>
      </c>
      <c r="K316" s="59" t="s">
        <v>23</v>
      </c>
      <c r="L316" s="47" t="s">
        <v>29</v>
      </c>
      <c r="M316" s="47" t="s">
        <v>33</v>
      </c>
    </row>
    <row r="317" customHeight="1" spans="1:13">
      <c r="A317" s="47" t="s">
        <v>782</v>
      </c>
      <c r="B317" s="47" t="s">
        <v>777</v>
      </c>
      <c r="C317" s="47" t="s">
        <v>783</v>
      </c>
      <c r="D317" s="47" t="s">
        <v>43</v>
      </c>
      <c r="E317" s="47" t="s">
        <v>17</v>
      </c>
      <c r="F317" s="47" t="s">
        <v>18</v>
      </c>
      <c r="G317" s="47" t="s">
        <v>29</v>
      </c>
      <c r="H317" s="47" t="s">
        <v>20</v>
      </c>
      <c r="I317" s="47" t="s">
        <v>39</v>
      </c>
      <c r="J317" s="47" t="s">
        <v>32</v>
      </c>
      <c r="K317" s="59" t="s">
        <v>23</v>
      </c>
      <c r="L317" s="47" t="s">
        <v>54</v>
      </c>
      <c r="M317" s="47" t="s">
        <v>73</v>
      </c>
    </row>
    <row r="318" customHeight="1" spans="1:13">
      <c r="A318" s="47" t="s">
        <v>784</v>
      </c>
      <c r="B318" s="47" t="s">
        <v>777</v>
      </c>
      <c r="C318" s="47" t="s">
        <v>785</v>
      </c>
      <c r="D318" s="47" t="s">
        <v>43</v>
      </c>
      <c r="E318" s="47" t="s">
        <v>81</v>
      </c>
      <c r="F318" s="47" t="s">
        <v>37</v>
      </c>
      <c r="G318" s="47" t="s">
        <v>38</v>
      </c>
      <c r="H318" s="47" t="s">
        <v>82</v>
      </c>
      <c r="I318" s="47" t="s">
        <v>82</v>
      </c>
      <c r="J318" s="47" t="s">
        <v>22</v>
      </c>
      <c r="K318" s="59" t="s">
        <v>23</v>
      </c>
      <c r="L318" s="59" t="s">
        <v>23</v>
      </c>
      <c r="M318" s="47" t="s">
        <v>73</v>
      </c>
    </row>
    <row r="319" customHeight="1" spans="1:13">
      <c r="A319" s="47" t="s">
        <v>786</v>
      </c>
      <c r="B319" s="47" t="s">
        <v>777</v>
      </c>
      <c r="C319" s="47" t="s">
        <v>580</v>
      </c>
      <c r="D319" s="47" t="s">
        <v>16</v>
      </c>
      <c r="E319" s="47" t="s">
        <v>50</v>
      </c>
      <c r="F319" s="47" t="s">
        <v>28</v>
      </c>
      <c r="G319" s="47" t="s">
        <v>19</v>
      </c>
      <c r="H319" s="47" t="s">
        <v>52</v>
      </c>
      <c r="I319" s="47" t="s">
        <v>425</v>
      </c>
      <c r="J319" s="47" t="s">
        <v>22</v>
      </c>
      <c r="K319" s="59" t="s">
        <v>23</v>
      </c>
      <c r="L319" s="47" t="s">
        <v>54</v>
      </c>
      <c r="M319" s="47" t="s">
        <v>73</v>
      </c>
    </row>
    <row r="320" customHeight="1" spans="1:13">
      <c r="A320" s="47" t="s">
        <v>787</v>
      </c>
      <c r="B320" s="47" t="s">
        <v>788</v>
      </c>
      <c r="C320" s="47" t="s">
        <v>789</v>
      </c>
      <c r="D320" s="47" t="s">
        <v>16</v>
      </c>
      <c r="E320" s="47" t="s">
        <v>95</v>
      </c>
      <c r="F320" s="47" t="s">
        <v>45</v>
      </c>
      <c r="G320" s="47" t="s">
        <v>19</v>
      </c>
      <c r="H320" s="47" t="s">
        <v>77</v>
      </c>
      <c r="I320" s="47" t="s">
        <v>189</v>
      </c>
      <c r="J320" s="47" t="s">
        <v>32</v>
      </c>
      <c r="K320" s="47" t="s">
        <v>143</v>
      </c>
      <c r="L320" s="59" t="s">
        <v>23</v>
      </c>
      <c r="M320" s="47" t="s">
        <v>33</v>
      </c>
    </row>
    <row r="321" customHeight="1" spans="1:13">
      <c r="A321" s="47" t="s">
        <v>790</v>
      </c>
      <c r="B321" s="47" t="s">
        <v>791</v>
      </c>
      <c r="C321" s="47" t="s">
        <v>792</v>
      </c>
      <c r="D321" s="47" t="s">
        <v>16</v>
      </c>
      <c r="E321" s="47" t="s">
        <v>63</v>
      </c>
      <c r="F321" s="47" t="s">
        <v>18</v>
      </c>
      <c r="G321" s="47" t="s">
        <v>38</v>
      </c>
      <c r="H321" s="47" t="s">
        <v>64</v>
      </c>
      <c r="I321" s="47" t="s">
        <v>64</v>
      </c>
      <c r="J321" s="47" t="s">
        <v>127</v>
      </c>
      <c r="K321" s="59" t="s">
        <v>23</v>
      </c>
      <c r="L321" s="47" t="s">
        <v>54</v>
      </c>
      <c r="M321" s="47" t="s">
        <v>157</v>
      </c>
    </row>
    <row r="322" customHeight="1" spans="1:13">
      <c r="A322" s="47" t="s">
        <v>793</v>
      </c>
      <c r="B322" s="47" t="s">
        <v>791</v>
      </c>
      <c r="C322" s="47" t="s">
        <v>794</v>
      </c>
      <c r="D322" s="47" t="s">
        <v>16</v>
      </c>
      <c r="E322" s="47" t="s">
        <v>17</v>
      </c>
      <c r="F322" s="47" t="s">
        <v>18</v>
      </c>
      <c r="G322" s="59" t="s">
        <v>23</v>
      </c>
      <c r="H322" s="47" t="s">
        <v>20</v>
      </c>
      <c r="I322" s="47" t="s">
        <v>462</v>
      </c>
      <c r="J322" s="47" t="s">
        <v>22</v>
      </c>
      <c r="K322" s="59" t="s">
        <v>23</v>
      </c>
      <c r="L322" s="47" t="s">
        <v>29</v>
      </c>
      <c r="M322" s="47" t="s">
        <v>47</v>
      </c>
    </row>
    <row r="323" customHeight="1" spans="1:13">
      <c r="A323" s="47" t="s">
        <v>795</v>
      </c>
      <c r="B323" s="47" t="s">
        <v>791</v>
      </c>
      <c r="C323" s="47" t="s">
        <v>796</v>
      </c>
      <c r="D323" s="47" t="s">
        <v>16</v>
      </c>
      <c r="E323" s="47" t="s">
        <v>17</v>
      </c>
      <c r="F323" s="47" t="s">
        <v>18</v>
      </c>
      <c r="G323" s="47" t="s">
        <v>38</v>
      </c>
      <c r="H323" s="47" t="s">
        <v>20</v>
      </c>
      <c r="I323" s="47" t="s">
        <v>797</v>
      </c>
      <c r="J323" s="47" t="s">
        <v>22</v>
      </c>
      <c r="K323" s="47" t="s">
        <v>119</v>
      </c>
      <c r="L323" s="47" t="s">
        <v>29</v>
      </c>
      <c r="M323" s="47" t="s">
        <v>33</v>
      </c>
    </row>
    <row r="324" customHeight="1" spans="1:13">
      <c r="A324" s="47" t="s">
        <v>798</v>
      </c>
      <c r="B324" s="47" t="s">
        <v>791</v>
      </c>
      <c r="C324" s="47" t="s">
        <v>799</v>
      </c>
      <c r="D324" s="47" t="s">
        <v>43</v>
      </c>
      <c r="E324" s="47" t="s">
        <v>17</v>
      </c>
      <c r="F324" s="47" t="s">
        <v>18</v>
      </c>
      <c r="G324" s="47" t="s">
        <v>38</v>
      </c>
      <c r="H324" s="47" t="s">
        <v>20</v>
      </c>
      <c r="I324" s="47" t="s">
        <v>20</v>
      </c>
      <c r="J324" s="47" t="s">
        <v>22</v>
      </c>
      <c r="K324" s="59" t="s">
        <v>23</v>
      </c>
      <c r="L324" s="59" t="s">
        <v>23</v>
      </c>
      <c r="M324" s="47" t="s">
        <v>24</v>
      </c>
    </row>
    <row r="325" customHeight="1" spans="1:13">
      <c r="A325" s="47" t="s">
        <v>800</v>
      </c>
      <c r="B325" s="47" t="s">
        <v>791</v>
      </c>
      <c r="C325" s="47" t="s">
        <v>266</v>
      </c>
      <c r="D325" s="47" t="s">
        <v>125</v>
      </c>
      <c r="E325" s="47" t="s">
        <v>17</v>
      </c>
      <c r="F325" s="47" t="s">
        <v>18</v>
      </c>
      <c r="G325" s="47" t="s">
        <v>19</v>
      </c>
      <c r="H325" s="47" t="s">
        <v>20</v>
      </c>
      <c r="I325" s="59" t="s">
        <v>23</v>
      </c>
      <c r="J325" s="47" t="s">
        <v>22</v>
      </c>
      <c r="K325" s="59" t="s">
        <v>23</v>
      </c>
      <c r="L325" s="59" t="s">
        <v>23</v>
      </c>
      <c r="M325" s="47" t="s">
        <v>33</v>
      </c>
    </row>
    <row r="326" customHeight="1" spans="1:13">
      <c r="A326" s="47" t="s">
        <v>801</v>
      </c>
      <c r="B326" s="47" t="s">
        <v>791</v>
      </c>
      <c r="C326" s="47" t="s">
        <v>802</v>
      </c>
      <c r="D326" s="47" t="s">
        <v>43</v>
      </c>
      <c r="E326" s="47" t="s">
        <v>63</v>
      </c>
      <c r="F326" s="47" t="s">
        <v>18</v>
      </c>
      <c r="G326" s="47" t="s">
        <v>38</v>
      </c>
      <c r="H326" s="47" t="s">
        <v>64</v>
      </c>
      <c r="I326" s="47" t="s">
        <v>64</v>
      </c>
      <c r="J326" s="47" t="s">
        <v>22</v>
      </c>
      <c r="K326" s="59" t="s">
        <v>23</v>
      </c>
      <c r="L326" s="47" t="s">
        <v>29</v>
      </c>
      <c r="M326" s="47" t="s">
        <v>33</v>
      </c>
    </row>
    <row r="327" customHeight="1" spans="1:13">
      <c r="A327" s="47" t="s">
        <v>803</v>
      </c>
      <c r="B327" s="47" t="s">
        <v>791</v>
      </c>
      <c r="C327" s="47" t="s">
        <v>804</v>
      </c>
      <c r="D327" s="47" t="s">
        <v>16</v>
      </c>
      <c r="E327" s="47" t="s">
        <v>27</v>
      </c>
      <c r="F327" s="47" t="s">
        <v>28</v>
      </c>
      <c r="G327" s="47" t="s">
        <v>38</v>
      </c>
      <c r="H327" s="47" t="s">
        <v>30</v>
      </c>
      <c r="I327" s="59" t="s">
        <v>23</v>
      </c>
      <c r="J327" s="47" t="s">
        <v>68</v>
      </c>
      <c r="K327" s="59" t="s">
        <v>23</v>
      </c>
      <c r="L327" s="59" t="s">
        <v>23</v>
      </c>
      <c r="M327" s="47" t="s">
        <v>33</v>
      </c>
    </row>
    <row r="328" customHeight="1" spans="1:13">
      <c r="A328" s="47" t="s">
        <v>805</v>
      </c>
      <c r="B328" s="47" t="s">
        <v>791</v>
      </c>
      <c r="C328" s="47" t="s">
        <v>727</v>
      </c>
      <c r="D328" s="47" t="s">
        <v>16</v>
      </c>
      <c r="E328" s="47" t="s">
        <v>103</v>
      </c>
      <c r="F328" s="47" t="s">
        <v>37</v>
      </c>
      <c r="G328" s="47" t="s">
        <v>38</v>
      </c>
      <c r="H328" s="47" t="s">
        <v>77</v>
      </c>
      <c r="I328" s="47" t="s">
        <v>77</v>
      </c>
      <c r="J328" s="47" t="s">
        <v>22</v>
      </c>
      <c r="K328" s="59" t="s">
        <v>23</v>
      </c>
      <c r="L328" s="59" t="s">
        <v>23</v>
      </c>
      <c r="M328" s="47" t="s">
        <v>358</v>
      </c>
    </row>
    <row r="329" customHeight="1" spans="1:13">
      <c r="A329" s="47" t="s">
        <v>806</v>
      </c>
      <c r="B329" s="47" t="s">
        <v>791</v>
      </c>
      <c r="C329" s="47" t="s">
        <v>807</v>
      </c>
      <c r="D329" s="47" t="s">
        <v>16</v>
      </c>
      <c r="E329" s="47" t="s">
        <v>367</v>
      </c>
      <c r="F329" s="47" t="s">
        <v>109</v>
      </c>
      <c r="G329" s="47" t="s">
        <v>19</v>
      </c>
      <c r="H329" s="47" t="s">
        <v>110</v>
      </c>
      <c r="I329" s="47" t="s">
        <v>357</v>
      </c>
      <c r="J329" s="47" t="s">
        <v>22</v>
      </c>
      <c r="K329" s="59" t="s">
        <v>23</v>
      </c>
      <c r="L329" s="47" t="s">
        <v>65</v>
      </c>
      <c r="M329" s="47" t="s">
        <v>40</v>
      </c>
    </row>
    <row r="330" customHeight="1" spans="1:13">
      <c r="A330" s="47" t="s">
        <v>808</v>
      </c>
      <c r="B330" s="47" t="s">
        <v>791</v>
      </c>
      <c r="C330" s="47" t="s">
        <v>809</v>
      </c>
      <c r="D330" s="47" t="s">
        <v>16</v>
      </c>
      <c r="E330" s="47" t="s">
        <v>647</v>
      </c>
      <c r="F330" s="47" t="s">
        <v>45</v>
      </c>
      <c r="G330" s="47" t="s">
        <v>38</v>
      </c>
      <c r="H330" s="47" t="s">
        <v>227</v>
      </c>
      <c r="I330" s="47" t="s">
        <v>227</v>
      </c>
      <c r="J330" s="47" t="s">
        <v>32</v>
      </c>
      <c r="K330" s="59" t="s">
        <v>23</v>
      </c>
      <c r="L330" s="47" t="s">
        <v>19</v>
      </c>
      <c r="M330" s="47" t="s">
        <v>47</v>
      </c>
    </row>
    <row r="331" customHeight="1" spans="1:13">
      <c r="A331" s="47" t="s">
        <v>810</v>
      </c>
      <c r="B331" s="47" t="s">
        <v>791</v>
      </c>
      <c r="C331" s="47" t="s">
        <v>811</v>
      </c>
      <c r="D331" s="47" t="s">
        <v>107</v>
      </c>
      <c r="E331" s="47" t="s">
        <v>103</v>
      </c>
      <c r="F331" s="47" t="s">
        <v>37</v>
      </c>
      <c r="G331" s="47" t="s">
        <v>38</v>
      </c>
      <c r="H331" s="47" t="s">
        <v>77</v>
      </c>
      <c r="I331" s="47" t="s">
        <v>227</v>
      </c>
      <c r="J331" s="47" t="s">
        <v>22</v>
      </c>
      <c r="K331" s="47" t="s">
        <v>53</v>
      </c>
      <c r="L331" s="47" t="s">
        <v>65</v>
      </c>
      <c r="M331" s="47" t="s">
        <v>47</v>
      </c>
    </row>
    <row r="332" customHeight="1" spans="1:13">
      <c r="A332" s="47" t="s">
        <v>812</v>
      </c>
      <c r="B332" s="47" t="s">
        <v>791</v>
      </c>
      <c r="C332" s="47" t="s">
        <v>354</v>
      </c>
      <c r="D332" s="47" t="s">
        <v>107</v>
      </c>
      <c r="E332" s="47" t="s">
        <v>50</v>
      </c>
      <c r="F332" s="47" t="s">
        <v>28</v>
      </c>
      <c r="G332" s="47" t="s">
        <v>19</v>
      </c>
      <c r="H332" s="47" t="s">
        <v>52</v>
      </c>
      <c r="I332" s="47" t="s">
        <v>425</v>
      </c>
      <c r="J332" s="47" t="s">
        <v>22</v>
      </c>
      <c r="K332" s="59" t="s">
        <v>23</v>
      </c>
      <c r="L332" s="47" t="s">
        <v>29</v>
      </c>
      <c r="M332" s="47" t="s">
        <v>40</v>
      </c>
    </row>
    <row r="333" customHeight="1" spans="1:13">
      <c r="A333" s="47" t="s">
        <v>813</v>
      </c>
      <c r="B333" s="47" t="s">
        <v>814</v>
      </c>
      <c r="C333" s="47" t="s">
        <v>815</v>
      </c>
      <c r="D333" s="47" t="s">
        <v>16</v>
      </c>
      <c r="E333" s="47" t="s">
        <v>63</v>
      </c>
      <c r="F333" s="59" t="s">
        <v>23</v>
      </c>
      <c r="G333" s="47" t="s">
        <v>38</v>
      </c>
      <c r="H333" s="47" t="s">
        <v>64</v>
      </c>
      <c r="I333" s="47" t="s">
        <v>816</v>
      </c>
      <c r="J333" s="47" t="s">
        <v>22</v>
      </c>
      <c r="K333" s="59" t="s">
        <v>23</v>
      </c>
      <c r="L333" s="59" t="s">
        <v>23</v>
      </c>
      <c r="M333" s="47" t="s">
        <v>131</v>
      </c>
    </row>
    <row r="334" customHeight="1" spans="1:13">
      <c r="A334" s="47" t="s">
        <v>817</v>
      </c>
      <c r="B334" s="47" t="s">
        <v>814</v>
      </c>
      <c r="C334" s="47" t="s">
        <v>15</v>
      </c>
      <c r="D334" s="47" t="s">
        <v>62</v>
      </c>
      <c r="E334" s="47" t="s">
        <v>146</v>
      </c>
      <c r="F334" s="47" t="s">
        <v>28</v>
      </c>
      <c r="G334" s="47" t="s">
        <v>38</v>
      </c>
      <c r="H334" s="47" t="s">
        <v>147</v>
      </c>
      <c r="I334" s="47" t="s">
        <v>147</v>
      </c>
      <c r="J334" s="47" t="s">
        <v>22</v>
      </c>
      <c r="K334" s="59" t="s">
        <v>23</v>
      </c>
      <c r="L334" s="59" t="s">
        <v>23</v>
      </c>
      <c r="M334" s="47" t="s">
        <v>40</v>
      </c>
    </row>
    <row r="335" customHeight="1" spans="1:13">
      <c r="A335" s="47" t="s">
        <v>818</v>
      </c>
      <c r="B335" s="47" t="s">
        <v>814</v>
      </c>
      <c r="C335" s="47" t="s">
        <v>819</v>
      </c>
      <c r="D335" s="47" t="s">
        <v>16</v>
      </c>
      <c r="E335" s="47" t="s">
        <v>103</v>
      </c>
      <c r="F335" s="47" t="s">
        <v>37</v>
      </c>
      <c r="G335" s="47" t="s">
        <v>38</v>
      </c>
      <c r="H335" s="47" t="s">
        <v>77</v>
      </c>
      <c r="I335" s="47" t="s">
        <v>77</v>
      </c>
      <c r="J335" s="47" t="s">
        <v>556</v>
      </c>
      <c r="K335" s="59" t="s">
        <v>23</v>
      </c>
      <c r="L335" s="47" t="s">
        <v>54</v>
      </c>
      <c r="M335" s="47" t="s">
        <v>73</v>
      </c>
    </row>
    <row r="336" customHeight="1" spans="1:13">
      <c r="A336" s="47" t="s">
        <v>820</v>
      </c>
      <c r="B336" s="47" t="s">
        <v>814</v>
      </c>
      <c r="C336" s="47" t="s">
        <v>821</v>
      </c>
      <c r="D336" s="47" t="s">
        <v>16</v>
      </c>
      <c r="E336" s="47" t="s">
        <v>81</v>
      </c>
      <c r="F336" s="47" t="s">
        <v>37</v>
      </c>
      <c r="G336" s="47" t="s">
        <v>38</v>
      </c>
      <c r="H336" s="47" t="s">
        <v>82</v>
      </c>
      <c r="I336" s="47" t="s">
        <v>82</v>
      </c>
      <c r="J336" s="47" t="s">
        <v>22</v>
      </c>
      <c r="K336" s="59" t="s">
        <v>23</v>
      </c>
      <c r="L336" s="59" t="s">
        <v>23</v>
      </c>
      <c r="M336" s="47" t="s">
        <v>24</v>
      </c>
    </row>
    <row r="337" customHeight="1" spans="1:13">
      <c r="A337" s="47" t="s">
        <v>822</v>
      </c>
      <c r="B337" s="47" t="s">
        <v>823</v>
      </c>
      <c r="C337" s="47" t="s">
        <v>824</v>
      </c>
      <c r="D337" s="47" t="s">
        <v>16</v>
      </c>
      <c r="E337" s="47" t="s">
        <v>63</v>
      </c>
      <c r="F337" s="59" t="s">
        <v>23</v>
      </c>
      <c r="G337" s="47" t="s">
        <v>19</v>
      </c>
      <c r="H337" s="47" t="s">
        <v>64</v>
      </c>
      <c r="I337" s="47" t="s">
        <v>39</v>
      </c>
      <c r="J337" s="47" t="s">
        <v>22</v>
      </c>
      <c r="K337" s="59" t="s">
        <v>23</v>
      </c>
      <c r="L337" s="47" t="s">
        <v>65</v>
      </c>
      <c r="M337" s="47" t="s">
        <v>40</v>
      </c>
    </row>
    <row r="338" customHeight="1" spans="1:13">
      <c r="A338" s="47" t="s">
        <v>825</v>
      </c>
      <c r="B338" s="47" t="s">
        <v>814</v>
      </c>
      <c r="C338" s="47" t="s">
        <v>826</v>
      </c>
      <c r="D338" s="47" t="s">
        <v>234</v>
      </c>
      <c r="E338" s="47" t="s">
        <v>17</v>
      </c>
      <c r="F338" s="47" t="s">
        <v>18</v>
      </c>
      <c r="G338" s="47" t="s">
        <v>38</v>
      </c>
      <c r="H338" s="47" t="s">
        <v>20</v>
      </c>
      <c r="I338" s="47" t="s">
        <v>827</v>
      </c>
      <c r="J338" s="47" t="s">
        <v>22</v>
      </c>
      <c r="K338" s="47" t="s">
        <v>53</v>
      </c>
      <c r="L338" s="47" t="s">
        <v>29</v>
      </c>
      <c r="M338" s="47" t="s">
        <v>33</v>
      </c>
    </row>
    <row r="339" customHeight="1" spans="1:13">
      <c r="A339" s="47" t="s">
        <v>828</v>
      </c>
      <c r="B339" s="47" t="s">
        <v>814</v>
      </c>
      <c r="C339" s="47" t="s">
        <v>576</v>
      </c>
      <c r="D339" s="47" t="s">
        <v>16</v>
      </c>
      <c r="E339" s="47" t="s">
        <v>103</v>
      </c>
      <c r="F339" s="47" t="s">
        <v>37</v>
      </c>
      <c r="G339" s="47" t="s">
        <v>19</v>
      </c>
      <c r="H339" s="47" t="s">
        <v>77</v>
      </c>
      <c r="I339" s="47" t="s">
        <v>96</v>
      </c>
      <c r="J339" s="47" t="s">
        <v>32</v>
      </c>
      <c r="K339" s="59" t="s">
        <v>23</v>
      </c>
      <c r="L339" s="59" t="s">
        <v>23</v>
      </c>
      <c r="M339" s="47" t="s">
        <v>24</v>
      </c>
    </row>
    <row r="340" customHeight="1" spans="1:13">
      <c r="A340" s="47" t="s">
        <v>829</v>
      </c>
      <c r="B340" s="47" t="s">
        <v>830</v>
      </c>
      <c r="C340" s="47" t="s">
        <v>831</v>
      </c>
      <c r="D340" s="47" t="s">
        <v>43</v>
      </c>
      <c r="E340" s="47" t="s">
        <v>832</v>
      </c>
      <c r="F340" s="47" t="s">
        <v>37</v>
      </c>
      <c r="G340" s="47" t="s">
        <v>38</v>
      </c>
      <c r="H340" s="47" t="s">
        <v>77</v>
      </c>
      <c r="I340" s="47" t="s">
        <v>77</v>
      </c>
      <c r="J340" s="47" t="s">
        <v>22</v>
      </c>
      <c r="K340" s="59" t="s">
        <v>23</v>
      </c>
      <c r="L340" s="47" t="s">
        <v>65</v>
      </c>
      <c r="M340" s="47" t="s">
        <v>73</v>
      </c>
    </row>
    <row r="341" customHeight="1" spans="1:13">
      <c r="A341" s="47" t="s">
        <v>833</v>
      </c>
      <c r="B341" s="47" t="s">
        <v>814</v>
      </c>
      <c r="C341" s="47" t="s">
        <v>834</v>
      </c>
      <c r="D341" s="47" t="s">
        <v>16</v>
      </c>
      <c r="E341" s="47" t="s">
        <v>267</v>
      </c>
      <c r="F341" s="47" t="s">
        <v>18</v>
      </c>
      <c r="G341" s="47" t="s">
        <v>38</v>
      </c>
      <c r="H341" s="47" t="s">
        <v>64</v>
      </c>
      <c r="I341" s="47" t="s">
        <v>64</v>
      </c>
      <c r="J341" s="47" t="s">
        <v>22</v>
      </c>
      <c r="K341" s="59" t="s">
        <v>23</v>
      </c>
      <c r="L341" s="59" t="s">
        <v>23</v>
      </c>
      <c r="M341" s="47" t="s">
        <v>358</v>
      </c>
    </row>
    <row r="342" customHeight="1" spans="1:13">
      <c r="A342" s="47" t="s">
        <v>835</v>
      </c>
      <c r="B342" s="47" t="s">
        <v>814</v>
      </c>
      <c r="C342" s="47" t="s">
        <v>605</v>
      </c>
      <c r="D342" s="47" t="s">
        <v>43</v>
      </c>
      <c r="E342" s="47" t="s">
        <v>146</v>
      </c>
      <c r="F342" s="47" t="s">
        <v>28</v>
      </c>
      <c r="G342" s="47" t="s">
        <v>38</v>
      </c>
      <c r="H342" s="47" t="s">
        <v>147</v>
      </c>
      <c r="I342" s="47" t="s">
        <v>147</v>
      </c>
      <c r="J342" s="47" t="s">
        <v>22</v>
      </c>
      <c r="K342" s="59" t="s">
        <v>23</v>
      </c>
      <c r="L342" s="47" t="s">
        <v>65</v>
      </c>
      <c r="M342" s="47" t="s">
        <v>73</v>
      </c>
    </row>
    <row r="343" customHeight="1" spans="1:13">
      <c r="A343" s="47" t="s">
        <v>836</v>
      </c>
      <c r="B343" s="47" t="s">
        <v>814</v>
      </c>
      <c r="C343" s="47" t="s">
        <v>837</v>
      </c>
      <c r="D343" s="47" t="s">
        <v>393</v>
      </c>
      <c r="E343" s="47" t="s">
        <v>165</v>
      </c>
      <c r="F343" s="47" t="s">
        <v>109</v>
      </c>
      <c r="G343" s="47" t="s">
        <v>19</v>
      </c>
      <c r="H343" s="47" t="s">
        <v>82</v>
      </c>
      <c r="I343" s="47" t="s">
        <v>838</v>
      </c>
      <c r="J343" s="47" t="s">
        <v>22</v>
      </c>
      <c r="K343" s="59" t="s">
        <v>23</v>
      </c>
      <c r="L343" s="59" t="s">
        <v>23</v>
      </c>
      <c r="M343" s="47" t="s">
        <v>40</v>
      </c>
    </row>
    <row r="344" customHeight="1" spans="1:13">
      <c r="A344" s="47" t="s">
        <v>839</v>
      </c>
      <c r="B344" s="47" t="s">
        <v>814</v>
      </c>
      <c r="C344" s="47" t="s">
        <v>840</v>
      </c>
      <c r="D344" s="47" t="s">
        <v>16</v>
      </c>
      <c r="E344" s="47" t="s">
        <v>81</v>
      </c>
      <c r="F344" s="47" t="s">
        <v>37</v>
      </c>
      <c r="G344" s="47" t="s">
        <v>38</v>
      </c>
      <c r="H344" s="47" t="s">
        <v>82</v>
      </c>
      <c r="I344" s="47" t="s">
        <v>82</v>
      </c>
      <c r="J344" s="47" t="s">
        <v>22</v>
      </c>
      <c r="K344" s="59" t="s">
        <v>23</v>
      </c>
      <c r="L344" s="47" t="s">
        <v>65</v>
      </c>
      <c r="M344" s="47" t="s">
        <v>73</v>
      </c>
    </row>
    <row r="345" customHeight="1" spans="1:13">
      <c r="A345" s="47" t="s">
        <v>841</v>
      </c>
      <c r="B345" s="47" t="s">
        <v>814</v>
      </c>
      <c r="C345" s="47" t="s">
        <v>335</v>
      </c>
      <c r="D345" s="47" t="s">
        <v>16</v>
      </c>
      <c r="E345" s="47" t="s">
        <v>63</v>
      </c>
      <c r="F345" s="47" t="s">
        <v>18</v>
      </c>
      <c r="G345" s="47" t="s">
        <v>38</v>
      </c>
      <c r="H345" s="47" t="s">
        <v>64</v>
      </c>
      <c r="I345" s="47" t="s">
        <v>64</v>
      </c>
      <c r="J345" s="47" t="s">
        <v>22</v>
      </c>
      <c r="K345" s="59" t="s">
        <v>23</v>
      </c>
      <c r="L345" s="47" t="s">
        <v>65</v>
      </c>
      <c r="M345" s="47" t="s">
        <v>40</v>
      </c>
    </row>
    <row r="346" customHeight="1" spans="1:13">
      <c r="A346" s="47" t="s">
        <v>842</v>
      </c>
      <c r="B346" s="47" t="s">
        <v>843</v>
      </c>
      <c r="C346" s="47" t="s">
        <v>844</v>
      </c>
      <c r="D346" s="47" t="s">
        <v>107</v>
      </c>
      <c r="E346" s="47" t="s">
        <v>36</v>
      </c>
      <c r="F346" s="47" t="s">
        <v>37</v>
      </c>
      <c r="G346" s="47" t="s">
        <v>29</v>
      </c>
      <c r="H346" s="47" t="s">
        <v>39</v>
      </c>
      <c r="I346" s="47" t="s">
        <v>845</v>
      </c>
      <c r="J346" s="47" t="s">
        <v>22</v>
      </c>
      <c r="K346" s="47" t="s">
        <v>53</v>
      </c>
      <c r="L346" s="47" t="s">
        <v>29</v>
      </c>
      <c r="M346" s="47" t="s">
        <v>24</v>
      </c>
    </row>
    <row r="347" customHeight="1" spans="1:13">
      <c r="A347" s="47" t="s">
        <v>846</v>
      </c>
      <c r="B347" s="47" t="s">
        <v>847</v>
      </c>
      <c r="C347" s="47" t="s">
        <v>415</v>
      </c>
      <c r="D347" s="47" t="s">
        <v>107</v>
      </c>
      <c r="E347" s="47" t="s">
        <v>36</v>
      </c>
      <c r="F347" s="47" t="s">
        <v>37</v>
      </c>
      <c r="G347" s="47" t="s">
        <v>38</v>
      </c>
      <c r="H347" s="47" t="s">
        <v>39</v>
      </c>
      <c r="I347" s="47" t="s">
        <v>848</v>
      </c>
      <c r="J347" s="47" t="s">
        <v>22</v>
      </c>
      <c r="K347" s="47" t="s">
        <v>143</v>
      </c>
      <c r="L347" s="59" t="s">
        <v>23</v>
      </c>
      <c r="M347" s="47" t="s">
        <v>157</v>
      </c>
    </row>
    <row r="348" customHeight="1" spans="1:13">
      <c r="A348" s="47" t="s">
        <v>849</v>
      </c>
      <c r="B348" s="47" t="s">
        <v>850</v>
      </c>
      <c r="C348" s="47" t="s">
        <v>314</v>
      </c>
      <c r="D348" s="47" t="s">
        <v>107</v>
      </c>
      <c r="E348" s="47" t="s">
        <v>36</v>
      </c>
      <c r="F348" s="47" t="s">
        <v>37</v>
      </c>
      <c r="G348" s="47" t="s">
        <v>38</v>
      </c>
      <c r="H348" s="47" t="s">
        <v>39</v>
      </c>
      <c r="I348" s="47" t="s">
        <v>39</v>
      </c>
      <c r="J348" s="47" t="s">
        <v>22</v>
      </c>
      <c r="K348" s="59" t="s">
        <v>23</v>
      </c>
      <c r="L348" s="59" t="s">
        <v>23</v>
      </c>
      <c r="M348" s="47" t="s">
        <v>24</v>
      </c>
    </row>
    <row r="349" customHeight="1" spans="1:13">
      <c r="A349" s="47" t="s">
        <v>851</v>
      </c>
      <c r="B349" s="47" t="s">
        <v>850</v>
      </c>
      <c r="C349" s="47" t="s">
        <v>616</v>
      </c>
      <c r="D349" s="47" t="s">
        <v>43</v>
      </c>
      <c r="E349" s="47" t="s">
        <v>17</v>
      </c>
      <c r="F349" s="47" t="s">
        <v>18</v>
      </c>
      <c r="G349" s="47" t="s">
        <v>29</v>
      </c>
      <c r="H349" s="47" t="s">
        <v>20</v>
      </c>
      <c r="I349" s="47" t="s">
        <v>39</v>
      </c>
      <c r="J349" s="47" t="s">
        <v>22</v>
      </c>
      <c r="K349" s="59" t="s">
        <v>23</v>
      </c>
      <c r="L349" s="59" t="s">
        <v>23</v>
      </c>
      <c r="M349" s="47" t="s">
        <v>40</v>
      </c>
    </row>
    <row r="350" customHeight="1" spans="1:13">
      <c r="A350" s="47" t="s">
        <v>852</v>
      </c>
      <c r="B350" s="47" t="s">
        <v>850</v>
      </c>
      <c r="C350" s="47" t="s">
        <v>853</v>
      </c>
      <c r="D350" s="47" t="s">
        <v>854</v>
      </c>
      <c r="E350" s="47" t="s">
        <v>146</v>
      </c>
      <c r="F350" s="47" t="s">
        <v>28</v>
      </c>
      <c r="G350" s="47" t="s">
        <v>38</v>
      </c>
      <c r="H350" s="47" t="s">
        <v>147</v>
      </c>
      <c r="I350" s="47" t="s">
        <v>147</v>
      </c>
      <c r="J350" s="47" t="s">
        <v>22</v>
      </c>
      <c r="K350" s="59" t="s">
        <v>23</v>
      </c>
      <c r="L350" s="47" t="s">
        <v>29</v>
      </c>
      <c r="M350" s="47" t="s">
        <v>490</v>
      </c>
    </row>
    <row r="351" customHeight="1" spans="1:13">
      <c r="A351" s="47" t="s">
        <v>855</v>
      </c>
      <c r="B351" s="47" t="s">
        <v>856</v>
      </c>
      <c r="C351" s="47" t="s">
        <v>518</v>
      </c>
      <c r="D351" s="47" t="s">
        <v>43</v>
      </c>
      <c r="E351" s="47" t="s">
        <v>95</v>
      </c>
      <c r="F351" s="47" t="s">
        <v>45</v>
      </c>
      <c r="G351" s="47" t="s">
        <v>38</v>
      </c>
      <c r="H351" s="47" t="s">
        <v>77</v>
      </c>
      <c r="I351" s="47" t="s">
        <v>77</v>
      </c>
      <c r="J351" s="47" t="s">
        <v>127</v>
      </c>
      <c r="K351" s="59" t="s">
        <v>23</v>
      </c>
      <c r="L351" s="47" t="s">
        <v>65</v>
      </c>
      <c r="M351" s="47" t="s">
        <v>33</v>
      </c>
    </row>
    <row r="352" customHeight="1" spans="1:13">
      <c r="A352" s="47" t="s">
        <v>857</v>
      </c>
      <c r="B352" s="47" t="s">
        <v>856</v>
      </c>
      <c r="C352" s="47" t="s">
        <v>755</v>
      </c>
      <c r="D352" s="47" t="s">
        <v>16</v>
      </c>
      <c r="E352" s="47" t="s">
        <v>36</v>
      </c>
      <c r="F352" s="47" t="s">
        <v>37</v>
      </c>
      <c r="G352" s="47" t="s">
        <v>19</v>
      </c>
      <c r="H352" s="47" t="s">
        <v>39</v>
      </c>
      <c r="I352" s="47" t="s">
        <v>82</v>
      </c>
      <c r="J352" s="47" t="s">
        <v>22</v>
      </c>
      <c r="K352" s="59" t="s">
        <v>23</v>
      </c>
      <c r="L352" s="59" t="s">
        <v>23</v>
      </c>
      <c r="M352" s="47" t="s">
        <v>33</v>
      </c>
    </row>
    <row r="353" customHeight="1" spans="1:13">
      <c r="A353" s="47" t="s">
        <v>858</v>
      </c>
      <c r="B353" s="47" t="s">
        <v>856</v>
      </c>
      <c r="C353" s="47" t="s">
        <v>859</v>
      </c>
      <c r="D353" s="47" t="s">
        <v>16</v>
      </c>
      <c r="E353" s="47" t="s">
        <v>95</v>
      </c>
      <c r="F353" s="59" t="s">
        <v>23</v>
      </c>
      <c r="G353" s="47" t="s">
        <v>29</v>
      </c>
      <c r="H353" s="47" t="s">
        <v>77</v>
      </c>
      <c r="I353" s="47" t="s">
        <v>30</v>
      </c>
      <c r="J353" s="47" t="s">
        <v>22</v>
      </c>
      <c r="K353" s="59" t="s">
        <v>23</v>
      </c>
      <c r="L353" s="59" t="s">
        <v>23</v>
      </c>
      <c r="M353" s="47" t="s">
        <v>24</v>
      </c>
    </row>
    <row r="354" customHeight="1" spans="1:13">
      <c r="A354" s="47" t="s">
        <v>860</v>
      </c>
      <c r="B354" s="47" t="s">
        <v>861</v>
      </c>
      <c r="C354" s="47" t="s">
        <v>862</v>
      </c>
      <c r="D354" s="47" t="s">
        <v>107</v>
      </c>
      <c r="E354" s="47" t="s">
        <v>235</v>
      </c>
      <c r="F354" s="47" t="s">
        <v>45</v>
      </c>
      <c r="G354" s="59" t="s">
        <v>23</v>
      </c>
      <c r="H354" s="47" t="s">
        <v>46</v>
      </c>
      <c r="I354" s="47" t="s">
        <v>46</v>
      </c>
      <c r="J354" s="47" t="s">
        <v>32</v>
      </c>
      <c r="K354" s="59" t="s">
        <v>23</v>
      </c>
      <c r="L354" s="47" t="s">
        <v>54</v>
      </c>
      <c r="M354" s="47" t="s">
        <v>131</v>
      </c>
    </row>
    <row r="355" customHeight="1" spans="1:13">
      <c r="A355" s="47" t="s">
        <v>863</v>
      </c>
      <c r="B355" s="47" t="s">
        <v>861</v>
      </c>
      <c r="C355" s="47" t="s">
        <v>864</v>
      </c>
      <c r="D355" s="47" t="s">
        <v>107</v>
      </c>
      <c r="E355" s="47" t="s">
        <v>81</v>
      </c>
      <c r="F355" s="47" t="s">
        <v>37</v>
      </c>
      <c r="G355" s="47" t="s">
        <v>38</v>
      </c>
      <c r="H355" s="47" t="s">
        <v>82</v>
      </c>
      <c r="I355" s="47" t="s">
        <v>82</v>
      </c>
      <c r="J355" s="47" t="s">
        <v>32</v>
      </c>
      <c r="K355" s="59" t="s">
        <v>23</v>
      </c>
      <c r="L355" s="59" t="s">
        <v>23</v>
      </c>
      <c r="M355" s="47" t="s">
        <v>24</v>
      </c>
    </row>
    <row r="356" customHeight="1" spans="1:13">
      <c r="A356" s="47" t="s">
        <v>865</v>
      </c>
      <c r="B356" s="47" t="s">
        <v>861</v>
      </c>
      <c r="C356" s="47" t="s">
        <v>866</v>
      </c>
      <c r="D356" s="47" t="s">
        <v>43</v>
      </c>
      <c r="E356" s="47" t="s">
        <v>17</v>
      </c>
      <c r="F356" s="47" t="s">
        <v>309</v>
      </c>
      <c r="G356" s="47" t="s">
        <v>19</v>
      </c>
      <c r="H356" s="47" t="s">
        <v>20</v>
      </c>
      <c r="I356" s="47" t="s">
        <v>21</v>
      </c>
      <c r="J356" s="47" t="s">
        <v>22</v>
      </c>
      <c r="K356" s="59" t="s">
        <v>23</v>
      </c>
      <c r="L356" s="59" t="s">
        <v>23</v>
      </c>
      <c r="M356" s="47" t="s">
        <v>40</v>
      </c>
    </row>
    <row r="357" customHeight="1" spans="1:13">
      <c r="A357" s="47" t="s">
        <v>867</v>
      </c>
      <c r="B357" s="47" t="s">
        <v>868</v>
      </c>
      <c r="C357" s="47" t="s">
        <v>869</v>
      </c>
      <c r="D357" s="47" t="s">
        <v>16</v>
      </c>
      <c r="E357" s="47" t="s">
        <v>63</v>
      </c>
      <c r="F357" s="47" t="s">
        <v>18</v>
      </c>
      <c r="G357" s="47" t="s">
        <v>19</v>
      </c>
      <c r="H357" s="47" t="s">
        <v>64</v>
      </c>
      <c r="I357" s="47" t="s">
        <v>39</v>
      </c>
      <c r="J357" s="47" t="s">
        <v>32</v>
      </c>
      <c r="K357" s="59" t="s">
        <v>23</v>
      </c>
      <c r="L357" s="47" t="s">
        <v>65</v>
      </c>
      <c r="M357" s="47" t="s">
        <v>33</v>
      </c>
    </row>
    <row r="358" customHeight="1" spans="1:13">
      <c r="A358" s="47" t="s">
        <v>870</v>
      </c>
      <c r="B358" s="47" t="s">
        <v>871</v>
      </c>
      <c r="C358" s="47" t="s">
        <v>15</v>
      </c>
      <c r="D358" s="47" t="s">
        <v>16</v>
      </c>
      <c r="E358" s="47" t="s">
        <v>165</v>
      </c>
      <c r="F358" s="47" t="s">
        <v>109</v>
      </c>
      <c r="G358" s="47" t="s">
        <v>38</v>
      </c>
      <c r="H358" s="47" t="s">
        <v>82</v>
      </c>
      <c r="I358" s="47" t="s">
        <v>312</v>
      </c>
      <c r="J358" s="47" t="s">
        <v>22</v>
      </c>
      <c r="K358" s="59" t="s">
        <v>23</v>
      </c>
      <c r="L358" s="59" t="s">
        <v>23</v>
      </c>
      <c r="M358" s="47" t="s">
        <v>47</v>
      </c>
    </row>
    <row r="359" customHeight="1" spans="1:13">
      <c r="A359" s="47" t="s">
        <v>872</v>
      </c>
      <c r="B359" s="47" t="s">
        <v>871</v>
      </c>
      <c r="C359" s="47" t="s">
        <v>418</v>
      </c>
      <c r="D359" s="47" t="s">
        <v>107</v>
      </c>
      <c r="E359" s="47" t="s">
        <v>367</v>
      </c>
      <c r="F359" s="47" t="s">
        <v>109</v>
      </c>
      <c r="G359" s="47" t="s">
        <v>38</v>
      </c>
      <c r="H359" s="47" t="s">
        <v>110</v>
      </c>
      <c r="I359" s="47" t="s">
        <v>110</v>
      </c>
      <c r="J359" s="47" t="s">
        <v>32</v>
      </c>
      <c r="K359" s="59" t="s">
        <v>23</v>
      </c>
      <c r="L359" s="59" t="s">
        <v>23</v>
      </c>
      <c r="M359" s="47" t="s">
        <v>73</v>
      </c>
    </row>
    <row r="360" customHeight="1" spans="1:13">
      <c r="A360" s="47" t="s">
        <v>873</v>
      </c>
      <c r="B360" s="47" t="s">
        <v>871</v>
      </c>
      <c r="C360" s="47" t="s">
        <v>874</v>
      </c>
      <c r="D360" s="47" t="s">
        <v>16</v>
      </c>
      <c r="E360" s="47" t="s">
        <v>95</v>
      </c>
      <c r="F360" s="47" t="s">
        <v>45</v>
      </c>
      <c r="G360" s="47" t="s">
        <v>38</v>
      </c>
      <c r="H360" s="47" t="s">
        <v>77</v>
      </c>
      <c r="I360" s="47" t="s">
        <v>77</v>
      </c>
      <c r="J360" s="47" t="s">
        <v>22</v>
      </c>
      <c r="K360" s="59" t="s">
        <v>23</v>
      </c>
      <c r="L360" s="59" t="s">
        <v>23</v>
      </c>
      <c r="M360" s="47" t="s">
        <v>40</v>
      </c>
    </row>
    <row r="361" customHeight="1" spans="1:13">
      <c r="A361" s="47" t="s">
        <v>875</v>
      </c>
      <c r="B361" s="47" t="s">
        <v>871</v>
      </c>
      <c r="C361" s="47" t="s">
        <v>706</v>
      </c>
      <c r="D361" s="47" t="s">
        <v>16</v>
      </c>
      <c r="E361" s="47" t="s">
        <v>95</v>
      </c>
      <c r="F361" s="59" t="s">
        <v>23</v>
      </c>
      <c r="G361" s="47" t="s">
        <v>38</v>
      </c>
      <c r="H361" s="47" t="s">
        <v>77</v>
      </c>
      <c r="I361" s="47" t="s">
        <v>77</v>
      </c>
      <c r="J361" s="47" t="s">
        <v>68</v>
      </c>
      <c r="K361" s="59" t="s">
        <v>23</v>
      </c>
      <c r="L361" s="47" t="s">
        <v>54</v>
      </c>
      <c r="M361" s="47" t="s">
        <v>73</v>
      </c>
    </row>
    <row r="362" customHeight="1" spans="1:13">
      <c r="A362" s="47" t="s">
        <v>876</v>
      </c>
      <c r="B362" s="47" t="s">
        <v>871</v>
      </c>
      <c r="C362" s="47" t="s">
        <v>250</v>
      </c>
      <c r="D362" s="47" t="s">
        <v>16</v>
      </c>
      <c r="E362" s="47" t="s">
        <v>217</v>
      </c>
      <c r="F362" s="47" t="s">
        <v>28</v>
      </c>
      <c r="G362" s="47" t="s">
        <v>38</v>
      </c>
      <c r="H362" s="47" t="s">
        <v>147</v>
      </c>
      <c r="I362" s="47" t="s">
        <v>147</v>
      </c>
      <c r="J362" s="47" t="s">
        <v>22</v>
      </c>
      <c r="K362" s="59" t="s">
        <v>23</v>
      </c>
      <c r="L362" s="47" t="s">
        <v>54</v>
      </c>
      <c r="M362" s="47" t="s">
        <v>33</v>
      </c>
    </row>
    <row r="363" customHeight="1" spans="1:13">
      <c r="A363" s="47" t="s">
        <v>877</v>
      </c>
      <c r="B363" s="47" t="s">
        <v>871</v>
      </c>
      <c r="C363" s="47" t="s">
        <v>222</v>
      </c>
      <c r="D363" s="47" t="s">
        <v>16</v>
      </c>
      <c r="E363" s="47" t="s">
        <v>17</v>
      </c>
      <c r="F363" s="47" t="s">
        <v>18</v>
      </c>
      <c r="G363" s="47" t="s">
        <v>38</v>
      </c>
      <c r="H363" s="47" t="s">
        <v>20</v>
      </c>
      <c r="I363" s="47" t="s">
        <v>20</v>
      </c>
      <c r="J363" s="47" t="s">
        <v>32</v>
      </c>
      <c r="K363" s="59" t="s">
        <v>23</v>
      </c>
      <c r="L363" s="59" t="s">
        <v>23</v>
      </c>
      <c r="M363" s="47" t="s">
        <v>33</v>
      </c>
    </row>
    <row r="364" customHeight="1" spans="1:13">
      <c r="A364" s="47" t="s">
        <v>878</v>
      </c>
      <c r="B364" s="47" t="s">
        <v>871</v>
      </c>
      <c r="C364" s="47" t="s">
        <v>879</v>
      </c>
      <c r="D364" s="47" t="s">
        <v>107</v>
      </c>
      <c r="E364" s="47" t="s">
        <v>17</v>
      </c>
      <c r="F364" s="47" t="s">
        <v>18</v>
      </c>
      <c r="G364" s="47" t="s">
        <v>19</v>
      </c>
      <c r="H364" s="47" t="s">
        <v>662</v>
      </c>
      <c r="I364" s="47" t="s">
        <v>21</v>
      </c>
      <c r="J364" s="47" t="s">
        <v>32</v>
      </c>
      <c r="K364" s="59" t="s">
        <v>23</v>
      </c>
      <c r="L364" s="59" t="s">
        <v>23</v>
      </c>
      <c r="M364" s="47" t="s">
        <v>73</v>
      </c>
    </row>
    <row r="365" customHeight="1" spans="1:13">
      <c r="A365" s="47" t="s">
        <v>880</v>
      </c>
      <c r="B365" s="47" t="s">
        <v>871</v>
      </c>
      <c r="C365" s="47" t="s">
        <v>881</v>
      </c>
      <c r="D365" s="47" t="s">
        <v>16</v>
      </c>
      <c r="E365" s="47" t="s">
        <v>103</v>
      </c>
      <c r="F365" s="47" t="s">
        <v>37</v>
      </c>
      <c r="G365" s="59" t="s">
        <v>23</v>
      </c>
      <c r="H365" s="47" t="s">
        <v>77</v>
      </c>
      <c r="I365" s="47" t="s">
        <v>77</v>
      </c>
      <c r="J365" s="47" t="s">
        <v>22</v>
      </c>
      <c r="K365" s="59" t="s">
        <v>23</v>
      </c>
      <c r="L365" s="59" t="s">
        <v>23</v>
      </c>
      <c r="M365" s="47" t="s">
        <v>33</v>
      </c>
    </row>
    <row r="366" customHeight="1" spans="1:13">
      <c r="A366" s="47" t="s">
        <v>882</v>
      </c>
      <c r="B366" s="47" t="s">
        <v>883</v>
      </c>
      <c r="C366" s="47" t="s">
        <v>261</v>
      </c>
      <c r="D366" s="47" t="s">
        <v>151</v>
      </c>
      <c r="E366" s="47" t="s">
        <v>57</v>
      </c>
      <c r="F366" s="47" t="s">
        <v>28</v>
      </c>
      <c r="G366" s="47" t="s">
        <v>19</v>
      </c>
      <c r="H366" s="47" t="s">
        <v>58</v>
      </c>
      <c r="I366" s="47" t="s">
        <v>884</v>
      </c>
      <c r="J366" s="47" t="s">
        <v>22</v>
      </c>
      <c r="K366" s="47" t="s">
        <v>53</v>
      </c>
      <c r="L366" s="59" t="s">
        <v>23</v>
      </c>
      <c r="M366" s="47" t="s">
        <v>292</v>
      </c>
    </row>
    <row r="367" customHeight="1" spans="1:13">
      <c r="A367" s="47" t="s">
        <v>885</v>
      </c>
      <c r="B367" s="47" t="s">
        <v>883</v>
      </c>
      <c r="C367" s="47" t="s">
        <v>886</v>
      </c>
      <c r="D367" s="47" t="s">
        <v>107</v>
      </c>
      <c r="E367" s="47" t="s">
        <v>36</v>
      </c>
      <c r="F367" s="59" t="s">
        <v>23</v>
      </c>
      <c r="G367" s="47" t="s">
        <v>38</v>
      </c>
      <c r="H367" s="47" t="s">
        <v>39</v>
      </c>
      <c r="I367" s="47" t="s">
        <v>39</v>
      </c>
      <c r="J367" s="47" t="s">
        <v>22</v>
      </c>
      <c r="K367" s="59" t="s">
        <v>23</v>
      </c>
      <c r="L367" s="59" t="s">
        <v>23</v>
      </c>
      <c r="M367" s="47" t="s">
        <v>24</v>
      </c>
    </row>
    <row r="368" customHeight="1" spans="1:13">
      <c r="A368" s="47" t="s">
        <v>887</v>
      </c>
      <c r="B368" s="47" t="s">
        <v>883</v>
      </c>
      <c r="C368" s="47" t="s">
        <v>888</v>
      </c>
      <c r="D368" s="47" t="s">
        <v>43</v>
      </c>
      <c r="E368" s="47" t="s">
        <v>103</v>
      </c>
      <c r="F368" s="47" t="s">
        <v>387</v>
      </c>
      <c r="G368" s="47" t="s">
        <v>38</v>
      </c>
      <c r="H368" s="47" t="s">
        <v>77</v>
      </c>
      <c r="I368" s="47" t="s">
        <v>77</v>
      </c>
      <c r="J368" s="47" t="s">
        <v>22</v>
      </c>
      <c r="K368" s="59" t="s">
        <v>23</v>
      </c>
      <c r="L368" s="59" t="s">
        <v>23</v>
      </c>
      <c r="M368" s="47" t="s">
        <v>33</v>
      </c>
    </row>
    <row r="369" customHeight="1" spans="1:13">
      <c r="A369" s="47" t="s">
        <v>889</v>
      </c>
      <c r="B369" s="47" t="s">
        <v>890</v>
      </c>
      <c r="C369" s="47" t="s">
        <v>891</v>
      </c>
      <c r="D369" s="47" t="s">
        <v>16</v>
      </c>
      <c r="E369" s="47" t="s">
        <v>81</v>
      </c>
      <c r="F369" s="47" t="s">
        <v>37</v>
      </c>
      <c r="G369" s="47" t="s">
        <v>29</v>
      </c>
      <c r="H369" s="47" t="s">
        <v>82</v>
      </c>
      <c r="I369" s="47" t="s">
        <v>58</v>
      </c>
      <c r="J369" s="47" t="s">
        <v>32</v>
      </c>
      <c r="K369" s="59" t="s">
        <v>23</v>
      </c>
      <c r="L369" s="47" t="s">
        <v>54</v>
      </c>
      <c r="M369" s="47" t="s">
        <v>33</v>
      </c>
    </row>
    <row r="370" customHeight="1" spans="1:13">
      <c r="A370" s="47" t="s">
        <v>892</v>
      </c>
      <c r="B370" s="47" t="s">
        <v>883</v>
      </c>
      <c r="C370" s="47" t="s">
        <v>893</v>
      </c>
      <c r="D370" s="47" t="s">
        <v>16</v>
      </c>
      <c r="E370" s="47" t="s">
        <v>81</v>
      </c>
      <c r="F370" s="47" t="s">
        <v>37</v>
      </c>
      <c r="G370" s="47" t="s">
        <v>38</v>
      </c>
      <c r="H370" s="47" t="s">
        <v>82</v>
      </c>
      <c r="I370" s="47" t="s">
        <v>82</v>
      </c>
      <c r="J370" s="47" t="s">
        <v>22</v>
      </c>
      <c r="K370" s="59" t="s">
        <v>23</v>
      </c>
      <c r="L370" s="59" t="s">
        <v>23</v>
      </c>
      <c r="M370" s="47" t="s">
        <v>40</v>
      </c>
    </row>
    <row r="371" customHeight="1" spans="1:13">
      <c r="A371" s="47" t="s">
        <v>894</v>
      </c>
      <c r="B371" s="47" t="s">
        <v>895</v>
      </c>
      <c r="C371" s="47" t="s">
        <v>896</v>
      </c>
      <c r="D371" s="47" t="s">
        <v>16</v>
      </c>
      <c r="E371" s="47" t="s">
        <v>897</v>
      </c>
      <c r="F371" s="47" t="s">
        <v>37</v>
      </c>
      <c r="G371" s="47" t="s">
        <v>19</v>
      </c>
      <c r="H371" s="47" t="s">
        <v>77</v>
      </c>
      <c r="I371" s="47" t="s">
        <v>96</v>
      </c>
      <c r="J371" s="47" t="s">
        <v>22</v>
      </c>
      <c r="K371" s="59" t="s">
        <v>23</v>
      </c>
      <c r="L371" s="47" t="s">
        <v>65</v>
      </c>
      <c r="M371" s="47" t="s">
        <v>181</v>
      </c>
    </row>
    <row r="372" customHeight="1" spans="1:13">
      <c r="A372" s="47" t="s">
        <v>898</v>
      </c>
      <c r="B372" s="47" t="s">
        <v>895</v>
      </c>
      <c r="C372" s="47" t="s">
        <v>899</v>
      </c>
      <c r="D372" s="47" t="s">
        <v>107</v>
      </c>
      <c r="E372" s="47" t="s">
        <v>50</v>
      </c>
      <c r="F372" s="47" t="s">
        <v>28</v>
      </c>
      <c r="G372" s="47" t="s">
        <v>38</v>
      </c>
      <c r="H372" s="47" t="s">
        <v>52</v>
      </c>
      <c r="I372" s="47" t="s">
        <v>52</v>
      </c>
      <c r="J372" s="47" t="s">
        <v>22</v>
      </c>
      <c r="K372" s="59" t="s">
        <v>23</v>
      </c>
      <c r="L372" s="59" t="s">
        <v>23</v>
      </c>
      <c r="M372" s="47" t="s">
        <v>40</v>
      </c>
    </row>
    <row r="373" customHeight="1" spans="1:13">
      <c r="A373" s="47" t="s">
        <v>900</v>
      </c>
      <c r="B373" s="47" t="s">
        <v>895</v>
      </c>
      <c r="C373" s="47" t="s">
        <v>901</v>
      </c>
      <c r="D373" s="47" t="s">
        <v>107</v>
      </c>
      <c r="E373" s="47" t="s">
        <v>63</v>
      </c>
      <c r="F373" s="47" t="s">
        <v>18</v>
      </c>
      <c r="G373" s="47" t="s">
        <v>38</v>
      </c>
      <c r="H373" s="47" t="s">
        <v>64</v>
      </c>
      <c r="I373" s="47" t="s">
        <v>162</v>
      </c>
      <c r="J373" s="47" t="s">
        <v>22</v>
      </c>
      <c r="K373" s="47" t="s">
        <v>53</v>
      </c>
      <c r="L373" s="59" t="s">
        <v>23</v>
      </c>
      <c r="M373" s="47" t="s">
        <v>40</v>
      </c>
    </row>
    <row r="374" customHeight="1" spans="1:13">
      <c r="A374" s="47" t="s">
        <v>902</v>
      </c>
      <c r="B374" s="47" t="s">
        <v>895</v>
      </c>
      <c r="C374" s="47" t="s">
        <v>903</v>
      </c>
      <c r="D374" s="47" t="s">
        <v>107</v>
      </c>
      <c r="E374" s="47" t="s">
        <v>50</v>
      </c>
      <c r="F374" s="59" t="s">
        <v>23</v>
      </c>
      <c r="G374" s="47" t="s">
        <v>38</v>
      </c>
      <c r="H374" s="47" t="s">
        <v>52</v>
      </c>
      <c r="I374" s="47" t="s">
        <v>52</v>
      </c>
      <c r="J374" s="47" t="s">
        <v>22</v>
      </c>
      <c r="K374" s="59" t="s">
        <v>23</v>
      </c>
      <c r="L374" s="59" t="s">
        <v>23</v>
      </c>
      <c r="M374" s="47" t="s">
        <v>47</v>
      </c>
    </row>
    <row r="375" customHeight="1" spans="1:13">
      <c r="A375" s="47" t="s">
        <v>904</v>
      </c>
      <c r="B375" s="47" t="s">
        <v>895</v>
      </c>
      <c r="C375" s="47" t="s">
        <v>905</v>
      </c>
      <c r="D375" s="47" t="s">
        <v>43</v>
      </c>
      <c r="E375" s="47" t="s">
        <v>103</v>
      </c>
      <c r="F375" s="47" t="s">
        <v>37</v>
      </c>
      <c r="G375" s="47" t="s">
        <v>29</v>
      </c>
      <c r="H375" s="47" t="s">
        <v>104</v>
      </c>
      <c r="I375" s="47" t="s">
        <v>30</v>
      </c>
      <c r="J375" s="47" t="s">
        <v>22</v>
      </c>
      <c r="K375" s="59" t="s">
        <v>23</v>
      </c>
      <c r="L375" s="47" t="s">
        <v>54</v>
      </c>
      <c r="M375" s="47" t="s">
        <v>47</v>
      </c>
    </row>
    <row r="376" customHeight="1" spans="1:13">
      <c r="A376" s="47" t="s">
        <v>906</v>
      </c>
      <c r="B376" s="47" t="s">
        <v>895</v>
      </c>
      <c r="C376" s="47" t="s">
        <v>529</v>
      </c>
      <c r="D376" s="47" t="s">
        <v>107</v>
      </c>
      <c r="E376" s="47" t="s">
        <v>44</v>
      </c>
      <c r="F376" s="47" t="s">
        <v>907</v>
      </c>
      <c r="G376" s="47" t="s">
        <v>38</v>
      </c>
      <c r="H376" s="47" t="s">
        <v>46</v>
      </c>
      <c r="I376" s="47" t="s">
        <v>46</v>
      </c>
      <c r="J376" s="47" t="s">
        <v>22</v>
      </c>
      <c r="K376" s="59" t="s">
        <v>23</v>
      </c>
      <c r="L376" s="59" t="s">
        <v>23</v>
      </c>
      <c r="M376" s="47" t="s">
        <v>24</v>
      </c>
    </row>
    <row r="377" customHeight="1" spans="1:13">
      <c r="A377" s="47" t="s">
        <v>908</v>
      </c>
      <c r="B377" s="47" t="s">
        <v>895</v>
      </c>
      <c r="C377" s="47" t="s">
        <v>909</v>
      </c>
      <c r="D377" s="47" t="s">
        <v>107</v>
      </c>
      <c r="E377" s="47" t="s">
        <v>36</v>
      </c>
      <c r="F377" s="59" t="s">
        <v>23</v>
      </c>
      <c r="G377" s="47" t="s">
        <v>38</v>
      </c>
      <c r="H377" s="47" t="s">
        <v>39</v>
      </c>
      <c r="I377" s="47" t="s">
        <v>39</v>
      </c>
      <c r="J377" s="47" t="s">
        <v>22</v>
      </c>
      <c r="K377" s="59" t="s">
        <v>23</v>
      </c>
      <c r="L377" s="59" t="s">
        <v>23</v>
      </c>
      <c r="M377" s="47" t="s">
        <v>47</v>
      </c>
    </row>
    <row r="378" customHeight="1" spans="1:13">
      <c r="A378" s="47" t="s">
        <v>910</v>
      </c>
      <c r="B378" s="47" t="s">
        <v>895</v>
      </c>
      <c r="C378" s="47" t="s">
        <v>859</v>
      </c>
      <c r="D378" s="47" t="s">
        <v>16</v>
      </c>
      <c r="E378" s="47" t="s">
        <v>44</v>
      </c>
      <c r="F378" s="47" t="s">
        <v>45</v>
      </c>
      <c r="G378" s="47" t="s">
        <v>19</v>
      </c>
      <c r="H378" s="47" t="s">
        <v>46</v>
      </c>
      <c r="I378" s="47" t="s">
        <v>114</v>
      </c>
      <c r="J378" s="47" t="s">
        <v>22</v>
      </c>
      <c r="K378" s="59" t="s">
        <v>23</v>
      </c>
      <c r="L378" s="59" t="s">
        <v>23</v>
      </c>
      <c r="M378" s="47" t="s">
        <v>577</v>
      </c>
    </row>
    <row r="379" customHeight="1" spans="1:13">
      <c r="A379" s="47" t="s">
        <v>911</v>
      </c>
      <c r="B379" s="47" t="s">
        <v>912</v>
      </c>
      <c r="C379" s="47" t="s">
        <v>913</v>
      </c>
      <c r="D379" s="47" t="s">
        <v>43</v>
      </c>
      <c r="E379" s="47" t="s">
        <v>57</v>
      </c>
      <c r="F379" s="47" t="s">
        <v>28</v>
      </c>
      <c r="G379" s="47" t="s">
        <v>29</v>
      </c>
      <c r="H379" s="47" t="s">
        <v>58</v>
      </c>
      <c r="I379" s="47" t="s">
        <v>295</v>
      </c>
      <c r="J379" s="47" t="s">
        <v>22</v>
      </c>
      <c r="K379" s="59" t="s">
        <v>23</v>
      </c>
      <c r="L379" s="59" t="s">
        <v>23</v>
      </c>
      <c r="M379" s="47" t="s">
        <v>33</v>
      </c>
    </row>
    <row r="380" customHeight="1" spans="1:13">
      <c r="A380" s="47" t="s">
        <v>914</v>
      </c>
      <c r="B380" s="47" t="s">
        <v>895</v>
      </c>
      <c r="C380" s="47" t="s">
        <v>75</v>
      </c>
      <c r="D380" s="47" t="s">
        <v>16</v>
      </c>
      <c r="E380" s="47" t="s">
        <v>50</v>
      </c>
      <c r="F380" s="47" t="s">
        <v>28</v>
      </c>
      <c r="G380" s="47" t="s">
        <v>38</v>
      </c>
      <c r="H380" s="59" t="s">
        <v>23</v>
      </c>
      <c r="I380" s="47" t="s">
        <v>52</v>
      </c>
      <c r="J380" s="47" t="s">
        <v>22</v>
      </c>
      <c r="K380" s="59" t="s">
        <v>23</v>
      </c>
      <c r="L380" s="59" t="s">
        <v>23</v>
      </c>
      <c r="M380" s="47" t="s">
        <v>40</v>
      </c>
    </row>
    <row r="381" customHeight="1" spans="1:13">
      <c r="A381" s="47" t="s">
        <v>915</v>
      </c>
      <c r="B381" s="47" t="s">
        <v>895</v>
      </c>
      <c r="C381" s="47" t="s">
        <v>233</v>
      </c>
      <c r="D381" s="47" t="s">
        <v>43</v>
      </c>
      <c r="E381" s="47" t="s">
        <v>27</v>
      </c>
      <c r="F381" s="47" t="s">
        <v>28</v>
      </c>
      <c r="G381" s="47" t="s">
        <v>19</v>
      </c>
      <c r="H381" s="47" t="s">
        <v>30</v>
      </c>
      <c r="I381" s="47" t="s">
        <v>258</v>
      </c>
      <c r="J381" s="47" t="s">
        <v>22</v>
      </c>
      <c r="K381" s="59" t="s">
        <v>23</v>
      </c>
      <c r="L381" s="59" t="s">
        <v>23</v>
      </c>
      <c r="M381" s="47" t="s">
        <v>24</v>
      </c>
    </row>
    <row r="382" customHeight="1" spans="1:13">
      <c r="A382" s="47" t="s">
        <v>916</v>
      </c>
      <c r="B382" s="47" t="s">
        <v>917</v>
      </c>
      <c r="C382" s="47" t="s">
        <v>173</v>
      </c>
      <c r="D382" s="47" t="s">
        <v>16</v>
      </c>
      <c r="E382" s="47" t="s">
        <v>103</v>
      </c>
      <c r="F382" s="47" t="s">
        <v>37</v>
      </c>
      <c r="G382" s="47" t="s">
        <v>38</v>
      </c>
      <c r="H382" s="47" t="s">
        <v>77</v>
      </c>
      <c r="I382" s="47" t="s">
        <v>77</v>
      </c>
      <c r="J382" s="47" t="s">
        <v>715</v>
      </c>
      <c r="K382" s="59" t="s">
        <v>23</v>
      </c>
      <c r="L382" s="47" t="s">
        <v>54</v>
      </c>
      <c r="M382" s="47" t="s">
        <v>73</v>
      </c>
    </row>
    <row r="383" customHeight="1" spans="1:13">
      <c r="A383" s="47" t="s">
        <v>918</v>
      </c>
      <c r="B383" s="47" t="s">
        <v>919</v>
      </c>
      <c r="C383" s="47" t="s">
        <v>338</v>
      </c>
      <c r="D383" s="47" t="s">
        <v>107</v>
      </c>
      <c r="E383" s="47" t="s">
        <v>647</v>
      </c>
      <c r="F383" s="47" t="s">
        <v>45</v>
      </c>
      <c r="G383" s="47" t="s">
        <v>38</v>
      </c>
      <c r="H383" s="47" t="s">
        <v>227</v>
      </c>
      <c r="I383" s="47" t="s">
        <v>227</v>
      </c>
      <c r="J383" s="47" t="s">
        <v>32</v>
      </c>
      <c r="K383" s="59" t="s">
        <v>23</v>
      </c>
      <c r="L383" s="59" t="s">
        <v>23</v>
      </c>
      <c r="M383" s="47" t="s">
        <v>24</v>
      </c>
    </row>
    <row r="384" customHeight="1" spans="1:13">
      <c r="A384" s="47" t="s">
        <v>920</v>
      </c>
      <c r="B384" s="47" t="s">
        <v>917</v>
      </c>
      <c r="C384" s="47" t="s">
        <v>688</v>
      </c>
      <c r="D384" s="47" t="s">
        <v>16</v>
      </c>
      <c r="E384" s="47" t="s">
        <v>103</v>
      </c>
      <c r="F384" s="47" t="s">
        <v>37</v>
      </c>
      <c r="G384" s="47" t="s">
        <v>38</v>
      </c>
      <c r="H384" s="47" t="s">
        <v>77</v>
      </c>
      <c r="I384" s="47" t="s">
        <v>596</v>
      </c>
      <c r="J384" s="47" t="s">
        <v>22</v>
      </c>
      <c r="K384" s="47" t="s">
        <v>143</v>
      </c>
      <c r="L384" s="59" t="s">
        <v>23</v>
      </c>
      <c r="M384" s="47" t="s">
        <v>292</v>
      </c>
    </row>
    <row r="385" customHeight="1" spans="1:13">
      <c r="A385" s="47" t="s">
        <v>921</v>
      </c>
      <c r="B385" s="47" t="s">
        <v>917</v>
      </c>
      <c r="C385" s="47" t="s">
        <v>922</v>
      </c>
      <c r="D385" s="47" t="s">
        <v>16</v>
      </c>
      <c r="E385" s="47" t="s">
        <v>44</v>
      </c>
      <c r="F385" s="47" t="s">
        <v>45</v>
      </c>
      <c r="G385" s="47" t="s">
        <v>38</v>
      </c>
      <c r="H385" s="47" t="s">
        <v>46</v>
      </c>
      <c r="I385" s="59" t="s">
        <v>23</v>
      </c>
      <c r="J385" s="47" t="s">
        <v>22</v>
      </c>
      <c r="K385" s="59" t="s">
        <v>23</v>
      </c>
      <c r="L385" s="59" t="s">
        <v>23</v>
      </c>
      <c r="M385" s="47" t="s">
        <v>33</v>
      </c>
    </row>
    <row r="386" customHeight="1" spans="1:13">
      <c r="A386" s="47" t="s">
        <v>923</v>
      </c>
      <c r="B386" s="47" t="s">
        <v>917</v>
      </c>
      <c r="C386" s="47" t="s">
        <v>924</v>
      </c>
      <c r="D386" s="47" t="s">
        <v>393</v>
      </c>
      <c r="E386" s="47" t="s">
        <v>199</v>
      </c>
      <c r="F386" s="47" t="s">
        <v>18</v>
      </c>
      <c r="G386" s="47" t="s">
        <v>29</v>
      </c>
      <c r="H386" s="47" t="s">
        <v>39</v>
      </c>
      <c r="I386" s="47" t="s">
        <v>761</v>
      </c>
      <c r="J386" s="47" t="s">
        <v>22</v>
      </c>
      <c r="K386" s="59" t="s">
        <v>23</v>
      </c>
      <c r="L386" s="59" t="s">
        <v>23</v>
      </c>
      <c r="M386" s="47" t="s">
        <v>47</v>
      </c>
    </row>
    <row r="387" customHeight="1" spans="1:13">
      <c r="A387" s="47" t="s">
        <v>925</v>
      </c>
      <c r="B387" s="47" t="s">
        <v>917</v>
      </c>
      <c r="C387" s="47" t="s">
        <v>926</v>
      </c>
      <c r="D387" s="47" t="s">
        <v>107</v>
      </c>
      <c r="E387" s="47" t="s">
        <v>103</v>
      </c>
      <c r="F387" s="47" t="s">
        <v>37</v>
      </c>
      <c r="G387" s="47" t="s">
        <v>38</v>
      </c>
      <c r="H387" s="47" t="s">
        <v>77</v>
      </c>
      <c r="I387" s="47" t="s">
        <v>77</v>
      </c>
      <c r="J387" s="47" t="s">
        <v>22</v>
      </c>
      <c r="K387" s="59" t="s">
        <v>23</v>
      </c>
      <c r="L387" s="59" t="s">
        <v>23</v>
      </c>
      <c r="M387" s="47" t="s">
        <v>47</v>
      </c>
    </row>
    <row r="388" customHeight="1" spans="1:13">
      <c r="A388" s="47" t="s">
        <v>927</v>
      </c>
      <c r="B388" s="47" t="s">
        <v>917</v>
      </c>
      <c r="C388" s="47" t="s">
        <v>699</v>
      </c>
      <c r="D388" s="47" t="s">
        <v>43</v>
      </c>
      <c r="E388" s="47" t="s">
        <v>50</v>
      </c>
      <c r="F388" s="47" t="s">
        <v>28</v>
      </c>
      <c r="G388" s="47" t="s">
        <v>38</v>
      </c>
      <c r="H388" s="59" t="s">
        <v>23</v>
      </c>
      <c r="I388" s="47" t="s">
        <v>52</v>
      </c>
      <c r="J388" s="47" t="s">
        <v>22</v>
      </c>
      <c r="K388" s="59" t="s">
        <v>23</v>
      </c>
      <c r="L388" s="59" t="s">
        <v>23</v>
      </c>
      <c r="M388" s="47" t="s">
        <v>47</v>
      </c>
    </row>
    <row r="389" customHeight="1" spans="1:13">
      <c r="A389" s="47" t="s">
        <v>928</v>
      </c>
      <c r="B389" s="47" t="s">
        <v>917</v>
      </c>
      <c r="C389" s="47" t="s">
        <v>929</v>
      </c>
      <c r="D389" s="47" t="s">
        <v>16</v>
      </c>
      <c r="E389" s="47" t="s">
        <v>17</v>
      </c>
      <c r="F389" s="47" t="s">
        <v>18</v>
      </c>
      <c r="G389" s="47" t="s">
        <v>19</v>
      </c>
      <c r="H389" s="47" t="s">
        <v>20</v>
      </c>
      <c r="I389" s="47" t="s">
        <v>21</v>
      </c>
      <c r="J389" s="47" t="s">
        <v>22</v>
      </c>
      <c r="K389" s="59" t="s">
        <v>23</v>
      </c>
      <c r="L389" s="47" t="s">
        <v>29</v>
      </c>
      <c r="M389" s="47" t="s">
        <v>574</v>
      </c>
    </row>
    <row r="390" customHeight="1" spans="1:13">
      <c r="A390" s="47" t="s">
        <v>930</v>
      </c>
      <c r="B390" s="47" t="s">
        <v>917</v>
      </c>
      <c r="C390" s="47" t="s">
        <v>931</v>
      </c>
      <c r="D390" s="47" t="s">
        <v>16</v>
      </c>
      <c r="E390" s="47" t="s">
        <v>146</v>
      </c>
      <c r="F390" s="47" t="s">
        <v>28</v>
      </c>
      <c r="G390" s="47" t="s">
        <v>38</v>
      </c>
      <c r="H390" s="47" t="s">
        <v>147</v>
      </c>
      <c r="I390" s="59" t="s">
        <v>23</v>
      </c>
      <c r="J390" s="47" t="s">
        <v>22</v>
      </c>
      <c r="K390" s="47" t="s">
        <v>53</v>
      </c>
      <c r="L390" s="47" t="s">
        <v>29</v>
      </c>
      <c r="M390" s="47" t="s">
        <v>24</v>
      </c>
    </row>
    <row r="391" customHeight="1" spans="1:13">
      <c r="A391" s="47" t="s">
        <v>932</v>
      </c>
      <c r="B391" s="47" t="s">
        <v>917</v>
      </c>
      <c r="C391" s="47" t="s">
        <v>933</v>
      </c>
      <c r="D391" s="47" t="s">
        <v>934</v>
      </c>
      <c r="E391" s="47" t="s">
        <v>367</v>
      </c>
      <c r="F391" s="47" t="s">
        <v>109</v>
      </c>
      <c r="G391" s="47" t="s">
        <v>38</v>
      </c>
      <c r="H391" s="47" t="s">
        <v>110</v>
      </c>
      <c r="I391" s="47" t="s">
        <v>110</v>
      </c>
      <c r="J391" s="47" t="s">
        <v>22</v>
      </c>
      <c r="K391" s="59" t="s">
        <v>23</v>
      </c>
      <c r="L391" s="59" t="s">
        <v>23</v>
      </c>
      <c r="M391" s="47" t="s">
        <v>47</v>
      </c>
    </row>
    <row r="392" customHeight="1" spans="1:13">
      <c r="A392" s="47" t="s">
        <v>935</v>
      </c>
      <c r="B392" s="47" t="s">
        <v>917</v>
      </c>
      <c r="C392" s="47" t="s">
        <v>153</v>
      </c>
      <c r="D392" s="47" t="s">
        <v>107</v>
      </c>
      <c r="E392" s="47" t="s">
        <v>63</v>
      </c>
      <c r="F392" s="47" t="s">
        <v>18</v>
      </c>
      <c r="G392" s="47" t="s">
        <v>38</v>
      </c>
      <c r="H392" s="47" t="s">
        <v>64</v>
      </c>
      <c r="I392" s="47" t="s">
        <v>64</v>
      </c>
      <c r="J392" s="47" t="s">
        <v>22</v>
      </c>
      <c r="K392" s="59" t="s">
        <v>23</v>
      </c>
      <c r="L392" s="59" t="s">
        <v>23</v>
      </c>
      <c r="M392" s="47" t="s">
        <v>33</v>
      </c>
    </row>
    <row r="393" customHeight="1" spans="1:13">
      <c r="A393" s="47" t="s">
        <v>936</v>
      </c>
      <c r="B393" s="47" t="s">
        <v>917</v>
      </c>
      <c r="C393" s="47" t="s">
        <v>937</v>
      </c>
      <c r="D393" s="47" t="s">
        <v>107</v>
      </c>
      <c r="E393" s="47" t="s">
        <v>63</v>
      </c>
      <c r="F393" s="47" t="s">
        <v>18</v>
      </c>
      <c r="G393" s="47" t="s">
        <v>38</v>
      </c>
      <c r="H393" s="47" t="s">
        <v>64</v>
      </c>
      <c r="I393" s="47" t="s">
        <v>64</v>
      </c>
      <c r="J393" s="47" t="s">
        <v>22</v>
      </c>
      <c r="K393" s="59" t="s">
        <v>23</v>
      </c>
      <c r="L393" s="59" t="s">
        <v>23</v>
      </c>
      <c r="M393" s="47" t="s">
        <v>47</v>
      </c>
    </row>
    <row r="394" customHeight="1" spans="1:13">
      <c r="A394" s="47" t="s">
        <v>938</v>
      </c>
      <c r="B394" s="47" t="s">
        <v>917</v>
      </c>
      <c r="C394" s="47" t="s">
        <v>531</v>
      </c>
      <c r="D394" s="47" t="s">
        <v>16</v>
      </c>
      <c r="E394" s="47" t="s">
        <v>17</v>
      </c>
      <c r="F394" s="47" t="s">
        <v>18</v>
      </c>
      <c r="G394" s="47" t="s">
        <v>38</v>
      </c>
      <c r="H394" s="47" t="s">
        <v>20</v>
      </c>
      <c r="I394" s="47" t="s">
        <v>827</v>
      </c>
      <c r="J394" s="47" t="s">
        <v>22</v>
      </c>
      <c r="K394" s="47" t="s">
        <v>53</v>
      </c>
      <c r="L394" s="59" t="s">
        <v>23</v>
      </c>
      <c r="M394" s="47" t="s">
        <v>24</v>
      </c>
    </row>
    <row r="395" customHeight="1" spans="1:13">
      <c r="A395" s="47" t="s">
        <v>939</v>
      </c>
      <c r="B395" s="47" t="s">
        <v>917</v>
      </c>
      <c r="C395" s="47" t="s">
        <v>940</v>
      </c>
      <c r="D395" s="47" t="s">
        <v>352</v>
      </c>
      <c r="E395" s="47" t="s">
        <v>63</v>
      </c>
      <c r="F395" s="47" t="s">
        <v>18</v>
      </c>
      <c r="G395" s="47" t="s">
        <v>38</v>
      </c>
      <c r="H395" s="47" t="s">
        <v>64</v>
      </c>
      <c r="I395" s="47" t="s">
        <v>64</v>
      </c>
      <c r="J395" s="47" t="s">
        <v>32</v>
      </c>
      <c r="K395" s="59" t="s">
        <v>23</v>
      </c>
      <c r="L395" s="59" t="s">
        <v>23</v>
      </c>
      <c r="M395" s="47" t="s">
        <v>24</v>
      </c>
    </row>
    <row r="396" customHeight="1" spans="1:13">
      <c r="A396" s="47" t="s">
        <v>941</v>
      </c>
      <c r="B396" s="47" t="s">
        <v>942</v>
      </c>
      <c r="C396" s="47" t="s">
        <v>943</v>
      </c>
      <c r="D396" s="47" t="s">
        <v>16</v>
      </c>
      <c r="E396" s="47" t="s">
        <v>103</v>
      </c>
      <c r="F396" s="47" t="s">
        <v>37</v>
      </c>
      <c r="G396" s="47" t="s">
        <v>38</v>
      </c>
      <c r="H396" s="47" t="s">
        <v>77</v>
      </c>
      <c r="I396" s="47" t="s">
        <v>596</v>
      </c>
      <c r="J396" s="47" t="s">
        <v>22</v>
      </c>
      <c r="K396" s="47" t="s">
        <v>143</v>
      </c>
      <c r="L396" s="59" t="s">
        <v>23</v>
      </c>
      <c r="M396" s="47" t="s">
        <v>73</v>
      </c>
    </row>
    <row r="397" customHeight="1" spans="1:13">
      <c r="A397" s="47" t="s">
        <v>944</v>
      </c>
      <c r="B397" s="47" t="s">
        <v>942</v>
      </c>
      <c r="C397" s="47" t="s">
        <v>945</v>
      </c>
      <c r="D397" s="47" t="s">
        <v>16</v>
      </c>
      <c r="E397" s="47" t="s">
        <v>17</v>
      </c>
      <c r="F397" s="47" t="s">
        <v>18</v>
      </c>
      <c r="G397" s="47" t="s">
        <v>38</v>
      </c>
      <c r="H397" s="59" t="s">
        <v>23</v>
      </c>
      <c r="I397" s="47" t="s">
        <v>20</v>
      </c>
      <c r="J397" s="47" t="s">
        <v>32</v>
      </c>
      <c r="K397" s="59" t="s">
        <v>23</v>
      </c>
      <c r="L397" s="59" t="s">
        <v>23</v>
      </c>
      <c r="M397" s="47" t="s">
        <v>33</v>
      </c>
    </row>
    <row r="398" customHeight="1" spans="1:13">
      <c r="A398" s="47" t="s">
        <v>946</v>
      </c>
      <c r="B398" s="47" t="s">
        <v>947</v>
      </c>
      <c r="C398" s="47" t="s">
        <v>948</v>
      </c>
      <c r="D398" s="47" t="s">
        <v>16</v>
      </c>
      <c r="E398" s="47" t="s">
        <v>63</v>
      </c>
      <c r="F398" s="47" t="s">
        <v>18</v>
      </c>
      <c r="G398" s="47" t="s">
        <v>38</v>
      </c>
      <c r="H398" s="47" t="s">
        <v>64</v>
      </c>
      <c r="I398" s="47" t="s">
        <v>64</v>
      </c>
      <c r="J398" s="47" t="s">
        <v>22</v>
      </c>
      <c r="K398" s="59" t="s">
        <v>23</v>
      </c>
      <c r="L398" s="47" t="s">
        <v>65</v>
      </c>
      <c r="M398" s="47" t="s">
        <v>40</v>
      </c>
    </row>
    <row r="399" customHeight="1" spans="1:13">
      <c r="A399" s="47" t="s">
        <v>949</v>
      </c>
      <c r="B399" s="47" t="s">
        <v>947</v>
      </c>
      <c r="C399" s="47" t="s">
        <v>950</v>
      </c>
      <c r="D399" s="47" t="s">
        <v>16</v>
      </c>
      <c r="E399" s="47" t="s">
        <v>17</v>
      </c>
      <c r="F399" s="47" t="s">
        <v>18</v>
      </c>
      <c r="G399" s="47" t="s">
        <v>38</v>
      </c>
      <c r="H399" s="59" t="s">
        <v>23</v>
      </c>
      <c r="I399" s="47" t="s">
        <v>20</v>
      </c>
      <c r="J399" s="47" t="s">
        <v>22</v>
      </c>
      <c r="K399" s="59" t="s">
        <v>23</v>
      </c>
      <c r="L399" s="47" t="s">
        <v>65</v>
      </c>
      <c r="M399" s="47" t="s">
        <v>47</v>
      </c>
    </row>
    <row r="400" customHeight="1" spans="1:13">
      <c r="A400" s="47" t="s">
        <v>951</v>
      </c>
      <c r="B400" s="47" t="s">
        <v>947</v>
      </c>
      <c r="C400" s="47" t="s">
        <v>952</v>
      </c>
      <c r="D400" s="47" t="s">
        <v>107</v>
      </c>
      <c r="E400" s="47" t="s">
        <v>17</v>
      </c>
      <c r="F400" s="47" t="s">
        <v>18</v>
      </c>
      <c r="G400" s="47" t="s">
        <v>38</v>
      </c>
      <c r="H400" s="59" t="s">
        <v>23</v>
      </c>
      <c r="I400" s="47" t="s">
        <v>20</v>
      </c>
      <c r="J400" s="47" t="s">
        <v>22</v>
      </c>
      <c r="K400" s="59" t="s">
        <v>23</v>
      </c>
      <c r="L400" s="59" t="s">
        <v>23</v>
      </c>
      <c r="M400" s="47" t="s">
        <v>73</v>
      </c>
    </row>
    <row r="401" customHeight="1" spans="1:13">
      <c r="A401" s="47" t="s">
        <v>953</v>
      </c>
      <c r="B401" s="47" t="s">
        <v>954</v>
      </c>
      <c r="C401" s="47" t="s">
        <v>729</v>
      </c>
      <c r="D401" s="47" t="s">
        <v>107</v>
      </c>
      <c r="E401" s="47" t="s">
        <v>103</v>
      </c>
      <c r="F401" s="47" t="s">
        <v>37</v>
      </c>
      <c r="G401" s="47" t="s">
        <v>19</v>
      </c>
      <c r="H401" s="47" t="s">
        <v>77</v>
      </c>
      <c r="I401" s="59" t="s">
        <v>23</v>
      </c>
      <c r="J401" s="47" t="s">
        <v>22</v>
      </c>
      <c r="K401" s="47" t="s">
        <v>143</v>
      </c>
      <c r="L401" s="59" t="s">
        <v>23</v>
      </c>
      <c r="M401" s="47" t="s">
        <v>73</v>
      </c>
    </row>
    <row r="402" customHeight="1" spans="1:13">
      <c r="A402" s="47" t="s">
        <v>955</v>
      </c>
      <c r="B402" s="47" t="s">
        <v>947</v>
      </c>
      <c r="C402" s="47" t="s">
        <v>956</v>
      </c>
      <c r="D402" s="47" t="s">
        <v>43</v>
      </c>
      <c r="E402" s="47" t="s">
        <v>341</v>
      </c>
      <c r="F402" s="47" t="s">
        <v>28</v>
      </c>
      <c r="G402" s="47" t="s">
        <v>19</v>
      </c>
      <c r="H402" s="47" t="s">
        <v>147</v>
      </c>
      <c r="I402" s="47" t="s">
        <v>474</v>
      </c>
      <c r="J402" s="47" t="s">
        <v>22</v>
      </c>
      <c r="K402" s="59" t="s">
        <v>23</v>
      </c>
      <c r="L402" s="59" t="s">
        <v>23</v>
      </c>
      <c r="M402" s="47" t="s">
        <v>33</v>
      </c>
    </row>
    <row r="403" customHeight="1" spans="1:13">
      <c r="A403" s="47" t="s">
        <v>957</v>
      </c>
      <c r="B403" s="47" t="s">
        <v>947</v>
      </c>
      <c r="C403" s="47" t="s">
        <v>603</v>
      </c>
      <c r="D403" s="47" t="s">
        <v>16</v>
      </c>
      <c r="E403" s="47" t="s">
        <v>267</v>
      </c>
      <c r="F403" s="47" t="s">
        <v>18</v>
      </c>
      <c r="G403" s="47" t="s">
        <v>38</v>
      </c>
      <c r="H403" s="47" t="s">
        <v>64</v>
      </c>
      <c r="I403" s="47" t="s">
        <v>64</v>
      </c>
      <c r="J403" s="47" t="s">
        <v>32</v>
      </c>
      <c r="K403" s="59" t="s">
        <v>23</v>
      </c>
      <c r="L403" s="59" t="s">
        <v>23</v>
      </c>
      <c r="M403" s="47" t="s">
        <v>33</v>
      </c>
    </row>
    <row r="404" customHeight="1" spans="1:13">
      <c r="A404" s="47" t="s">
        <v>958</v>
      </c>
      <c r="B404" s="47" t="s">
        <v>947</v>
      </c>
      <c r="C404" s="47" t="s">
        <v>959</v>
      </c>
      <c r="D404" s="47" t="s">
        <v>107</v>
      </c>
      <c r="E404" s="47" t="s">
        <v>50</v>
      </c>
      <c r="F404" s="47" t="s">
        <v>28</v>
      </c>
      <c r="G404" s="47" t="s">
        <v>38</v>
      </c>
      <c r="H404" s="47" t="s">
        <v>734</v>
      </c>
      <c r="I404" s="47" t="s">
        <v>52</v>
      </c>
      <c r="J404" s="47" t="s">
        <v>32</v>
      </c>
      <c r="K404" s="59" t="s">
        <v>23</v>
      </c>
      <c r="L404" s="59" t="s">
        <v>23</v>
      </c>
      <c r="M404" s="47" t="s">
        <v>24</v>
      </c>
    </row>
    <row r="405" customHeight="1" spans="1:13">
      <c r="A405" s="47" t="s">
        <v>960</v>
      </c>
      <c r="B405" s="47" t="s">
        <v>947</v>
      </c>
      <c r="C405" s="47" t="s">
        <v>67</v>
      </c>
      <c r="D405" s="47" t="s">
        <v>16</v>
      </c>
      <c r="E405" s="47" t="s">
        <v>44</v>
      </c>
      <c r="F405" s="47" t="s">
        <v>45</v>
      </c>
      <c r="G405" s="47" t="s">
        <v>38</v>
      </c>
      <c r="H405" s="47" t="s">
        <v>46</v>
      </c>
      <c r="I405" s="47" t="s">
        <v>46</v>
      </c>
      <c r="J405" s="47" t="s">
        <v>22</v>
      </c>
      <c r="K405" s="59" t="s">
        <v>23</v>
      </c>
      <c r="L405" s="59" t="s">
        <v>23</v>
      </c>
      <c r="M405" s="47" t="s">
        <v>47</v>
      </c>
    </row>
    <row r="406" customHeight="1" spans="1:13">
      <c r="A406" s="47" t="s">
        <v>961</v>
      </c>
      <c r="B406" s="47" t="s">
        <v>947</v>
      </c>
      <c r="C406" s="47" t="s">
        <v>35</v>
      </c>
      <c r="D406" s="47" t="s">
        <v>16</v>
      </c>
      <c r="E406" s="47" t="s">
        <v>165</v>
      </c>
      <c r="F406" s="47" t="s">
        <v>109</v>
      </c>
      <c r="G406" s="47" t="s">
        <v>19</v>
      </c>
      <c r="H406" s="47" t="s">
        <v>82</v>
      </c>
      <c r="I406" s="47" t="s">
        <v>184</v>
      </c>
      <c r="J406" s="47" t="s">
        <v>32</v>
      </c>
      <c r="K406" s="59" t="s">
        <v>23</v>
      </c>
      <c r="L406" s="59" t="s">
        <v>23</v>
      </c>
      <c r="M406" s="47" t="s">
        <v>47</v>
      </c>
    </row>
    <row r="407" customHeight="1" spans="1:13">
      <c r="A407" s="47" t="s">
        <v>962</v>
      </c>
      <c r="B407" s="47" t="s">
        <v>947</v>
      </c>
      <c r="C407" s="47" t="s">
        <v>963</v>
      </c>
      <c r="D407" s="47" t="s">
        <v>86</v>
      </c>
      <c r="E407" s="47" t="s">
        <v>964</v>
      </c>
      <c r="F407" s="47" t="s">
        <v>37</v>
      </c>
      <c r="G407" s="47" t="s">
        <v>38</v>
      </c>
      <c r="H407" s="47" t="s">
        <v>77</v>
      </c>
      <c r="I407" s="47" t="s">
        <v>416</v>
      </c>
      <c r="J407" s="47" t="s">
        <v>22</v>
      </c>
      <c r="K407" s="59" t="s">
        <v>23</v>
      </c>
      <c r="L407" s="59" t="s">
        <v>23</v>
      </c>
      <c r="M407" s="47" t="s">
        <v>47</v>
      </c>
    </row>
    <row r="408" customHeight="1" spans="1:13">
      <c r="A408" s="47" t="s">
        <v>965</v>
      </c>
      <c r="B408" s="47" t="s">
        <v>947</v>
      </c>
      <c r="C408" s="47" t="s">
        <v>706</v>
      </c>
      <c r="D408" s="47" t="s">
        <v>43</v>
      </c>
      <c r="E408" s="47" t="s">
        <v>17</v>
      </c>
      <c r="F408" s="47" t="s">
        <v>18</v>
      </c>
      <c r="G408" s="47" t="s">
        <v>38</v>
      </c>
      <c r="H408" s="47" t="s">
        <v>20</v>
      </c>
      <c r="I408" s="47" t="s">
        <v>20</v>
      </c>
      <c r="J408" s="47" t="s">
        <v>22</v>
      </c>
      <c r="K408" s="59" t="s">
        <v>23</v>
      </c>
      <c r="L408" s="59" t="s">
        <v>23</v>
      </c>
      <c r="M408" s="47" t="s">
        <v>47</v>
      </c>
    </row>
    <row r="409" customHeight="1" spans="1:13">
      <c r="A409" s="47" t="s">
        <v>966</v>
      </c>
      <c r="B409" s="47" t="s">
        <v>947</v>
      </c>
      <c r="C409" s="47" t="s">
        <v>967</v>
      </c>
      <c r="D409" s="47" t="s">
        <v>107</v>
      </c>
      <c r="E409" s="47" t="s">
        <v>95</v>
      </c>
      <c r="F409" s="47" t="s">
        <v>45</v>
      </c>
      <c r="G409" s="47" t="s">
        <v>38</v>
      </c>
      <c r="H409" s="47" t="s">
        <v>77</v>
      </c>
      <c r="I409" s="47" t="s">
        <v>77</v>
      </c>
      <c r="J409" s="47" t="s">
        <v>22</v>
      </c>
      <c r="K409" s="59" t="s">
        <v>23</v>
      </c>
      <c r="L409" s="59" t="s">
        <v>23</v>
      </c>
      <c r="M409" s="47" t="s">
        <v>24</v>
      </c>
    </row>
    <row r="410" customHeight="1" spans="1:13">
      <c r="A410" s="47" t="s">
        <v>968</v>
      </c>
      <c r="B410" s="47" t="s">
        <v>947</v>
      </c>
      <c r="C410" s="47" t="s">
        <v>201</v>
      </c>
      <c r="D410" s="47" t="s">
        <v>16</v>
      </c>
      <c r="E410" s="47" t="s">
        <v>81</v>
      </c>
      <c r="F410" s="47" t="s">
        <v>37</v>
      </c>
      <c r="G410" s="47" t="s">
        <v>38</v>
      </c>
      <c r="H410" s="47" t="s">
        <v>82</v>
      </c>
      <c r="I410" s="47" t="s">
        <v>82</v>
      </c>
      <c r="J410" s="47" t="s">
        <v>753</v>
      </c>
      <c r="K410" s="59" t="s">
        <v>23</v>
      </c>
      <c r="L410" s="59" t="s">
        <v>23</v>
      </c>
      <c r="M410" s="47" t="s">
        <v>33</v>
      </c>
    </row>
    <row r="411" customHeight="1" spans="1:13">
      <c r="A411" s="47" t="s">
        <v>969</v>
      </c>
      <c r="B411" s="47" t="s">
        <v>947</v>
      </c>
      <c r="C411" s="47" t="s">
        <v>970</v>
      </c>
      <c r="D411" s="47" t="s">
        <v>16</v>
      </c>
      <c r="E411" s="47" t="s">
        <v>971</v>
      </c>
      <c r="F411" s="47" t="s">
        <v>109</v>
      </c>
      <c r="G411" s="47" t="s">
        <v>38</v>
      </c>
      <c r="H411" s="47" t="s">
        <v>110</v>
      </c>
      <c r="I411" s="47" t="s">
        <v>972</v>
      </c>
      <c r="J411" s="47" t="s">
        <v>485</v>
      </c>
      <c r="K411" s="59" t="s">
        <v>23</v>
      </c>
      <c r="L411" s="59" t="s">
        <v>23</v>
      </c>
      <c r="M411" s="47" t="s">
        <v>40</v>
      </c>
    </row>
    <row r="412" customHeight="1" spans="1:13">
      <c r="A412" s="47" t="s">
        <v>973</v>
      </c>
      <c r="B412" s="47" t="s">
        <v>974</v>
      </c>
      <c r="C412" s="47" t="s">
        <v>975</v>
      </c>
      <c r="D412" s="47" t="s">
        <v>16</v>
      </c>
      <c r="E412" s="47" t="s">
        <v>976</v>
      </c>
      <c r="F412" s="47" t="s">
        <v>45</v>
      </c>
      <c r="G412" s="47" t="s">
        <v>38</v>
      </c>
      <c r="H412" s="47" t="s">
        <v>77</v>
      </c>
      <c r="I412" s="59" t="s">
        <v>23</v>
      </c>
      <c r="J412" s="47" t="s">
        <v>32</v>
      </c>
      <c r="K412" s="59" t="s">
        <v>23</v>
      </c>
      <c r="L412" s="59" t="s">
        <v>23</v>
      </c>
      <c r="M412" s="47" t="s">
        <v>33</v>
      </c>
    </row>
    <row r="413" customHeight="1" spans="1:13">
      <c r="A413" s="47" t="s">
        <v>977</v>
      </c>
      <c r="B413" s="47" t="s">
        <v>978</v>
      </c>
      <c r="C413" s="47" t="s">
        <v>834</v>
      </c>
      <c r="D413" s="47" t="s">
        <v>16</v>
      </c>
      <c r="E413" s="47" t="s">
        <v>95</v>
      </c>
      <c r="F413" s="47" t="s">
        <v>45</v>
      </c>
      <c r="G413" s="47" t="s">
        <v>38</v>
      </c>
      <c r="H413" s="47" t="s">
        <v>77</v>
      </c>
      <c r="I413" s="47" t="s">
        <v>77</v>
      </c>
      <c r="J413" s="47" t="s">
        <v>32</v>
      </c>
      <c r="K413" s="47" t="s">
        <v>119</v>
      </c>
      <c r="L413" s="59" t="s">
        <v>23</v>
      </c>
      <c r="M413" s="47" t="s">
        <v>24</v>
      </c>
    </row>
    <row r="414" customHeight="1" spans="1:13">
      <c r="A414" s="47" t="s">
        <v>979</v>
      </c>
      <c r="B414" s="47" t="s">
        <v>974</v>
      </c>
      <c r="C414" s="47" t="s">
        <v>727</v>
      </c>
      <c r="D414" s="47" t="s">
        <v>16</v>
      </c>
      <c r="E414" s="47" t="s">
        <v>95</v>
      </c>
      <c r="F414" s="47" t="s">
        <v>45</v>
      </c>
      <c r="G414" s="47" t="s">
        <v>38</v>
      </c>
      <c r="H414" s="47" t="s">
        <v>77</v>
      </c>
      <c r="I414" s="47" t="s">
        <v>77</v>
      </c>
      <c r="J414" s="47" t="s">
        <v>22</v>
      </c>
      <c r="K414" s="59" t="s">
        <v>23</v>
      </c>
      <c r="L414" s="47" t="s">
        <v>54</v>
      </c>
      <c r="M414" s="47" t="s">
        <v>664</v>
      </c>
    </row>
    <row r="415" customHeight="1" spans="1:13">
      <c r="A415" s="47" t="s">
        <v>980</v>
      </c>
      <c r="B415" s="47" t="s">
        <v>974</v>
      </c>
      <c r="C415" s="47" t="s">
        <v>859</v>
      </c>
      <c r="D415" s="47" t="s">
        <v>16</v>
      </c>
      <c r="E415" s="47" t="s">
        <v>199</v>
      </c>
      <c r="F415" s="47" t="s">
        <v>18</v>
      </c>
      <c r="G415" s="47" t="s">
        <v>38</v>
      </c>
      <c r="H415" s="47" t="s">
        <v>39</v>
      </c>
      <c r="I415" s="47" t="s">
        <v>39</v>
      </c>
      <c r="J415" s="47" t="s">
        <v>22</v>
      </c>
      <c r="K415" s="59" t="s">
        <v>23</v>
      </c>
      <c r="L415" s="59" t="s">
        <v>23</v>
      </c>
      <c r="M415" s="47" t="s">
        <v>40</v>
      </c>
    </row>
    <row r="416" customHeight="1" spans="1:13">
      <c r="A416" s="47" t="s">
        <v>981</v>
      </c>
      <c r="B416" s="47" t="s">
        <v>982</v>
      </c>
      <c r="C416" s="47" t="s">
        <v>983</v>
      </c>
      <c r="D416" s="47" t="s">
        <v>16</v>
      </c>
      <c r="E416" s="47" t="s">
        <v>103</v>
      </c>
      <c r="F416" s="47" t="s">
        <v>37</v>
      </c>
      <c r="G416" s="47" t="s">
        <v>19</v>
      </c>
      <c r="H416" s="47" t="s">
        <v>104</v>
      </c>
      <c r="I416" s="47" t="s">
        <v>96</v>
      </c>
      <c r="J416" s="47" t="s">
        <v>22</v>
      </c>
      <c r="K416" s="59" t="s">
        <v>23</v>
      </c>
      <c r="L416" s="59" t="s">
        <v>23</v>
      </c>
      <c r="M416" s="47" t="s">
        <v>73</v>
      </c>
    </row>
    <row r="417" customHeight="1" spans="1:13">
      <c r="A417" s="47" t="s">
        <v>984</v>
      </c>
      <c r="B417" s="47" t="s">
        <v>982</v>
      </c>
      <c r="C417" s="47" t="s">
        <v>377</v>
      </c>
      <c r="D417" s="47" t="s">
        <v>16</v>
      </c>
      <c r="E417" s="47" t="s">
        <v>44</v>
      </c>
      <c r="F417" s="59" t="s">
        <v>23</v>
      </c>
      <c r="G417" s="47" t="s">
        <v>38</v>
      </c>
      <c r="H417" s="47" t="s">
        <v>46</v>
      </c>
      <c r="I417" s="47" t="s">
        <v>46</v>
      </c>
      <c r="J417" s="47" t="s">
        <v>32</v>
      </c>
      <c r="K417" s="59" t="s">
        <v>23</v>
      </c>
      <c r="L417" s="59" t="s">
        <v>23</v>
      </c>
      <c r="M417" s="47" t="s">
        <v>292</v>
      </c>
    </row>
    <row r="418" customHeight="1" spans="1:13">
      <c r="A418" s="47" t="s">
        <v>985</v>
      </c>
      <c r="B418" s="47" t="s">
        <v>982</v>
      </c>
      <c r="C418" s="47" t="s">
        <v>986</v>
      </c>
      <c r="D418" s="47" t="s">
        <v>16</v>
      </c>
      <c r="E418" s="47" t="s">
        <v>36</v>
      </c>
      <c r="F418" s="47" t="s">
        <v>37</v>
      </c>
      <c r="G418" s="47" t="s">
        <v>38</v>
      </c>
      <c r="H418" s="47" t="s">
        <v>39</v>
      </c>
      <c r="I418" s="47" t="s">
        <v>987</v>
      </c>
      <c r="J418" s="47" t="s">
        <v>32</v>
      </c>
      <c r="K418" s="47" t="s">
        <v>119</v>
      </c>
      <c r="L418" s="59" t="s">
        <v>23</v>
      </c>
      <c r="M418" s="47" t="s">
        <v>33</v>
      </c>
    </row>
    <row r="419" customHeight="1" spans="1:13">
      <c r="A419" s="47" t="s">
        <v>988</v>
      </c>
      <c r="B419" s="47" t="s">
        <v>982</v>
      </c>
      <c r="C419" s="47" t="s">
        <v>529</v>
      </c>
      <c r="D419" s="47" t="s">
        <v>16</v>
      </c>
      <c r="E419" s="47" t="s">
        <v>63</v>
      </c>
      <c r="F419" s="47" t="s">
        <v>18</v>
      </c>
      <c r="G419" s="47" t="s">
        <v>38</v>
      </c>
      <c r="H419" s="47" t="s">
        <v>64</v>
      </c>
      <c r="I419" s="47" t="s">
        <v>644</v>
      </c>
      <c r="J419" s="47" t="s">
        <v>22</v>
      </c>
      <c r="K419" s="59" t="s">
        <v>23</v>
      </c>
      <c r="L419" s="59" t="s">
        <v>23</v>
      </c>
      <c r="M419" s="47" t="s">
        <v>24</v>
      </c>
    </row>
    <row r="420" customHeight="1" spans="1:13">
      <c r="A420" s="47" t="s">
        <v>989</v>
      </c>
      <c r="B420" s="47" t="s">
        <v>990</v>
      </c>
      <c r="C420" s="47" t="s">
        <v>991</v>
      </c>
      <c r="D420" s="47" t="s">
        <v>107</v>
      </c>
      <c r="E420" s="47" t="s">
        <v>165</v>
      </c>
      <c r="F420" s="47" t="s">
        <v>109</v>
      </c>
      <c r="G420" s="47" t="s">
        <v>38</v>
      </c>
      <c r="H420" s="47" t="s">
        <v>82</v>
      </c>
      <c r="I420" s="47" t="s">
        <v>82</v>
      </c>
      <c r="J420" s="47" t="s">
        <v>32</v>
      </c>
      <c r="K420" s="59" t="s">
        <v>23</v>
      </c>
      <c r="L420" s="59" t="s">
        <v>23</v>
      </c>
      <c r="M420" s="47" t="s">
        <v>220</v>
      </c>
    </row>
    <row r="421" customHeight="1" spans="1:13">
      <c r="A421" s="47" t="s">
        <v>992</v>
      </c>
      <c r="B421" s="47" t="s">
        <v>993</v>
      </c>
      <c r="C421" s="47" t="s">
        <v>994</v>
      </c>
      <c r="D421" s="47" t="s">
        <v>107</v>
      </c>
      <c r="E421" s="47" t="s">
        <v>81</v>
      </c>
      <c r="F421" s="47" t="s">
        <v>37</v>
      </c>
      <c r="G421" s="47" t="s">
        <v>38</v>
      </c>
      <c r="H421" s="47" t="s">
        <v>82</v>
      </c>
      <c r="I421" s="47" t="s">
        <v>82</v>
      </c>
      <c r="J421" s="47" t="s">
        <v>22</v>
      </c>
      <c r="K421" s="59" t="s">
        <v>23</v>
      </c>
      <c r="L421" s="47" t="s">
        <v>65</v>
      </c>
      <c r="M421" s="47" t="s">
        <v>73</v>
      </c>
    </row>
    <row r="422" customHeight="1" spans="1:13">
      <c r="A422" s="47" t="s">
        <v>995</v>
      </c>
      <c r="B422" s="47" t="s">
        <v>993</v>
      </c>
      <c r="C422" s="47" t="s">
        <v>996</v>
      </c>
      <c r="D422" s="47" t="s">
        <v>16</v>
      </c>
      <c r="E422" s="47" t="s">
        <v>50</v>
      </c>
      <c r="F422" s="47" t="s">
        <v>28</v>
      </c>
      <c r="G422" s="47" t="s">
        <v>38</v>
      </c>
      <c r="H422" s="47" t="s">
        <v>52</v>
      </c>
      <c r="I422" s="47" t="s">
        <v>52</v>
      </c>
      <c r="J422" s="47" t="s">
        <v>32</v>
      </c>
      <c r="K422" s="59" t="s">
        <v>23</v>
      </c>
      <c r="L422" s="47" t="s">
        <v>65</v>
      </c>
      <c r="M422" s="47" t="s">
        <v>24</v>
      </c>
    </row>
    <row r="423" customHeight="1" spans="1:13">
      <c r="A423" s="47" t="s">
        <v>997</v>
      </c>
      <c r="B423" s="47" t="s">
        <v>993</v>
      </c>
      <c r="C423" s="47" t="s">
        <v>540</v>
      </c>
      <c r="D423" s="47" t="s">
        <v>16</v>
      </c>
      <c r="E423" s="47" t="s">
        <v>17</v>
      </c>
      <c r="F423" s="47" t="s">
        <v>18</v>
      </c>
      <c r="G423" s="47" t="s">
        <v>19</v>
      </c>
      <c r="H423" s="47" t="s">
        <v>20</v>
      </c>
      <c r="I423" s="47" t="s">
        <v>21</v>
      </c>
      <c r="J423" s="47" t="s">
        <v>22</v>
      </c>
      <c r="K423" s="59" t="s">
        <v>23</v>
      </c>
      <c r="L423" s="47" t="s">
        <v>54</v>
      </c>
      <c r="M423" s="47" t="s">
        <v>33</v>
      </c>
    </row>
    <row r="424" customHeight="1" spans="1:13">
      <c r="A424" s="47" t="s">
        <v>998</v>
      </c>
      <c r="B424" s="47" t="s">
        <v>999</v>
      </c>
      <c r="C424" s="47" t="s">
        <v>1000</v>
      </c>
      <c r="D424" s="47" t="s">
        <v>16</v>
      </c>
      <c r="E424" s="47" t="s">
        <v>81</v>
      </c>
      <c r="F424" s="47" t="s">
        <v>37</v>
      </c>
      <c r="G424" s="47" t="s">
        <v>38</v>
      </c>
      <c r="H424" s="47" t="s">
        <v>443</v>
      </c>
      <c r="I424" s="47" t="s">
        <v>82</v>
      </c>
      <c r="J424" s="47" t="s">
        <v>22</v>
      </c>
      <c r="K424" s="59" t="s">
        <v>23</v>
      </c>
      <c r="L424" s="59" t="s">
        <v>23</v>
      </c>
      <c r="M424" s="47" t="s">
        <v>40</v>
      </c>
    </row>
    <row r="425" customHeight="1" spans="1:13">
      <c r="A425" s="47" t="s">
        <v>1001</v>
      </c>
      <c r="B425" s="47" t="s">
        <v>993</v>
      </c>
      <c r="C425" s="47" t="s">
        <v>1002</v>
      </c>
      <c r="D425" s="47" t="s">
        <v>107</v>
      </c>
      <c r="E425" s="47" t="s">
        <v>63</v>
      </c>
      <c r="F425" s="47" t="s">
        <v>18</v>
      </c>
      <c r="G425" s="47" t="s">
        <v>38</v>
      </c>
      <c r="H425" s="59" t="s">
        <v>23</v>
      </c>
      <c r="I425" s="47" t="s">
        <v>64</v>
      </c>
      <c r="J425" s="47" t="s">
        <v>22</v>
      </c>
      <c r="K425" s="59" t="s">
        <v>23</v>
      </c>
      <c r="L425" s="47" t="s">
        <v>54</v>
      </c>
      <c r="M425" s="47" t="s">
        <v>47</v>
      </c>
    </row>
    <row r="426" customHeight="1" spans="1:13">
      <c r="A426" s="47" t="s">
        <v>1003</v>
      </c>
      <c r="B426" s="47" t="s">
        <v>993</v>
      </c>
      <c r="C426" s="47" t="s">
        <v>1004</v>
      </c>
      <c r="D426" s="47" t="s">
        <v>107</v>
      </c>
      <c r="E426" s="47" t="s">
        <v>36</v>
      </c>
      <c r="F426" s="47" t="s">
        <v>37</v>
      </c>
      <c r="G426" s="47" t="s">
        <v>38</v>
      </c>
      <c r="H426" s="47" t="s">
        <v>39</v>
      </c>
      <c r="I426" s="47" t="s">
        <v>39</v>
      </c>
      <c r="J426" s="47" t="s">
        <v>32</v>
      </c>
      <c r="K426" s="59" t="s">
        <v>23</v>
      </c>
      <c r="L426" s="47" t="s">
        <v>65</v>
      </c>
      <c r="M426" s="47" t="s">
        <v>73</v>
      </c>
    </row>
    <row r="427" customHeight="1" spans="1:13">
      <c r="A427" s="47" t="s">
        <v>1005</v>
      </c>
      <c r="B427" s="47" t="s">
        <v>993</v>
      </c>
      <c r="C427" s="47" t="s">
        <v>212</v>
      </c>
      <c r="D427" s="47" t="s">
        <v>16</v>
      </c>
      <c r="E427" s="47" t="s">
        <v>27</v>
      </c>
      <c r="F427" s="47" t="s">
        <v>28</v>
      </c>
      <c r="G427" s="47" t="s">
        <v>19</v>
      </c>
      <c r="H427" s="47" t="s">
        <v>30</v>
      </c>
      <c r="I427" s="47" t="s">
        <v>1006</v>
      </c>
      <c r="J427" s="47" t="s">
        <v>22</v>
      </c>
      <c r="K427" s="59" t="s">
        <v>23</v>
      </c>
      <c r="L427" s="59" t="s">
        <v>23</v>
      </c>
      <c r="M427" s="47" t="s">
        <v>33</v>
      </c>
    </row>
    <row r="428" customHeight="1" spans="1:13">
      <c r="A428" s="47" t="s">
        <v>1007</v>
      </c>
      <c r="B428" s="47" t="s">
        <v>993</v>
      </c>
      <c r="C428" s="47" t="s">
        <v>229</v>
      </c>
      <c r="D428" s="47" t="s">
        <v>107</v>
      </c>
      <c r="E428" s="47" t="s">
        <v>50</v>
      </c>
      <c r="F428" s="59" t="s">
        <v>23</v>
      </c>
      <c r="G428" s="47" t="s">
        <v>19</v>
      </c>
      <c r="H428" s="47" t="s">
        <v>52</v>
      </c>
      <c r="I428" s="47" t="s">
        <v>425</v>
      </c>
      <c r="J428" s="47" t="s">
        <v>22</v>
      </c>
      <c r="K428" s="59" t="s">
        <v>23</v>
      </c>
      <c r="L428" s="47" t="s">
        <v>65</v>
      </c>
      <c r="M428" s="47" t="s">
        <v>24</v>
      </c>
    </row>
    <row r="429" customHeight="1" spans="1:13">
      <c r="A429" s="47" t="s">
        <v>1008</v>
      </c>
      <c r="B429" s="47" t="s">
        <v>993</v>
      </c>
      <c r="C429" s="47" t="s">
        <v>459</v>
      </c>
      <c r="D429" s="47" t="s">
        <v>16</v>
      </c>
      <c r="E429" s="47" t="s">
        <v>63</v>
      </c>
      <c r="F429" s="47" t="s">
        <v>18</v>
      </c>
      <c r="G429" s="47" t="s">
        <v>38</v>
      </c>
      <c r="H429" s="47" t="s">
        <v>64</v>
      </c>
      <c r="I429" s="47" t="s">
        <v>162</v>
      </c>
      <c r="J429" s="47" t="s">
        <v>22</v>
      </c>
      <c r="K429" s="47" t="s">
        <v>53</v>
      </c>
      <c r="L429" s="59" t="s">
        <v>23</v>
      </c>
      <c r="M429" s="47" t="s">
        <v>73</v>
      </c>
    </row>
    <row r="430" customHeight="1" spans="1:13">
      <c r="A430" s="47" t="s">
        <v>1009</v>
      </c>
      <c r="B430" s="47" t="s">
        <v>993</v>
      </c>
      <c r="C430" s="47" t="s">
        <v>285</v>
      </c>
      <c r="D430" s="47" t="s">
        <v>107</v>
      </c>
      <c r="E430" s="47" t="s">
        <v>63</v>
      </c>
      <c r="F430" s="47" t="s">
        <v>18</v>
      </c>
      <c r="G430" s="47" t="s">
        <v>38</v>
      </c>
      <c r="H430" s="47" t="s">
        <v>64</v>
      </c>
      <c r="I430" s="47" t="s">
        <v>64</v>
      </c>
      <c r="J430" s="47" t="s">
        <v>22</v>
      </c>
      <c r="K430" s="59" t="s">
        <v>23</v>
      </c>
      <c r="L430" s="59" t="s">
        <v>23</v>
      </c>
      <c r="M430" s="47" t="s">
        <v>40</v>
      </c>
    </row>
    <row r="431" customHeight="1" spans="1:13">
      <c r="A431" s="47" t="s">
        <v>1010</v>
      </c>
      <c r="B431" s="47" t="s">
        <v>993</v>
      </c>
      <c r="C431" s="47" t="s">
        <v>1011</v>
      </c>
      <c r="D431" s="47" t="s">
        <v>16</v>
      </c>
      <c r="E431" s="47" t="s">
        <v>17</v>
      </c>
      <c r="F431" s="47" t="s">
        <v>18</v>
      </c>
      <c r="G431" s="47" t="s">
        <v>38</v>
      </c>
      <c r="H431" s="47" t="s">
        <v>20</v>
      </c>
      <c r="I431" s="47" t="s">
        <v>797</v>
      </c>
      <c r="J431" s="47" t="s">
        <v>32</v>
      </c>
      <c r="K431" s="47" t="s">
        <v>119</v>
      </c>
      <c r="L431" s="47" t="s">
        <v>29</v>
      </c>
      <c r="M431" s="47" t="s">
        <v>40</v>
      </c>
    </row>
    <row r="432" customHeight="1" spans="1:13">
      <c r="A432" s="47" t="s">
        <v>1012</v>
      </c>
      <c r="B432" s="47" t="s">
        <v>1013</v>
      </c>
      <c r="C432" s="47" t="s">
        <v>1014</v>
      </c>
      <c r="D432" s="47" t="s">
        <v>43</v>
      </c>
      <c r="E432" s="47" t="s">
        <v>50</v>
      </c>
      <c r="F432" s="59" t="s">
        <v>23</v>
      </c>
      <c r="G432" s="47" t="s">
        <v>38</v>
      </c>
      <c r="H432" s="47" t="s">
        <v>52</v>
      </c>
      <c r="I432" s="47" t="s">
        <v>52</v>
      </c>
      <c r="J432" s="47" t="s">
        <v>22</v>
      </c>
      <c r="K432" s="59" t="s">
        <v>23</v>
      </c>
      <c r="L432" s="59" t="s">
        <v>23</v>
      </c>
      <c r="M432" s="47" t="s">
        <v>47</v>
      </c>
    </row>
    <row r="433" customHeight="1" spans="1:13">
      <c r="A433" s="47" t="s">
        <v>1015</v>
      </c>
      <c r="B433" s="47" t="s">
        <v>993</v>
      </c>
      <c r="C433" s="47" t="s">
        <v>747</v>
      </c>
      <c r="D433" s="47" t="s">
        <v>16</v>
      </c>
      <c r="E433" s="47" t="s">
        <v>57</v>
      </c>
      <c r="F433" s="47" t="s">
        <v>28</v>
      </c>
      <c r="G433" s="47" t="s">
        <v>19</v>
      </c>
      <c r="H433" s="47" t="s">
        <v>58</v>
      </c>
      <c r="I433" s="47" t="s">
        <v>140</v>
      </c>
      <c r="J433" s="47" t="s">
        <v>32</v>
      </c>
      <c r="K433" s="59" t="s">
        <v>23</v>
      </c>
      <c r="L433" s="47" t="s">
        <v>65</v>
      </c>
      <c r="M433" s="47" t="s">
        <v>47</v>
      </c>
    </row>
    <row r="434" customHeight="1" spans="1:13">
      <c r="A434" s="47" t="s">
        <v>1016</v>
      </c>
      <c r="B434" s="47" t="s">
        <v>993</v>
      </c>
      <c r="C434" s="47" t="s">
        <v>291</v>
      </c>
      <c r="D434" s="47" t="s">
        <v>107</v>
      </c>
      <c r="E434" s="47" t="s">
        <v>17</v>
      </c>
      <c r="F434" s="47" t="s">
        <v>18</v>
      </c>
      <c r="G434" s="47" t="s">
        <v>19</v>
      </c>
      <c r="H434" s="47" t="s">
        <v>20</v>
      </c>
      <c r="I434" s="47" t="s">
        <v>21</v>
      </c>
      <c r="J434" s="47" t="s">
        <v>22</v>
      </c>
      <c r="K434" s="59" t="s">
        <v>23</v>
      </c>
      <c r="L434" s="47" t="s">
        <v>65</v>
      </c>
      <c r="M434" s="47" t="s">
        <v>47</v>
      </c>
    </row>
    <row r="435" customHeight="1" spans="1:13">
      <c r="A435" s="47" t="s">
        <v>1017</v>
      </c>
      <c r="B435" s="47" t="s">
        <v>993</v>
      </c>
      <c r="C435" s="47" t="s">
        <v>1018</v>
      </c>
      <c r="D435" s="47" t="s">
        <v>393</v>
      </c>
      <c r="E435" s="47" t="s">
        <v>367</v>
      </c>
      <c r="F435" s="47" t="s">
        <v>109</v>
      </c>
      <c r="G435" s="47" t="s">
        <v>38</v>
      </c>
      <c r="H435" s="47" t="s">
        <v>110</v>
      </c>
      <c r="I435" s="47" t="s">
        <v>110</v>
      </c>
      <c r="J435" s="47" t="s">
        <v>32</v>
      </c>
      <c r="K435" s="59" t="s">
        <v>23</v>
      </c>
      <c r="L435" s="47" t="s">
        <v>65</v>
      </c>
      <c r="M435" s="47" t="s">
        <v>24</v>
      </c>
    </row>
    <row r="436" customHeight="1" spans="1:13">
      <c r="A436" s="47" t="s">
        <v>1019</v>
      </c>
      <c r="B436" s="47" t="s">
        <v>1020</v>
      </c>
      <c r="C436" s="47" t="s">
        <v>1021</v>
      </c>
      <c r="D436" s="47" t="s">
        <v>43</v>
      </c>
      <c r="E436" s="47" t="s">
        <v>719</v>
      </c>
      <c r="F436" s="47" t="s">
        <v>37</v>
      </c>
      <c r="G436" s="47" t="s">
        <v>38</v>
      </c>
      <c r="H436" s="47" t="s">
        <v>77</v>
      </c>
      <c r="I436" s="47" t="s">
        <v>77</v>
      </c>
      <c r="J436" s="47" t="s">
        <v>22</v>
      </c>
      <c r="K436" s="59" t="s">
        <v>23</v>
      </c>
      <c r="L436" s="59" t="s">
        <v>23</v>
      </c>
      <c r="M436" s="47" t="s">
        <v>24</v>
      </c>
    </row>
    <row r="437" customHeight="1" spans="1:13">
      <c r="A437" s="47" t="s">
        <v>1022</v>
      </c>
      <c r="B437" s="47" t="s">
        <v>1020</v>
      </c>
      <c r="C437" s="47" t="s">
        <v>1023</v>
      </c>
      <c r="D437" s="47" t="s">
        <v>107</v>
      </c>
      <c r="E437" s="47" t="s">
        <v>57</v>
      </c>
      <c r="F437" s="47" t="s">
        <v>28</v>
      </c>
      <c r="G437" s="47" t="s">
        <v>19</v>
      </c>
      <c r="H437" s="47" t="s">
        <v>58</v>
      </c>
      <c r="I437" s="47" t="s">
        <v>140</v>
      </c>
      <c r="J437" s="47" t="s">
        <v>22</v>
      </c>
      <c r="K437" s="59" t="s">
        <v>23</v>
      </c>
      <c r="L437" s="47" t="s">
        <v>54</v>
      </c>
      <c r="M437" s="47" t="s">
        <v>24</v>
      </c>
    </row>
    <row r="438" customHeight="1" spans="1:13">
      <c r="A438" s="47" t="s">
        <v>1024</v>
      </c>
      <c r="B438" s="47" t="s">
        <v>1020</v>
      </c>
      <c r="C438" s="47" t="s">
        <v>1025</v>
      </c>
      <c r="D438" s="47" t="s">
        <v>234</v>
      </c>
      <c r="E438" s="47" t="s">
        <v>44</v>
      </c>
      <c r="F438" s="47" t="s">
        <v>45</v>
      </c>
      <c r="G438" s="47" t="s">
        <v>38</v>
      </c>
      <c r="H438" s="47" t="s">
        <v>46</v>
      </c>
      <c r="I438" s="47" t="s">
        <v>1026</v>
      </c>
      <c r="J438" s="47" t="s">
        <v>32</v>
      </c>
      <c r="K438" s="47" t="s">
        <v>143</v>
      </c>
      <c r="L438" s="47" t="s">
        <v>65</v>
      </c>
      <c r="M438" s="47" t="s">
        <v>33</v>
      </c>
    </row>
    <row r="439" customHeight="1" spans="1:13">
      <c r="A439" s="47" t="s">
        <v>1027</v>
      </c>
      <c r="B439" s="47" t="s">
        <v>1020</v>
      </c>
      <c r="C439" s="47" t="s">
        <v>1028</v>
      </c>
      <c r="D439" s="47" t="s">
        <v>16</v>
      </c>
      <c r="E439" s="47" t="s">
        <v>1029</v>
      </c>
      <c r="F439" s="47" t="s">
        <v>28</v>
      </c>
      <c r="G439" s="47" t="s">
        <v>38</v>
      </c>
      <c r="H439" s="47" t="s">
        <v>30</v>
      </c>
      <c r="I439" s="47" t="s">
        <v>30</v>
      </c>
      <c r="J439" s="47" t="s">
        <v>22</v>
      </c>
      <c r="K439" s="59" t="s">
        <v>23</v>
      </c>
      <c r="L439" s="59" t="s">
        <v>23</v>
      </c>
      <c r="M439" s="47" t="s">
        <v>73</v>
      </c>
    </row>
    <row r="440" customHeight="1" spans="1:13">
      <c r="A440" s="47" t="s">
        <v>1030</v>
      </c>
      <c r="B440" s="47" t="s">
        <v>1020</v>
      </c>
      <c r="C440" s="47" t="s">
        <v>233</v>
      </c>
      <c r="D440" s="47" t="s">
        <v>393</v>
      </c>
      <c r="E440" s="47" t="s">
        <v>17</v>
      </c>
      <c r="F440" s="47" t="s">
        <v>18</v>
      </c>
      <c r="G440" s="47" t="s">
        <v>38</v>
      </c>
      <c r="H440" s="47" t="s">
        <v>20</v>
      </c>
      <c r="I440" s="59" t="s">
        <v>23</v>
      </c>
      <c r="J440" s="47" t="s">
        <v>22</v>
      </c>
      <c r="K440" s="59" t="s">
        <v>23</v>
      </c>
      <c r="L440" s="59" t="s">
        <v>23</v>
      </c>
      <c r="M440" s="47" t="s">
        <v>24</v>
      </c>
    </row>
    <row r="441" customHeight="1" spans="1:13">
      <c r="A441" s="47" t="s">
        <v>1031</v>
      </c>
      <c r="B441" s="47" t="s">
        <v>1020</v>
      </c>
      <c r="C441" s="47" t="s">
        <v>586</v>
      </c>
      <c r="D441" s="47" t="s">
        <v>1032</v>
      </c>
      <c r="E441" s="47" t="s">
        <v>63</v>
      </c>
      <c r="F441" s="47" t="s">
        <v>18</v>
      </c>
      <c r="G441" s="47" t="s">
        <v>38</v>
      </c>
      <c r="H441" s="47" t="s">
        <v>64</v>
      </c>
      <c r="I441" s="47" t="s">
        <v>64</v>
      </c>
      <c r="J441" s="47" t="s">
        <v>22</v>
      </c>
      <c r="K441" s="59" t="s">
        <v>23</v>
      </c>
      <c r="L441" s="59" t="s">
        <v>23</v>
      </c>
      <c r="M441" s="47" t="s">
        <v>33</v>
      </c>
    </row>
    <row r="442" customHeight="1" spans="1:13">
      <c r="A442" s="47" t="s">
        <v>1033</v>
      </c>
      <c r="B442" s="47" t="s">
        <v>1020</v>
      </c>
      <c r="C442" s="47" t="s">
        <v>970</v>
      </c>
      <c r="D442" s="47" t="s">
        <v>107</v>
      </c>
      <c r="E442" s="47" t="s">
        <v>103</v>
      </c>
      <c r="F442" s="47" t="s">
        <v>37</v>
      </c>
      <c r="G442" s="47" t="s">
        <v>38</v>
      </c>
      <c r="H442" s="47" t="s">
        <v>77</v>
      </c>
      <c r="I442" s="47" t="s">
        <v>227</v>
      </c>
      <c r="J442" s="47" t="s">
        <v>22</v>
      </c>
      <c r="K442" s="47" t="s">
        <v>53</v>
      </c>
      <c r="L442" s="59" t="s">
        <v>23</v>
      </c>
      <c r="M442" s="47" t="s">
        <v>40</v>
      </c>
    </row>
    <row r="443" customHeight="1" spans="1:13">
      <c r="A443" s="47" t="s">
        <v>1034</v>
      </c>
      <c r="B443" s="47" t="s">
        <v>1020</v>
      </c>
      <c r="C443" s="47" t="s">
        <v>840</v>
      </c>
      <c r="D443" s="47" t="s">
        <v>43</v>
      </c>
      <c r="E443" s="47" t="s">
        <v>267</v>
      </c>
      <c r="F443" s="59" t="s">
        <v>23</v>
      </c>
      <c r="G443" s="47" t="s">
        <v>19</v>
      </c>
      <c r="H443" s="47" t="s">
        <v>64</v>
      </c>
      <c r="I443" s="47" t="s">
        <v>39</v>
      </c>
      <c r="J443" s="47" t="s">
        <v>22</v>
      </c>
      <c r="K443" s="59" t="s">
        <v>23</v>
      </c>
      <c r="L443" s="59" t="s">
        <v>23</v>
      </c>
      <c r="M443" s="47" t="s">
        <v>33</v>
      </c>
    </row>
    <row r="444" customHeight="1" spans="1:13">
      <c r="A444" s="47" t="s">
        <v>1034</v>
      </c>
      <c r="B444" s="47" t="s">
        <v>1020</v>
      </c>
      <c r="C444" s="47" t="s">
        <v>840</v>
      </c>
      <c r="D444" s="47" t="s">
        <v>43</v>
      </c>
      <c r="E444" s="47" t="s">
        <v>63</v>
      </c>
      <c r="F444" s="47" t="s">
        <v>18</v>
      </c>
      <c r="G444" s="47" t="s">
        <v>19</v>
      </c>
      <c r="H444" s="47" t="s">
        <v>64</v>
      </c>
      <c r="I444" s="47" t="s">
        <v>39</v>
      </c>
      <c r="J444" s="47" t="s">
        <v>22</v>
      </c>
      <c r="K444" s="59" t="s">
        <v>23</v>
      </c>
      <c r="L444" s="59" t="s">
        <v>23</v>
      </c>
      <c r="M444" s="47" t="s">
        <v>33</v>
      </c>
    </row>
    <row r="445" customHeight="1" spans="1:13">
      <c r="A445" s="47" t="s">
        <v>1035</v>
      </c>
      <c r="B445" s="47" t="s">
        <v>1020</v>
      </c>
      <c r="C445" s="47" t="s">
        <v>1036</v>
      </c>
      <c r="D445" s="47" t="s">
        <v>16</v>
      </c>
      <c r="E445" s="47" t="s">
        <v>146</v>
      </c>
      <c r="F445" s="47" t="s">
        <v>28</v>
      </c>
      <c r="G445" s="47" t="s">
        <v>38</v>
      </c>
      <c r="H445" s="47" t="s">
        <v>147</v>
      </c>
      <c r="I445" s="47" t="s">
        <v>147</v>
      </c>
      <c r="J445" s="47" t="s">
        <v>22</v>
      </c>
      <c r="K445" s="59" t="s">
        <v>23</v>
      </c>
      <c r="L445" s="47" t="s">
        <v>54</v>
      </c>
      <c r="M445" s="47" t="s">
        <v>33</v>
      </c>
    </row>
    <row r="446" customHeight="1" spans="1:13">
      <c r="A446" s="47" t="s">
        <v>1037</v>
      </c>
      <c r="B446" s="47" t="s">
        <v>1020</v>
      </c>
      <c r="C446" s="47" t="s">
        <v>1038</v>
      </c>
      <c r="D446" s="47" t="s">
        <v>16</v>
      </c>
      <c r="E446" s="47" t="s">
        <v>1039</v>
      </c>
      <c r="F446" s="47" t="s">
        <v>109</v>
      </c>
      <c r="G446" s="47" t="s">
        <v>38</v>
      </c>
      <c r="H446" s="47" t="s">
        <v>110</v>
      </c>
      <c r="I446" s="47" t="s">
        <v>110</v>
      </c>
      <c r="J446" s="47" t="s">
        <v>22</v>
      </c>
      <c r="K446" s="59" t="s">
        <v>23</v>
      </c>
      <c r="L446" s="59" t="s">
        <v>23</v>
      </c>
      <c r="M446" s="47" t="s">
        <v>490</v>
      </c>
    </row>
    <row r="447" customHeight="1" spans="1:13">
      <c r="A447" s="47" t="s">
        <v>1040</v>
      </c>
      <c r="B447" s="47" t="s">
        <v>1020</v>
      </c>
      <c r="C447" s="47" t="s">
        <v>94</v>
      </c>
      <c r="D447" s="47" t="s">
        <v>43</v>
      </c>
      <c r="E447" s="47" t="s">
        <v>50</v>
      </c>
      <c r="F447" s="47" t="s">
        <v>28</v>
      </c>
      <c r="G447" s="47" t="s">
        <v>19</v>
      </c>
      <c r="H447" s="47" t="s">
        <v>52</v>
      </c>
      <c r="I447" s="47" t="s">
        <v>425</v>
      </c>
      <c r="J447" s="47" t="s">
        <v>22</v>
      </c>
      <c r="K447" s="59" t="s">
        <v>23</v>
      </c>
      <c r="L447" s="59" t="s">
        <v>23</v>
      </c>
      <c r="M447" s="47" t="s">
        <v>33</v>
      </c>
    </row>
    <row r="448" customHeight="1" spans="1:13">
      <c r="A448" s="47" t="s">
        <v>1041</v>
      </c>
      <c r="B448" s="47" t="s">
        <v>1020</v>
      </c>
      <c r="C448" s="47" t="s">
        <v>1042</v>
      </c>
      <c r="D448" s="47" t="s">
        <v>16</v>
      </c>
      <c r="E448" s="47" t="s">
        <v>103</v>
      </c>
      <c r="F448" s="47" t="s">
        <v>37</v>
      </c>
      <c r="G448" s="47" t="s">
        <v>38</v>
      </c>
      <c r="H448" s="59" t="s">
        <v>23</v>
      </c>
      <c r="I448" s="47" t="s">
        <v>227</v>
      </c>
      <c r="J448" s="47" t="s">
        <v>32</v>
      </c>
      <c r="K448" s="47" t="s">
        <v>53</v>
      </c>
      <c r="L448" s="47" t="s">
        <v>65</v>
      </c>
      <c r="M448" s="47" t="s">
        <v>33</v>
      </c>
    </row>
    <row r="449" customHeight="1" spans="1:13">
      <c r="A449" s="47" t="s">
        <v>1043</v>
      </c>
      <c r="B449" s="47" t="s">
        <v>1044</v>
      </c>
      <c r="C449" s="47" t="s">
        <v>540</v>
      </c>
      <c r="D449" s="47" t="s">
        <v>16</v>
      </c>
      <c r="E449" s="47" t="s">
        <v>964</v>
      </c>
      <c r="F449" s="47" t="s">
        <v>37</v>
      </c>
      <c r="G449" s="47" t="s">
        <v>38</v>
      </c>
      <c r="H449" s="47" t="s">
        <v>77</v>
      </c>
      <c r="I449" s="47" t="s">
        <v>77</v>
      </c>
      <c r="J449" s="47" t="s">
        <v>68</v>
      </c>
      <c r="K449" s="59" t="s">
        <v>23</v>
      </c>
      <c r="L449" s="47" t="s">
        <v>29</v>
      </c>
      <c r="M449" s="47" t="s">
        <v>24</v>
      </c>
    </row>
    <row r="450" customHeight="1" spans="1:13">
      <c r="A450" s="47" t="s">
        <v>1045</v>
      </c>
      <c r="B450" s="47" t="s">
        <v>1044</v>
      </c>
      <c r="C450" s="47" t="s">
        <v>1046</v>
      </c>
      <c r="D450" s="47" t="s">
        <v>107</v>
      </c>
      <c r="E450" s="47" t="s">
        <v>63</v>
      </c>
      <c r="F450" s="47" t="s">
        <v>18</v>
      </c>
      <c r="G450" s="47" t="s">
        <v>38</v>
      </c>
      <c r="H450" s="47" t="s">
        <v>64</v>
      </c>
      <c r="I450" s="47" t="s">
        <v>64</v>
      </c>
      <c r="J450" s="47" t="s">
        <v>22</v>
      </c>
      <c r="K450" s="59" t="s">
        <v>23</v>
      </c>
      <c r="L450" s="59" t="s">
        <v>23</v>
      </c>
      <c r="M450" s="47" t="s">
        <v>327</v>
      </c>
    </row>
    <row r="451" customHeight="1" spans="1:13">
      <c r="A451" s="47" t="s">
        <v>1047</v>
      </c>
      <c r="B451" s="47" t="s">
        <v>1044</v>
      </c>
      <c r="C451" s="47" t="s">
        <v>1048</v>
      </c>
      <c r="D451" s="47" t="s">
        <v>107</v>
      </c>
      <c r="E451" s="47" t="s">
        <v>146</v>
      </c>
      <c r="F451" s="47" t="s">
        <v>28</v>
      </c>
      <c r="G451" s="47" t="s">
        <v>38</v>
      </c>
      <c r="H451" s="47" t="s">
        <v>659</v>
      </c>
      <c r="I451" s="47" t="s">
        <v>147</v>
      </c>
      <c r="J451" s="47" t="s">
        <v>22</v>
      </c>
      <c r="K451" s="59" t="s">
        <v>23</v>
      </c>
      <c r="L451" s="59" t="s">
        <v>23</v>
      </c>
      <c r="M451" s="47" t="s">
        <v>33</v>
      </c>
    </row>
    <row r="452" customHeight="1" spans="1:13">
      <c r="A452" s="47" t="s">
        <v>1049</v>
      </c>
      <c r="B452" s="47" t="s">
        <v>1044</v>
      </c>
      <c r="C452" s="47" t="s">
        <v>703</v>
      </c>
      <c r="D452" s="47" t="s">
        <v>43</v>
      </c>
      <c r="E452" s="47" t="s">
        <v>81</v>
      </c>
      <c r="F452" s="59" t="s">
        <v>23</v>
      </c>
      <c r="G452" s="47" t="s">
        <v>19</v>
      </c>
      <c r="H452" s="47" t="s">
        <v>82</v>
      </c>
      <c r="I452" s="47" t="s">
        <v>1050</v>
      </c>
      <c r="J452" s="47" t="s">
        <v>22</v>
      </c>
      <c r="K452" s="47" t="s">
        <v>119</v>
      </c>
      <c r="L452" s="59" t="s">
        <v>23</v>
      </c>
      <c r="M452" s="47" t="s">
        <v>40</v>
      </c>
    </row>
    <row r="453" customHeight="1" spans="1:13">
      <c r="A453" s="47" t="s">
        <v>1051</v>
      </c>
      <c r="B453" s="47" t="s">
        <v>1044</v>
      </c>
      <c r="C453" s="47" t="s">
        <v>1052</v>
      </c>
      <c r="D453" s="47" t="s">
        <v>107</v>
      </c>
      <c r="E453" s="47" t="s">
        <v>50</v>
      </c>
      <c r="F453" s="47" t="s">
        <v>28</v>
      </c>
      <c r="G453" s="47" t="s">
        <v>19</v>
      </c>
      <c r="H453" s="47" t="s">
        <v>52</v>
      </c>
      <c r="I453" s="47" t="s">
        <v>425</v>
      </c>
      <c r="J453" s="47" t="s">
        <v>127</v>
      </c>
      <c r="K453" s="59" t="s">
        <v>23</v>
      </c>
      <c r="L453" s="47" t="s">
        <v>65</v>
      </c>
      <c r="M453" s="47" t="s">
        <v>327</v>
      </c>
    </row>
    <row r="454" customHeight="1" spans="1:13">
      <c r="A454" s="47" t="s">
        <v>1053</v>
      </c>
      <c r="B454" s="47" t="s">
        <v>1044</v>
      </c>
      <c r="C454" s="47" t="s">
        <v>905</v>
      </c>
      <c r="D454" s="47" t="s">
        <v>107</v>
      </c>
      <c r="E454" s="47" t="s">
        <v>36</v>
      </c>
      <c r="F454" s="47" t="s">
        <v>37</v>
      </c>
      <c r="G454" s="47" t="s">
        <v>19</v>
      </c>
      <c r="H454" s="47" t="s">
        <v>39</v>
      </c>
      <c r="I454" s="47" t="s">
        <v>82</v>
      </c>
      <c r="J454" s="47" t="s">
        <v>32</v>
      </c>
      <c r="K454" s="59" t="s">
        <v>23</v>
      </c>
      <c r="L454" s="59" t="s">
        <v>23</v>
      </c>
      <c r="M454" s="47" t="s">
        <v>33</v>
      </c>
    </row>
    <row r="455" customHeight="1" spans="1:13">
      <c r="A455" s="47" t="s">
        <v>1054</v>
      </c>
      <c r="B455" s="47" t="s">
        <v>1044</v>
      </c>
      <c r="C455" s="47" t="s">
        <v>432</v>
      </c>
      <c r="D455" s="47" t="s">
        <v>16</v>
      </c>
      <c r="E455" s="47" t="s">
        <v>81</v>
      </c>
      <c r="F455" s="47" t="s">
        <v>37</v>
      </c>
      <c r="G455" s="47" t="s">
        <v>38</v>
      </c>
      <c r="H455" s="47" t="s">
        <v>82</v>
      </c>
      <c r="I455" s="47" t="s">
        <v>82</v>
      </c>
      <c r="J455" s="47" t="s">
        <v>22</v>
      </c>
      <c r="K455" s="59" t="s">
        <v>23</v>
      </c>
      <c r="L455" s="59" t="s">
        <v>23</v>
      </c>
      <c r="M455" s="47" t="s">
        <v>24</v>
      </c>
    </row>
    <row r="456" customHeight="1" spans="1:13">
      <c r="A456" s="47" t="s">
        <v>1055</v>
      </c>
      <c r="B456" s="47" t="s">
        <v>1044</v>
      </c>
      <c r="C456" s="47" t="s">
        <v>1056</v>
      </c>
      <c r="D456" s="47" t="s">
        <v>16</v>
      </c>
      <c r="E456" s="47" t="s">
        <v>36</v>
      </c>
      <c r="F456" s="47" t="s">
        <v>37</v>
      </c>
      <c r="G456" s="47" t="s">
        <v>19</v>
      </c>
      <c r="H456" s="47" t="s">
        <v>39</v>
      </c>
      <c r="I456" s="59" t="s">
        <v>23</v>
      </c>
      <c r="J456" s="47" t="s">
        <v>32</v>
      </c>
      <c r="K456" s="59" t="s">
        <v>23</v>
      </c>
      <c r="L456" s="59" t="s">
        <v>23</v>
      </c>
      <c r="M456" s="47" t="s">
        <v>157</v>
      </c>
    </row>
    <row r="457" customHeight="1" spans="1:13">
      <c r="A457" s="47" t="s">
        <v>1057</v>
      </c>
      <c r="B457" s="47" t="s">
        <v>1058</v>
      </c>
      <c r="C457" s="47" t="s">
        <v>588</v>
      </c>
      <c r="D457" s="47" t="s">
        <v>16</v>
      </c>
      <c r="E457" s="47" t="s">
        <v>103</v>
      </c>
      <c r="F457" s="47" t="s">
        <v>37</v>
      </c>
      <c r="G457" s="47" t="s">
        <v>38</v>
      </c>
      <c r="H457" s="47" t="s">
        <v>77</v>
      </c>
      <c r="I457" s="47" t="s">
        <v>77</v>
      </c>
      <c r="J457" s="47" t="s">
        <v>715</v>
      </c>
      <c r="K457" s="59" t="s">
        <v>23</v>
      </c>
      <c r="L457" s="59" t="s">
        <v>23</v>
      </c>
      <c r="M457" s="47" t="s">
        <v>47</v>
      </c>
    </row>
    <row r="458" customHeight="1" spans="1:13">
      <c r="A458" s="47" t="s">
        <v>1059</v>
      </c>
      <c r="B458" s="47" t="s">
        <v>1044</v>
      </c>
      <c r="C458" s="47" t="s">
        <v>970</v>
      </c>
      <c r="D458" s="47" t="s">
        <v>16</v>
      </c>
      <c r="E458" s="47" t="s">
        <v>63</v>
      </c>
      <c r="F458" s="47" t="s">
        <v>18</v>
      </c>
      <c r="G458" s="47" t="s">
        <v>38</v>
      </c>
      <c r="H458" s="47" t="s">
        <v>64</v>
      </c>
      <c r="I458" s="47" t="s">
        <v>64</v>
      </c>
      <c r="J458" s="47" t="s">
        <v>68</v>
      </c>
      <c r="K458" s="59" t="s">
        <v>23</v>
      </c>
      <c r="L458" s="47" t="s">
        <v>65</v>
      </c>
      <c r="M458" s="47" t="s">
        <v>40</v>
      </c>
    </row>
    <row r="459" customHeight="1" spans="1:13">
      <c r="A459" s="47" t="s">
        <v>1060</v>
      </c>
      <c r="B459" s="47" t="s">
        <v>1044</v>
      </c>
      <c r="C459" s="47" t="s">
        <v>811</v>
      </c>
      <c r="D459" s="47" t="s">
        <v>43</v>
      </c>
      <c r="E459" s="47" t="s">
        <v>103</v>
      </c>
      <c r="F459" s="47" t="s">
        <v>37</v>
      </c>
      <c r="G459" s="47" t="s">
        <v>38</v>
      </c>
      <c r="H459" s="47" t="s">
        <v>77</v>
      </c>
      <c r="I459" s="47" t="s">
        <v>77</v>
      </c>
      <c r="J459" s="47" t="s">
        <v>22</v>
      </c>
      <c r="K459" s="59" t="s">
        <v>23</v>
      </c>
      <c r="L459" s="59" t="s">
        <v>23</v>
      </c>
      <c r="M459" s="47" t="s">
        <v>320</v>
      </c>
    </row>
    <row r="460" customHeight="1" spans="1:13">
      <c r="A460" s="47" t="s">
        <v>1061</v>
      </c>
      <c r="B460" s="47" t="s">
        <v>1062</v>
      </c>
      <c r="C460" s="47" t="s">
        <v>1063</v>
      </c>
      <c r="D460" s="47" t="s">
        <v>125</v>
      </c>
      <c r="E460" s="47" t="s">
        <v>50</v>
      </c>
      <c r="F460" s="47" t="s">
        <v>28</v>
      </c>
      <c r="G460" s="47" t="s">
        <v>38</v>
      </c>
      <c r="H460" s="47" t="s">
        <v>52</v>
      </c>
      <c r="I460" s="47" t="s">
        <v>52</v>
      </c>
      <c r="J460" s="47" t="s">
        <v>22</v>
      </c>
      <c r="K460" s="59" t="s">
        <v>23</v>
      </c>
      <c r="L460" s="47" t="s">
        <v>54</v>
      </c>
      <c r="M460" s="47" t="s">
        <v>40</v>
      </c>
    </row>
    <row r="461" customHeight="1" spans="1:13">
      <c r="A461" s="47" t="s">
        <v>1064</v>
      </c>
      <c r="B461" s="47" t="s">
        <v>1044</v>
      </c>
      <c r="C461" s="47" t="s">
        <v>1065</v>
      </c>
      <c r="D461" s="47" t="s">
        <v>107</v>
      </c>
      <c r="E461" s="47" t="s">
        <v>146</v>
      </c>
      <c r="F461" s="47" t="s">
        <v>28</v>
      </c>
      <c r="G461" s="47" t="s">
        <v>19</v>
      </c>
      <c r="H461" s="47" t="s">
        <v>147</v>
      </c>
      <c r="I461" s="47" t="s">
        <v>474</v>
      </c>
      <c r="J461" s="47" t="s">
        <v>32</v>
      </c>
      <c r="K461" s="59" t="s">
        <v>23</v>
      </c>
      <c r="L461" s="59" t="s">
        <v>23</v>
      </c>
      <c r="M461" s="47" t="s">
        <v>1066</v>
      </c>
    </row>
    <row r="462" customHeight="1" spans="1:13">
      <c r="A462" s="47" t="s">
        <v>1067</v>
      </c>
      <c r="B462" s="47" t="s">
        <v>1068</v>
      </c>
      <c r="C462" s="47" t="s">
        <v>963</v>
      </c>
      <c r="D462" s="47" t="s">
        <v>43</v>
      </c>
      <c r="E462" s="47" t="s">
        <v>81</v>
      </c>
      <c r="F462" s="59" t="s">
        <v>23</v>
      </c>
      <c r="G462" s="47" t="s">
        <v>19</v>
      </c>
      <c r="H462" s="47" t="s">
        <v>82</v>
      </c>
      <c r="I462" s="47" t="s">
        <v>184</v>
      </c>
      <c r="J462" s="47" t="s">
        <v>22</v>
      </c>
      <c r="K462" s="59" t="s">
        <v>23</v>
      </c>
      <c r="L462" s="59" t="s">
        <v>23</v>
      </c>
      <c r="M462" s="47" t="s">
        <v>47</v>
      </c>
    </row>
    <row r="463" customHeight="1" spans="1:13">
      <c r="A463" s="47" t="s">
        <v>1069</v>
      </c>
      <c r="B463" s="47" t="s">
        <v>1068</v>
      </c>
      <c r="C463" s="47" t="s">
        <v>670</v>
      </c>
      <c r="D463" s="47" t="s">
        <v>16</v>
      </c>
      <c r="E463" s="47" t="s">
        <v>44</v>
      </c>
      <c r="F463" s="47" t="s">
        <v>45</v>
      </c>
      <c r="G463" s="47" t="s">
        <v>38</v>
      </c>
      <c r="H463" s="47" t="s">
        <v>46</v>
      </c>
      <c r="I463" s="47" t="s">
        <v>46</v>
      </c>
      <c r="J463" s="47" t="s">
        <v>32</v>
      </c>
      <c r="K463" s="59" t="s">
        <v>23</v>
      </c>
      <c r="L463" s="59" t="s">
        <v>23</v>
      </c>
      <c r="M463" s="47" t="s">
        <v>47</v>
      </c>
    </row>
    <row r="464" customHeight="1" spans="1:13">
      <c r="A464" s="47" t="s">
        <v>1070</v>
      </c>
      <c r="B464" s="47" t="s">
        <v>1068</v>
      </c>
      <c r="C464" s="47" t="s">
        <v>380</v>
      </c>
      <c r="D464" s="47" t="s">
        <v>134</v>
      </c>
      <c r="E464" s="47" t="s">
        <v>964</v>
      </c>
      <c r="F464" s="47" t="s">
        <v>37</v>
      </c>
      <c r="G464" s="47" t="s">
        <v>29</v>
      </c>
      <c r="H464" s="47" t="s">
        <v>77</v>
      </c>
      <c r="I464" s="47" t="s">
        <v>30</v>
      </c>
      <c r="J464" s="47" t="s">
        <v>22</v>
      </c>
      <c r="K464" s="59" t="s">
        <v>23</v>
      </c>
      <c r="L464" s="47" t="s">
        <v>65</v>
      </c>
      <c r="M464" s="47" t="s">
        <v>40</v>
      </c>
    </row>
    <row r="465" customHeight="1" spans="1:13">
      <c r="A465" s="47" t="s">
        <v>1071</v>
      </c>
      <c r="B465" s="47" t="s">
        <v>1068</v>
      </c>
      <c r="C465" s="47" t="s">
        <v>385</v>
      </c>
      <c r="D465" s="47" t="s">
        <v>43</v>
      </c>
      <c r="E465" s="47" t="s">
        <v>146</v>
      </c>
      <c r="F465" s="47" t="s">
        <v>28</v>
      </c>
      <c r="G465" s="47" t="s">
        <v>38</v>
      </c>
      <c r="H465" s="47" t="s">
        <v>147</v>
      </c>
      <c r="I465" s="47" t="s">
        <v>147</v>
      </c>
      <c r="J465" s="47" t="s">
        <v>22</v>
      </c>
      <c r="K465" s="59" t="s">
        <v>23</v>
      </c>
      <c r="L465" s="47" t="s">
        <v>54</v>
      </c>
      <c r="M465" s="47" t="s">
        <v>1072</v>
      </c>
    </row>
    <row r="466" customHeight="1" spans="1:13">
      <c r="A466" s="47" t="s">
        <v>1073</v>
      </c>
      <c r="B466" s="47" t="s">
        <v>1068</v>
      </c>
      <c r="C466" s="47" t="s">
        <v>967</v>
      </c>
      <c r="D466" s="47" t="s">
        <v>234</v>
      </c>
      <c r="E466" s="47" t="s">
        <v>146</v>
      </c>
      <c r="F466" s="47" t="s">
        <v>28</v>
      </c>
      <c r="G466" s="47" t="s">
        <v>38</v>
      </c>
      <c r="H466" s="47" t="s">
        <v>147</v>
      </c>
      <c r="I466" s="47" t="s">
        <v>147</v>
      </c>
      <c r="J466" s="47" t="s">
        <v>22</v>
      </c>
      <c r="K466" s="59" t="s">
        <v>23</v>
      </c>
      <c r="L466" s="59" t="s">
        <v>23</v>
      </c>
      <c r="M466" s="47" t="s">
        <v>40</v>
      </c>
    </row>
    <row r="467" customHeight="1" spans="1:13">
      <c r="A467" s="47" t="s">
        <v>1074</v>
      </c>
      <c r="B467" s="47" t="s">
        <v>1068</v>
      </c>
      <c r="C467" s="47" t="s">
        <v>1075</v>
      </c>
      <c r="D467" s="47" t="s">
        <v>107</v>
      </c>
      <c r="E467" s="47" t="s">
        <v>199</v>
      </c>
      <c r="F467" s="47" t="s">
        <v>18</v>
      </c>
      <c r="G467" s="47" t="s">
        <v>38</v>
      </c>
      <c r="H467" s="47" t="s">
        <v>39</v>
      </c>
      <c r="I467" s="47" t="s">
        <v>39</v>
      </c>
      <c r="J467" s="47" t="s">
        <v>22</v>
      </c>
      <c r="K467" s="59" t="s">
        <v>23</v>
      </c>
      <c r="L467" s="47" t="s">
        <v>65</v>
      </c>
      <c r="M467" s="47" t="s">
        <v>577</v>
      </c>
    </row>
    <row r="468" customHeight="1" spans="1:13">
      <c r="A468" s="47" t="s">
        <v>1076</v>
      </c>
      <c r="B468" s="47" t="s">
        <v>1068</v>
      </c>
      <c r="C468" s="47" t="s">
        <v>1077</v>
      </c>
      <c r="D468" s="47" t="s">
        <v>43</v>
      </c>
      <c r="E468" s="47" t="s">
        <v>1078</v>
      </c>
      <c r="F468" s="47" t="s">
        <v>18</v>
      </c>
      <c r="G468" s="47" t="s">
        <v>38</v>
      </c>
      <c r="H468" s="47" t="s">
        <v>64</v>
      </c>
      <c r="I468" s="47" t="s">
        <v>1079</v>
      </c>
      <c r="J468" s="47" t="s">
        <v>22</v>
      </c>
      <c r="K468" s="47" t="s">
        <v>143</v>
      </c>
      <c r="L468" s="59" t="s">
        <v>23</v>
      </c>
      <c r="M468" s="47" t="s">
        <v>73</v>
      </c>
    </row>
    <row r="469" customHeight="1" spans="1:13">
      <c r="A469" s="47" t="s">
        <v>1080</v>
      </c>
      <c r="B469" s="47" t="s">
        <v>1081</v>
      </c>
      <c r="C469" s="47" t="s">
        <v>505</v>
      </c>
      <c r="D469" s="47" t="s">
        <v>16</v>
      </c>
      <c r="E469" s="47" t="s">
        <v>1082</v>
      </c>
      <c r="F469" s="47" t="s">
        <v>28</v>
      </c>
      <c r="G469" s="47" t="s">
        <v>38</v>
      </c>
      <c r="H469" s="47" t="s">
        <v>30</v>
      </c>
      <c r="I469" s="47" t="s">
        <v>30</v>
      </c>
      <c r="J469" s="47" t="s">
        <v>32</v>
      </c>
      <c r="K469" s="59" t="s">
        <v>23</v>
      </c>
      <c r="L469" s="59" t="s">
        <v>23</v>
      </c>
      <c r="M469" s="47" t="s">
        <v>358</v>
      </c>
    </row>
    <row r="470" customHeight="1" spans="1:13">
      <c r="A470" s="47" t="s">
        <v>1083</v>
      </c>
      <c r="B470" s="47" t="s">
        <v>1081</v>
      </c>
      <c r="C470" s="47" t="s">
        <v>1084</v>
      </c>
      <c r="D470" s="47" t="s">
        <v>156</v>
      </c>
      <c r="E470" s="47" t="s">
        <v>17</v>
      </c>
      <c r="F470" s="47" t="s">
        <v>18</v>
      </c>
      <c r="G470" s="47" t="s">
        <v>19</v>
      </c>
      <c r="H470" s="47" t="s">
        <v>20</v>
      </c>
      <c r="I470" s="47" t="s">
        <v>21</v>
      </c>
      <c r="J470" s="47" t="s">
        <v>32</v>
      </c>
      <c r="K470" s="59" t="s">
        <v>23</v>
      </c>
      <c r="L470" s="59" t="s">
        <v>23</v>
      </c>
      <c r="M470" s="47" t="s">
        <v>47</v>
      </c>
    </row>
    <row r="471" customHeight="1" spans="1:13">
      <c r="A471" s="47" t="s">
        <v>1085</v>
      </c>
      <c r="B471" s="47" t="s">
        <v>1081</v>
      </c>
      <c r="C471" s="47" t="s">
        <v>1086</v>
      </c>
      <c r="D471" s="47" t="s">
        <v>43</v>
      </c>
      <c r="E471" s="47" t="s">
        <v>1087</v>
      </c>
      <c r="F471" s="59" t="s">
        <v>23</v>
      </c>
      <c r="G471" s="47" t="s">
        <v>38</v>
      </c>
      <c r="H471" s="47" t="s">
        <v>52</v>
      </c>
      <c r="I471" s="47" t="s">
        <v>52</v>
      </c>
      <c r="J471" s="47" t="s">
        <v>22</v>
      </c>
      <c r="K471" s="59" t="s">
        <v>23</v>
      </c>
      <c r="L471" s="59" t="s">
        <v>23</v>
      </c>
      <c r="M471" s="47" t="s">
        <v>47</v>
      </c>
    </row>
    <row r="472" customHeight="1" spans="1:13">
      <c r="A472" s="47" t="s">
        <v>1088</v>
      </c>
      <c r="B472" s="47" t="s">
        <v>1081</v>
      </c>
      <c r="C472" s="47" t="s">
        <v>255</v>
      </c>
      <c r="D472" s="47" t="s">
        <v>43</v>
      </c>
      <c r="E472" s="47" t="s">
        <v>57</v>
      </c>
      <c r="F472" s="47" t="s">
        <v>28</v>
      </c>
      <c r="G472" s="47" t="s">
        <v>38</v>
      </c>
      <c r="H472" s="47" t="s">
        <v>58</v>
      </c>
      <c r="I472" s="47" t="s">
        <v>58</v>
      </c>
      <c r="J472" s="47" t="s">
        <v>32</v>
      </c>
      <c r="K472" s="59" t="s">
        <v>23</v>
      </c>
      <c r="L472" s="59" t="s">
        <v>23</v>
      </c>
      <c r="M472" s="47" t="s">
        <v>292</v>
      </c>
    </row>
    <row r="473" customHeight="1" spans="1:13">
      <c r="A473" s="47" t="s">
        <v>1089</v>
      </c>
      <c r="B473" s="47" t="s">
        <v>1090</v>
      </c>
      <c r="C473" s="47" t="s">
        <v>300</v>
      </c>
      <c r="D473" s="47" t="s">
        <v>16</v>
      </c>
      <c r="E473" s="47" t="s">
        <v>17</v>
      </c>
      <c r="F473" s="47" t="s">
        <v>18</v>
      </c>
      <c r="G473" s="47" t="s">
        <v>38</v>
      </c>
      <c r="H473" s="47" t="s">
        <v>20</v>
      </c>
      <c r="I473" s="59" t="s">
        <v>23</v>
      </c>
      <c r="J473" s="47" t="s">
        <v>22</v>
      </c>
      <c r="K473" s="59" t="s">
        <v>23</v>
      </c>
      <c r="L473" s="59" t="s">
        <v>23</v>
      </c>
      <c r="M473" s="47" t="s">
        <v>24</v>
      </c>
    </row>
    <row r="474" customHeight="1" spans="1:13">
      <c r="A474" s="47" t="s">
        <v>1091</v>
      </c>
      <c r="B474" s="47" t="s">
        <v>1090</v>
      </c>
      <c r="C474" s="47" t="s">
        <v>1092</v>
      </c>
      <c r="D474" s="47" t="s">
        <v>16</v>
      </c>
      <c r="E474" s="47" t="s">
        <v>81</v>
      </c>
      <c r="F474" s="59" t="s">
        <v>23</v>
      </c>
      <c r="G474" s="47" t="s">
        <v>38</v>
      </c>
      <c r="H474" s="47" t="s">
        <v>82</v>
      </c>
      <c r="I474" s="47" t="s">
        <v>82</v>
      </c>
      <c r="J474" s="47" t="s">
        <v>22</v>
      </c>
      <c r="K474" s="59" t="s">
        <v>23</v>
      </c>
      <c r="L474" s="59" t="s">
        <v>23</v>
      </c>
      <c r="M474" s="47" t="s">
        <v>73</v>
      </c>
    </row>
    <row r="475" customHeight="1" spans="1:13">
      <c r="A475" s="47" t="s">
        <v>1093</v>
      </c>
      <c r="B475" s="47" t="s">
        <v>1094</v>
      </c>
      <c r="C475" s="47" t="s">
        <v>1095</v>
      </c>
      <c r="D475" s="47" t="s">
        <v>107</v>
      </c>
      <c r="E475" s="47" t="s">
        <v>17</v>
      </c>
      <c r="F475" s="47" t="s">
        <v>18</v>
      </c>
      <c r="G475" s="47" t="s">
        <v>19</v>
      </c>
      <c r="H475" s="47" t="s">
        <v>20</v>
      </c>
      <c r="I475" s="47" t="s">
        <v>21</v>
      </c>
      <c r="J475" s="47" t="s">
        <v>22</v>
      </c>
      <c r="K475" s="59" t="s">
        <v>23</v>
      </c>
      <c r="L475" s="59" t="s">
        <v>23</v>
      </c>
      <c r="M475" s="47" t="s">
        <v>47</v>
      </c>
    </row>
    <row r="476" customHeight="1" spans="1:13">
      <c r="A476" s="47" t="s">
        <v>1096</v>
      </c>
      <c r="B476" s="47" t="s">
        <v>1094</v>
      </c>
      <c r="C476" s="47" t="s">
        <v>1097</v>
      </c>
      <c r="D476" s="47" t="s">
        <v>107</v>
      </c>
      <c r="E476" s="47" t="s">
        <v>81</v>
      </c>
      <c r="F476" s="47" t="s">
        <v>37</v>
      </c>
      <c r="G476" s="47" t="s">
        <v>38</v>
      </c>
      <c r="H476" s="47" t="s">
        <v>82</v>
      </c>
      <c r="I476" s="59" t="s">
        <v>23</v>
      </c>
      <c r="J476" s="47" t="s">
        <v>127</v>
      </c>
      <c r="K476" s="59" t="s">
        <v>23</v>
      </c>
      <c r="L476" s="59" t="s">
        <v>23</v>
      </c>
      <c r="M476" s="47" t="s">
        <v>40</v>
      </c>
    </row>
    <row r="477" customHeight="1" spans="1:13">
      <c r="A477" s="47" t="s">
        <v>1098</v>
      </c>
      <c r="B477" s="47" t="s">
        <v>1094</v>
      </c>
      <c r="C477" s="47" t="s">
        <v>1099</v>
      </c>
      <c r="D477" s="47" t="s">
        <v>16</v>
      </c>
      <c r="E477" s="47" t="s">
        <v>146</v>
      </c>
      <c r="F477" s="47" t="s">
        <v>28</v>
      </c>
      <c r="G477" s="47" t="s">
        <v>29</v>
      </c>
      <c r="H477" s="47" t="s">
        <v>147</v>
      </c>
      <c r="I477" s="47" t="s">
        <v>148</v>
      </c>
      <c r="J477" s="47" t="s">
        <v>753</v>
      </c>
      <c r="K477" s="59" t="s">
        <v>23</v>
      </c>
      <c r="L477" s="59" t="s">
        <v>23</v>
      </c>
      <c r="M477" s="47" t="s">
        <v>1100</v>
      </c>
    </row>
    <row r="478" customHeight="1" spans="1:13">
      <c r="A478" s="47" t="s">
        <v>1101</v>
      </c>
      <c r="B478" s="47" t="s">
        <v>1094</v>
      </c>
      <c r="C478" s="47" t="s">
        <v>1102</v>
      </c>
      <c r="D478" s="47" t="s">
        <v>16</v>
      </c>
      <c r="E478" s="47" t="s">
        <v>63</v>
      </c>
      <c r="F478" s="47" t="s">
        <v>18</v>
      </c>
      <c r="G478" s="47" t="s">
        <v>38</v>
      </c>
      <c r="H478" s="47" t="s">
        <v>64</v>
      </c>
      <c r="I478" s="47" t="s">
        <v>64</v>
      </c>
      <c r="J478" s="47" t="s">
        <v>32</v>
      </c>
      <c r="K478" s="59" t="s">
        <v>23</v>
      </c>
      <c r="L478" s="59" t="s">
        <v>23</v>
      </c>
      <c r="M478" s="47" t="s">
        <v>40</v>
      </c>
    </row>
    <row r="479" customHeight="1" spans="1:13">
      <c r="A479" s="47" t="s">
        <v>1103</v>
      </c>
      <c r="B479" s="47" t="s">
        <v>1094</v>
      </c>
      <c r="C479" s="47" t="s">
        <v>676</v>
      </c>
      <c r="D479" s="47" t="s">
        <v>107</v>
      </c>
      <c r="E479" s="47" t="s">
        <v>647</v>
      </c>
      <c r="F479" s="47" t="s">
        <v>45</v>
      </c>
      <c r="G479" s="47" t="s">
        <v>38</v>
      </c>
      <c r="H479" s="47" t="s">
        <v>227</v>
      </c>
      <c r="I479" s="47" t="s">
        <v>227</v>
      </c>
      <c r="J479" s="47" t="s">
        <v>22</v>
      </c>
      <c r="K479" s="59" t="s">
        <v>23</v>
      </c>
      <c r="L479" s="59" t="s">
        <v>23</v>
      </c>
      <c r="M479" s="47" t="s">
        <v>24</v>
      </c>
    </row>
    <row r="480" customHeight="1" spans="1:13">
      <c r="A480" s="47" t="s">
        <v>1104</v>
      </c>
      <c r="B480" s="47" t="s">
        <v>1105</v>
      </c>
      <c r="C480" s="47" t="s">
        <v>562</v>
      </c>
      <c r="D480" s="47" t="s">
        <v>16</v>
      </c>
      <c r="E480" s="47" t="s">
        <v>95</v>
      </c>
      <c r="F480" s="47" t="s">
        <v>45</v>
      </c>
      <c r="G480" s="47" t="s">
        <v>38</v>
      </c>
      <c r="H480" s="47" t="s">
        <v>77</v>
      </c>
      <c r="I480" s="47" t="s">
        <v>77</v>
      </c>
      <c r="J480" s="47" t="s">
        <v>22</v>
      </c>
      <c r="K480" s="59" t="s">
        <v>23</v>
      </c>
      <c r="L480" s="47" t="s">
        <v>29</v>
      </c>
      <c r="M480" s="47" t="s">
        <v>47</v>
      </c>
    </row>
    <row r="481" customHeight="1" spans="1:13">
      <c r="A481" s="47" t="s">
        <v>1106</v>
      </c>
      <c r="B481" s="47" t="s">
        <v>1105</v>
      </c>
      <c r="C481" s="47" t="s">
        <v>1107</v>
      </c>
      <c r="D481" s="47" t="s">
        <v>16</v>
      </c>
      <c r="E481" s="47" t="s">
        <v>146</v>
      </c>
      <c r="F481" s="47" t="s">
        <v>28</v>
      </c>
      <c r="G481" s="47" t="s">
        <v>19</v>
      </c>
      <c r="H481" s="47" t="s">
        <v>147</v>
      </c>
      <c r="I481" s="59" t="s">
        <v>23</v>
      </c>
      <c r="J481" s="47" t="s">
        <v>22</v>
      </c>
      <c r="K481" s="47" t="s">
        <v>53</v>
      </c>
      <c r="L481" s="59" t="s">
        <v>23</v>
      </c>
      <c r="M481" s="47" t="s">
        <v>1108</v>
      </c>
    </row>
    <row r="482" customHeight="1" spans="1:13">
      <c r="A482" s="47" t="s">
        <v>1109</v>
      </c>
      <c r="B482" s="47" t="s">
        <v>1105</v>
      </c>
      <c r="C482" s="47" t="s">
        <v>1110</v>
      </c>
      <c r="D482" s="47" t="s">
        <v>16</v>
      </c>
      <c r="E482" s="47" t="s">
        <v>103</v>
      </c>
      <c r="F482" s="47" t="s">
        <v>37</v>
      </c>
      <c r="G482" s="47" t="s">
        <v>38</v>
      </c>
      <c r="H482" s="47" t="s">
        <v>77</v>
      </c>
      <c r="I482" s="47" t="s">
        <v>77</v>
      </c>
      <c r="J482" s="47" t="s">
        <v>22</v>
      </c>
      <c r="K482" s="59" t="s">
        <v>23</v>
      </c>
      <c r="L482" s="47" t="s">
        <v>65</v>
      </c>
      <c r="M482" s="47" t="s">
        <v>33</v>
      </c>
    </row>
    <row r="483" customHeight="1" spans="1:13">
      <c r="A483" s="47" t="s">
        <v>1111</v>
      </c>
      <c r="B483" s="47" t="s">
        <v>1105</v>
      </c>
      <c r="C483" s="47" t="s">
        <v>380</v>
      </c>
      <c r="D483" s="47" t="s">
        <v>43</v>
      </c>
      <c r="E483" s="47" t="s">
        <v>161</v>
      </c>
      <c r="F483" s="47" t="s">
        <v>18</v>
      </c>
      <c r="G483" s="47" t="s">
        <v>38</v>
      </c>
      <c r="H483" s="47" t="s">
        <v>64</v>
      </c>
      <c r="I483" s="47" t="s">
        <v>1079</v>
      </c>
      <c r="J483" s="47" t="s">
        <v>32</v>
      </c>
      <c r="K483" s="47" t="s">
        <v>143</v>
      </c>
      <c r="L483" s="47" t="s">
        <v>65</v>
      </c>
      <c r="M483" s="47" t="s">
        <v>24</v>
      </c>
    </row>
    <row r="484" customHeight="1" spans="1:13">
      <c r="A484" s="47" t="s">
        <v>1112</v>
      </c>
      <c r="B484" s="47" t="s">
        <v>1105</v>
      </c>
      <c r="C484" s="47" t="s">
        <v>727</v>
      </c>
      <c r="D484" s="47" t="s">
        <v>107</v>
      </c>
      <c r="E484" s="47" t="s">
        <v>63</v>
      </c>
      <c r="F484" s="47" t="s">
        <v>18</v>
      </c>
      <c r="G484" s="47" t="s">
        <v>38</v>
      </c>
      <c r="H484" s="47" t="s">
        <v>64</v>
      </c>
      <c r="I484" s="47" t="s">
        <v>64</v>
      </c>
      <c r="J484" s="47" t="s">
        <v>22</v>
      </c>
      <c r="K484" s="59" t="s">
        <v>23</v>
      </c>
      <c r="L484" s="47" t="s">
        <v>65</v>
      </c>
      <c r="M484" s="47" t="s">
        <v>220</v>
      </c>
    </row>
    <row r="485" customHeight="1" spans="1:13">
      <c r="A485" s="47" t="s">
        <v>1112</v>
      </c>
      <c r="B485" s="47" t="s">
        <v>1105</v>
      </c>
      <c r="C485" s="47" t="s">
        <v>727</v>
      </c>
      <c r="D485" s="47" t="s">
        <v>107</v>
      </c>
      <c r="E485" s="47" t="s">
        <v>63</v>
      </c>
      <c r="F485" s="47" t="s">
        <v>18</v>
      </c>
      <c r="G485" s="47" t="s">
        <v>38</v>
      </c>
      <c r="H485" s="47" t="s">
        <v>64</v>
      </c>
      <c r="I485" s="47" t="s">
        <v>64</v>
      </c>
      <c r="J485" s="47" t="s">
        <v>22</v>
      </c>
      <c r="K485" s="59" t="s">
        <v>23</v>
      </c>
      <c r="L485" s="47" t="s">
        <v>65</v>
      </c>
      <c r="M485" s="47" t="s">
        <v>40</v>
      </c>
    </row>
    <row r="486" customHeight="1" spans="1:13">
      <c r="A486" s="47" t="s">
        <v>1113</v>
      </c>
      <c r="B486" s="47" t="s">
        <v>1114</v>
      </c>
      <c r="C486" s="47" t="s">
        <v>1115</v>
      </c>
      <c r="D486" s="47" t="s">
        <v>1032</v>
      </c>
      <c r="E486" s="47" t="s">
        <v>95</v>
      </c>
      <c r="F486" s="47" t="s">
        <v>45</v>
      </c>
      <c r="G486" s="47" t="s">
        <v>38</v>
      </c>
      <c r="H486" s="47" t="s">
        <v>77</v>
      </c>
      <c r="I486" s="47" t="s">
        <v>77</v>
      </c>
      <c r="J486" s="47" t="s">
        <v>32</v>
      </c>
      <c r="K486" s="59" t="s">
        <v>23</v>
      </c>
      <c r="L486" s="59" t="s">
        <v>23</v>
      </c>
      <c r="M486" s="47" t="s">
        <v>40</v>
      </c>
    </row>
    <row r="487" customHeight="1" spans="1:13">
      <c r="A487" s="47" t="s">
        <v>1116</v>
      </c>
      <c r="B487" s="47" t="s">
        <v>1117</v>
      </c>
      <c r="C487" s="47" t="s">
        <v>1118</v>
      </c>
      <c r="D487" s="47" t="s">
        <v>43</v>
      </c>
      <c r="E487" s="47" t="s">
        <v>199</v>
      </c>
      <c r="F487" s="47" t="s">
        <v>18</v>
      </c>
      <c r="G487" s="47" t="s">
        <v>38</v>
      </c>
      <c r="H487" s="47" t="s">
        <v>39</v>
      </c>
      <c r="I487" s="47" t="s">
        <v>39</v>
      </c>
      <c r="J487" s="47" t="s">
        <v>22</v>
      </c>
      <c r="K487" s="59" t="s">
        <v>23</v>
      </c>
      <c r="L487" s="59" t="s">
        <v>23</v>
      </c>
      <c r="M487" s="47" t="s">
        <v>40</v>
      </c>
    </row>
    <row r="488" customHeight="1" spans="1:13">
      <c r="A488" s="47" t="s">
        <v>1119</v>
      </c>
      <c r="B488" s="47" t="s">
        <v>1117</v>
      </c>
      <c r="C488" s="47" t="s">
        <v>1120</v>
      </c>
      <c r="D488" s="47" t="s">
        <v>107</v>
      </c>
      <c r="E488" s="47" t="s">
        <v>1039</v>
      </c>
      <c r="F488" s="47" t="s">
        <v>109</v>
      </c>
      <c r="G488" s="47" t="s">
        <v>38</v>
      </c>
      <c r="H488" s="47" t="s">
        <v>110</v>
      </c>
      <c r="I488" s="47" t="s">
        <v>110</v>
      </c>
      <c r="J488" s="47" t="s">
        <v>22</v>
      </c>
      <c r="K488" s="59" t="s">
        <v>23</v>
      </c>
      <c r="L488" s="47" t="s">
        <v>54</v>
      </c>
      <c r="M488" s="47" t="s">
        <v>40</v>
      </c>
    </row>
    <row r="489" customHeight="1" spans="1:13">
      <c r="A489" s="47" t="s">
        <v>1121</v>
      </c>
      <c r="B489" s="47" t="s">
        <v>1117</v>
      </c>
      <c r="C489" s="47" t="s">
        <v>569</v>
      </c>
      <c r="D489" s="47" t="s">
        <v>43</v>
      </c>
      <c r="E489" s="47" t="s">
        <v>81</v>
      </c>
      <c r="F489" s="47" t="s">
        <v>37</v>
      </c>
      <c r="G489" s="47" t="s">
        <v>38</v>
      </c>
      <c r="H489" s="47" t="s">
        <v>769</v>
      </c>
      <c r="I489" s="47" t="s">
        <v>82</v>
      </c>
      <c r="J489" s="47" t="s">
        <v>22</v>
      </c>
      <c r="K489" s="59" t="s">
        <v>23</v>
      </c>
      <c r="L489" s="59" t="s">
        <v>23</v>
      </c>
      <c r="M489" s="47" t="s">
        <v>33</v>
      </c>
    </row>
    <row r="490" customHeight="1" spans="1:13">
      <c r="A490" s="47" t="s">
        <v>1122</v>
      </c>
      <c r="B490" s="47" t="s">
        <v>1123</v>
      </c>
      <c r="C490" s="47" t="s">
        <v>436</v>
      </c>
      <c r="D490" s="47" t="s">
        <v>107</v>
      </c>
      <c r="E490" s="47" t="s">
        <v>81</v>
      </c>
      <c r="F490" s="47" t="s">
        <v>37</v>
      </c>
      <c r="G490" s="47" t="s">
        <v>38</v>
      </c>
      <c r="H490" s="47" t="s">
        <v>443</v>
      </c>
      <c r="I490" s="47" t="s">
        <v>82</v>
      </c>
      <c r="J490" s="47" t="s">
        <v>32</v>
      </c>
      <c r="K490" s="59" t="s">
        <v>23</v>
      </c>
      <c r="L490" s="47" t="s">
        <v>54</v>
      </c>
      <c r="M490" s="47" t="s">
        <v>73</v>
      </c>
    </row>
    <row r="491" customHeight="1" spans="1:13">
      <c r="A491" s="47" t="s">
        <v>1124</v>
      </c>
      <c r="B491" s="47" t="s">
        <v>1123</v>
      </c>
      <c r="C491" s="47" t="s">
        <v>674</v>
      </c>
      <c r="D491" s="47" t="s">
        <v>16</v>
      </c>
      <c r="E491" s="47" t="s">
        <v>57</v>
      </c>
      <c r="F491" s="47" t="s">
        <v>28</v>
      </c>
      <c r="G491" s="47" t="s">
        <v>38</v>
      </c>
      <c r="H491" s="47" t="s">
        <v>58</v>
      </c>
      <c r="I491" s="47" t="s">
        <v>58</v>
      </c>
      <c r="J491" s="47" t="s">
        <v>22</v>
      </c>
      <c r="K491" s="59" t="s">
        <v>23</v>
      </c>
      <c r="L491" s="47" t="s">
        <v>54</v>
      </c>
      <c r="M491" s="47" t="s">
        <v>40</v>
      </c>
    </row>
    <row r="492" customHeight="1" spans="1:13">
      <c r="A492" s="47" t="s">
        <v>1125</v>
      </c>
      <c r="B492" s="47" t="s">
        <v>1123</v>
      </c>
      <c r="C492" s="47" t="s">
        <v>646</v>
      </c>
      <c r="D492" s="47" t="s">
        <v>16</v>
      </c>
      <c r="E492" s="47" t="s">
        <v>50</v>
      </c>
      <c r="F492" s="47" t="s">
        <v>28</v>
      </c>
      <c r="G492" s="47" t="s">
        <v>19</v>
      </c>
      <c r="H492" s="47" t="s">
        <v>52</v>
      </c>
      <c r="I492" s="47" t="s">
        <v>425</v>
      </c>
      <c r="J492" s="47" t="s">
        <v>32</v>
      </c>
      <c r="K492" s="59" t="s">
        <v>23</v>
      </c>
      <c r="L492" s="59" t="s">
        <v>23</v>
      </c>
      <c r="M492" s="47" t="s">
        <v>47</v>
      </c>
    </row>
    <row r="493" customHeight="1" spans="1:13">
      <c r="A493" s="47" t="s">
        <v>1126</v>
      </c>
      <c r="B493" s="47" t="s">
        <v>1117</v>
      </c>
      <c r="C493" s="47" t="s">
        <v>1127</v>
      </c>
      <c r="D493" s="47" t="s">
        <v>107</v>
      </c>
      <c r="E493" s="47" t="s">
        <v>63</v>
      </c>
      <c r="F493" s="47" t="s">
        <v>18</v>
      </c>
      <c r="G493" s="47" t="s">
        <v>38</v>
      </c>
      <c r="H493" s="47" t="s">
        <v>816</v>
      </c>
      <c r="I493" s="59" t="s">
        <v>23</v>
      </c>
      <c r="J493" s="47" t="s">
        <v>22</v>
      </c>
      <c r="K493" s="59" t="s">
        <v>23</v>
      </c>
      <c r="L493" s="59" t="s">
        <v>23</v>
      </c>
      <c r="M493" s="47" t="s">
        <v>33</v>
      </c>
    </row>
    <row r="494" customHeight="1" spans="1:13">
      <c r="A494" s="47" t="s">
        <v>1128</v>
      </c>
      <c r="B494" s="47" t="s">
        <v>1117</v>
      </c>
      <c r="C494" s="47" t="s">
        <v>389</v>
      </c>
      <c r="D494" s="47" t="s">
        <v>43</v>
      </c>
      <c r="E494" s="47" t="s">
        <v>146</v>
      </c>
      <c r="F494" s="47" t="s">
        <v>28</v>
      </c>
      <c r="G494" s="47" t="s">
        <v>38</v>
      </c>
      <c r="H494" s="47" t="s">
        <v>147</v>
      </c>
      <c r="I494" s="47" t="s">
        <v>147</v>
      </c>
      <c r="J494" s="47" t="s">
        <v>753</v>
      </c>
      <c r="K494" s="59" t="s">
        <v>23</v>
      </c>
      <c r="L494" s="59" t="s">
        <v>23</v>
      </c>
      <c r="M494" s="47" t="s">
        <v>24</v>
      </c>
    </row>
    <row r="495" customHeight="1" spans="1:13">
      <c r="A495" s="47" t="s">
        <v>1129</v>
      </c>
      <c r="B495" s="47" t="s">
        <v>1117</v>
      </c>
      <c r="C495" s="47" t="s">
        <v>356</v>
      </c>
      <c r="D495" s="47" t="s">
        <v>16</v>
      </c>
      <c r="E495" s="47" t="s">
        <v>103</v>
      </c>
      <c r="F495" s="47" t="s">
        <v>37</v>
      </c>
      <c r="G495" s="47" t="s">
        <v>38</v>
      </c>
      <c r="H495" s="47" t="s">
        <v>77</v>
      </c>
      <c r="I495" s="47" t="s">
        <v>77</v>
      </c>
      <c r="J495" s="47" t="s">
        <v>32</v>
      </c>
      <c r="K495" s="59" t="s">
        <v>23</v>
      </c>
      <c r="L495" s="59" t="s">
        <v>23</v>
      </c>
      <c r="M495" s="47" t="s">
        <v>33</v>
      </c>
    </row>
    <row r="496" customHeight="1" spans="1:13">
      <c r="A496" s="47" t="s">
        <v>1130</v>
      </c>
      <c r="B496" s="47" t="s">
        <v>1117</v>
      </c>
      <c r="C496" s="47" t="s">
        <v>1131</v>
      </c>
      <c r="D496" s="47" t="s">
        <v>43</v>
      </c>
      <c r="E496" s="47" t="s">
        <v>44</v>
      </c>
      <c r="F496" s="47" t="s">
        <v>45</v>
      </c>
      <c r="G496" s="47" t="s">
        <v>19</v>
      </c>
      <c r="H496" s="47" t="s">
        <v>46</v>
      </c>
      <c r="I496" s="47" t="s">
        <v>114</v>
      </c>
      <c r="J496" s="47" t="s">
        <v>22</v>
      </c>
      <c r="K496" s="59" t="s">
        <v>23</v>
      </c>
      <c r="L496" s="59" t="s">
        <v>23</v>
      </c>
      <c r="M496" s="47" t="s">
        <v>24</v>
      </c>
    </row>
    <row r="497" customHeight="1" spans="1:13">
      <c r="A497" s="47" t="s">
        <v>1132</v>
      </c>
      <c r="B497" s="47" t="s">
        <v>1133</v>
      </c>
      <c r="C497" s="47" t="s">
        <v>1134</v>
      </c>
      <c r="D497" s="47" t="s">
        <v>352</v>
      </c>
      <c r="E497" s="47" t="s">
        <v>27</v>
      </c>
      <c r="F497" s="47" t="s">
        <v>28</v>
      </c>
      <c r="G497" s="47" t="s">
        <v>38</v>
      </c>
      <c r="H497" s="47" t="s">
        <v>30</v>
      </c>
      <c r="I497" s="47" t="s">
        <v>30</v>
      </c>
      <c r="J497" s="47" t="s">
        <v>32</v>
      </c>
      <c r="K497" s="59" t="s">
        <v>23</v>
      </c>
      <c r="L497" s="47" t="s">
        <v>65</v>
      </c>
      <c r="M497" s="47" t="s">
        <v>24</v>
      </c>
    </row>
    <row r="498" customHeight="1" spans="1:13">
      <c r="A498" s="47" t="s">
        <v>1135</v>
      </c>
      <c r="B498" s="47" t="s">
        <v>1133</v>
      </c>
      <c r="C498" s="47" t="s">
        <v>1136</v>
      </c>
      <c r="D498" s="47" t="s">
        <v>16</v>
      </c>
      <c r="E498" s="47" t="s">
        <v>50</v>
      </c>
      <c r="F498" s="47" t="s">
        <v>28</v>
      </c>
      <c r="G498" s="47" t="s">
        <v>19</v>
      </c>
      <c r="H498" s="47" t="s">
        <v>52</v>
      </c>
      <c r="I498" s="47" t="s">
        <v>1137</v>
      </c>
      <c r="J498" s="47" t="s">
        <v>22</v>
      </c>
      <c r="K498" s="47" t="s">
        <v>143</v>
      </c>
      <c r="L498" s="59" t="s">
        <v>23</v>
      </c>
      <c r="M498" s="47" t="s">
        <v>47</v>
      </c>
    </row>
    <row r="499" customHeight="1" spans="1:13">
      <c r="A499" s="47" t="s">
        <v>1138</v>
      </c>
      <c r="B499" s="47" t="s">
        <v>1133</v>
      </c>
      <c r="C499" s="47" t="s">
        <v>1139</v>
      </c>
      <c r="D499" s="47" t="s">
        <v>16</v>
      </c>
      <c r="E499" s="47" t="s">
        <v>36</v>
      </c>
      <c r="F499" s="47" t="s">
        <v>37</v>
      </c>
      <c r="G499" s="47" t="s">
        <v>38</v>
      </c>
      <c r="H499" s="47" t="s">
        <v>39</v>
      </c>
      <c r="I499" s="47" t="s">
        <v>39</v>
      </c>
      <c r="J499" s="47" t="s">
        <v>22</v>
      </c>
      <c r="K499" s="59" t="s">
        <v>23</v>
      </c>
      <c r="L499" s="47" t="s">
        <v>29</v>
      </c>
      <c r="M499" s="47" t="s">
        <v>24</v>
      </c>
    </row>
    <row r="500" customHeight="1" spans="1:13">
      <c r="A500" s="47" t="s">
        <v>1140</v>
      </c>
      <c r="B500" s="47" t="s">
        <v>1141</v>
      </c>
      <c r="C500" s="47" t="s">
        <v>1142</v>
      </c>
      <c r="D500" s="47" t="s">
        <v>62</v>
      </c>
      <c r="E500" s="47" t="s">
        <v>89</v>
      </c>
      <c r="F500" s="47" t="s">
        <v>28</v>
      </c>
      <c r="G500" s="47" t="s">
        <v>38</v>
      </c>
      <c r="H500" s="47" t="s">
        <v>30</v>
      </c>
      <c r="I500" s="47" t="s">
        <v>1143</v>
      </c>
      <c r="J500" s="47" t="s">
        <v>22</v>
      </c>
      <c r="K500" s="59" t="s">
        <v>23</v>
      </c>
      <c r="L500" s="59" t="s">
        <v>23</v>
      </c>
      <c r="M500" s="47" t="s">
        <v>24</v>
      </c>
    </row>
    <row r="501" customHeight="1" spans="1:13">
      <c r="A501" s="47" t="s">
        <v>1144</v>
      </c>
      <c r="B501" s="47" t="s">
        <v>1133</v>
      </c>
      <c r="C501" s="47" t="s">
        <v>1145</v>
      </c>
      <c r="D501" s="47" t="s">
        <v>43</v>
      </c>
      <c r="E501" s="47" t="s">
        <v>27</v>
      </c>
      <c r="F501" s="47" t="s">
        <v>28</v>
      </c>
      <c r="G501" s="47" t="s">
        <v>38</v>
      </c>
      <c r="H501" s="47" t="s">
        <v>30</v>
      </c>
      <c r="I501" s="47" t="s">
        <v>30</v>
      </c>
      <c r="J501" s="47" t="s">
        <v>22</v>
      </c>
      <c r="K501" s="59" t="s">
        <v>23</v>
      </c>
      <c r="L501" s="59" t="s">
        <v>23</v>
      </c>
      <c r="M501" s="47" t="s">
        <v>47</v>
      </c>
    </row>
    <row r="502" customHeight="1" spans="1:13">
      <c r="A502" s="47" t="s">
        <v>1146</v>
      </c>
      <c r="B502" s="47" t="s">
        <v>1147</v>
      </c>
      <c r="C502" s="47" t="s">
        <v>727</v>
      </c>
      <c r="D502" s="47" t="s">
        <v>16</v>
      </c>
      <c r="E502" s="47" t="s">
        <v>165</v>
      </c>
      <c r="F502" s="59" t="s">
        <v>23</v>
      </c>
      <c r="G502" s="47" t="s">
        <v>38</v>
      </c>
      <c r="H502" s="47" t="s">
        <v>82</v>
      </c>
      <c r="I502" s="47" t="s">
        <v>1148</v>
      </c>
      <c r="J502" s="47" t="s">
        <v>22</v>
      </c>
      <c r="K502" s="47" t="s">
        <v>53</v>
      </c>
      <c r="L502" s="47" t="s">
        <v>65</v>
      </c>
      <c r="M502" s="47" t="s">
        <v>40</v>
      </c>
    </row>
    <row r="503" customHeight="1" spans="1:13">
      <c r="A503" s="47" t="s">
        <v>1149</v>
      </c>
      <c r="B503" s="47" t="s">
        <v>1133</v>
      </c>
      <c r="C503" s="47" t="s">
        <v>1150</v>
      </c>
      <c r="D503" s="47" t="s">
        <v>107</v>
      </c>
      <c r="E503" s="47" t="s">
        <v>27</v>
      </c>
      <c r="F503" s="59" t="s">
        <v>23</v>
      </c>
      <c r="G503" s="47" t="s">
        <v>38</v>
      </c>
      <c r="H503" s="47" t="s">
        <v>30</v>
      </c>
      <c r="I503" s="47" t="s">
        <v>30</v>
      </c>
      <c r="J503" s="47" t="s">
        <v>22</v>
      </c>
      <c r="K503" s="59" t="s">
        <v>23</v>
      </c>
      <c r="L503" s="47" t="s">
        <v>65</v>
      </c>
      <c r="M503" s="47" t="s">
        <v>33</v>
      </c>
    </row>
    <row r="504" customHeight="1" spans="1:13">
      <c r="A504" s="47" t="s">
        <v>1151</v>
      </c>
      <c r="B504" s="47" t="s">
        <v>1147</v>
      </c>
      <c r="C504" s="47" t="s">
        <v>1152</v>
      </c>
      <c r="D504" s="47" t="s">
        <v>16</v>
      </c>
      <c r="E504" s="47" t="s">
        <v>103</v>
      </c>
      <c r="F504" s="47" t="s">
        <v>37</v>
      </c>
      <c r="G504" s="47" t="s">
        <v>19</v>
      </c>
      <c r="H504" s="47" t="s">
        <v>77</v>
      </c>
      <c r="I504" s="47" t="s">
        <v>96</v>
      </c>
      <c r="J504" s="47" t="s">
        <v>22</v>
      </c>
      <c r="K504" s="59" t="s">
        <v>23</v>
      </c>
      <c r="L504" s="47" t="s">
        <v>54</v>
      </c>
      <c r="M504" s="47" t="s">
        <v>47</v>
      </c>
    </row>
    <row r="505" customHeight="1" spans="1:13">
      <c r="A505" s="47" t="s">
        <v>1153</v>
      </c>
      <c r="B505" s="47" t="s">
        <v>1147</v>
      </c>
      <c r="C505" s="47" t="s">
        <v>879</v>
      </c>
      <c r="D505" s="47" t="s">
        <v>16</v>
      </c>
      <c r="E505" s="47" t="s">
        <v>27</v>
      </c>
      <c r="F505" s="47" t="s">
        <v>28</v>
      </c>
      <c r="G505" s="47" t="s">
        <v>38</v>
      </c>
      <c r="H505" s="47" t="s">
        <v>30</v>
      </c>
      <c r="I505" s="47" t="s">
        <v>184</v>
      </c>
      <c r="J505" s="47" t="s">
        <v>22</v>
      </c>
      <c r="K505" s="47" t="s">
        <v>119</v>
      </c>
      <c r="L505" s="59" t="s">
        <v>23</v>
      </c>
      <c r="M505" s="47" t="s">
        <v>40</v>
      </c>
    </row>
    <row r="506" customHeight="1" spans="1:13">
      <c r="A506" s="47" t="s">
        <v>1154</v>
      </c>
      <c r="B506" s="47" t="s">
        <v>1133</v>
      </c>
      <c r="C506" s="47" t="s">
        <v>853</v>
      </c>
      <c r="D506" s="47" t="s">
        <v>107</v>
      </c>
      <c r="E506" s="47" t="s">
        <v>63</v>
      </c>
      <c r="F506" s="47" t="s">
        <v>18</v>
      </c>
      <c r="G506" s="47" t="s">
        <v>38</v>
      </c>
      <c r="H506" s="47" t="s">
        <v>64</v>
      </c>
      <c r="I506" s="47" t="s">
        <v>64</v>
      </c>
      <c r="J506" s="47" t="s">
        <v>32</v>
      </c>
      <c r="K506" s="59" t="s">
        <v>23</v>
      </c>
      <c r="L506" s="47" t="s">
        <v>29</v>
      </c>
      <c r="M506" s="47" t="s">
        <v>33</v>
      </c>
    </row>
    <row r="507" customHeight="1" spans="1:13">
      <c r="A507" s="47" t="s">
        <v>1155</v>
      </c>
      <c r="B507" s="47" t="s">
        <v>1133</v>
      </c>
      <c r="C507" s="47" t="s">
        <v>331</v>
      </c>
      <c r="D507" s="47" t="s">
        <v>16</v>
      </c>
      <c r="E507" s="47" t="s">
        <v>146</v>
      </c>
      <c r="F507" s="47" t="s">
        <v>28</v>
      </c>
      <c r="G507" s="47" t="s">
        <v>38</v>
      </c>
      <c r="H507" s="59" t="s">
        <v>23</v>
      </c>
      <c r="I507" s="47" t="s">
        <v>608</v>
      </c>
      <c r="J507" s="47" t="s">
        <v>22</v>
      </c>
      <c r="K507" s="59" t="s">
        <v>23</v>
      </c>
      <c r="L507" s="59" t="s">
        <v>23</v>
      </c>
      <c r="M507" s="47" t="s">
        <v>73</v>
      </c>
    </row>
    <row r="508" customHeight="1" spans="1:13">
      <c r="A508" s="47" t="s">
        <v>1156</v>
      </c>
      <c r="B508" s="47" t="s">
        <v>1133</v>
      </c>
      <c r="C508" s="47" t="s">
        <v>238</v>
      </c>
      <c r="D508" s="47" t="s">
        <v>16</v>
      </c>
      <c r="E508" s="47" t="s">
        <v>89</v>
      </c>
      <c r="F508" s="47" t="s">
        <v>28</v>
      </c>
      <c r="G508" s="47" t="s">
        <v>38</v>
      </c>
      <c r="H508" s="47" t="s">
        <v>30</v>
      </c>
      <c r="I508" s="47" t="s">
        <v>30</v>
      </c>
      <c r="J508" s="47" t="s">
        <v>22</v>
      </c>
      <c r="K508" s="59" t="s">
        <v>23</v>
      </c>
      <c r="L508" s="59" t="s">
        <v>23</v>
      </c>
      <c r="M508" s="47" t="s">
        <v>33</v>
      </c>
    </row>
    <row r="509" customHeight="1" spans="1:13">
      <c r="A509" s="47" t="s">
        <v>1157</v>
      </c>
      <c r="B509" s="47" t="s">
        <v>1133</v>
      </c>
      <c r="C509" s="47" t="s">
        <v>1158</v>
      </c>
      <c r="D509" s="47" t="s">
        <v>107</v>
      </c>
      <c r="E509" s="47" t="s">
        <v>63</v>
      </c>
      <c r="F509" s="47" t="s">
        <v>18</v>
      </c>
      <c r="G509" s="47" t="s">
        <v>38</v>
      </c>
      <c r="H509" s="47" t="s">
        <v>64</v>
      </c>
      <c r="I509" s="47" t="s">
        <v>64</v>
      </c>
      <c r="J509" s="47" t="s">
        <v>22</v>
      </c>
      <c r="K509" s="59" t="s">
        <v>23</v>
      </c>
      <c r="L509" s="47" t="s">
        <v>54</v>
      </c>
      <c r="M509" s="47" t="s">
        <v>574</v>
      </c>
    </row>
    <row r="510" customHeight="1" spans="1:13">
      <c r="A510" s="47" t="s">
        <v>1159</v>
      </c>
      <c r="B510" s="47" t="s">
        <v>1133</v>
      </c>
      <c r="C510" s="47" t="s">
        <v>241</v>
      </c>
      <c r="D510" s="47" t="s">
        <v>16</v>
      </c>
      <c r="E510" s="47" t="s">
        <v>27</v>
      </c>
      <c r="F510" s="47" t="s">
        <v>28</v>
      </c>
      <c r="G510" s="47" t="s">
        <v>38</v>
      </c>
      <c r="H510" s="47" t="s">
        <v>30</v>
      </c>
      <c r="I510" s="47" t="s">
        <v>30</v>
      </c>
      <c r="J510" s="47" t="s">
        <v>32</v>
      </c>
      <c r="K510" s="59" t="s">
        <v>23</v>
      </c>
      <c r="L510" s="47" t="s">
        <v>65</v>
      </c>
      <c r="M510" s="47" t="s">
        <v>73</v>
      </c>
    </row>
    <row r="511" customHeight="1" spans="1:13">
      <c r="A511" s="47" t="s">
        <v>1160</v>
      </c>
      <c r="B511" s="47" t="s">
        <v>1161</v>
      </c>
      <c r="C511" s="47" t="s">
        <v>1162</v>
      </c>
      <c r="D511" s="47" t="s">
        <v>16</v>
      </c>
      <c r="E511" s="47" t="s">
        <v>103</v>
      </c>
      <c r="F511" s="47" t="s">
        <v>37</v>
      </c>
      <c r="G511" s="47" t="s">
        <v>38</v>
      </c>
      <c r="H511" s="47" t="s">
        <v>77</v>
      </c>
      <c r="I511" s="47" t="s">
        <v>77</v>
      </c>
      <c r="J511" s="47" t="s">
        <v>22</v>
      </c>
      <c r="K511" s="47" t="s">
        <v>143</v>
      </c>
      <c r="L511" s="59" t="s">
        <v>23</v>
      </c>
      <c r="M511" s="47" t="s">
        <v>358</v>
      </c>
    </row>
    <row r="512" customHeight="1" spans="1:13">
      <c r="A512" s="47" t="s">
        <v>1163</v>
      </c>
      <c r="B512" s="47" t="s">
        <v>1161</v>
      </c>
      <c r="C512" s="47" t="s">
        <v>1164</v>
      </c>
      <c r="D512" s="47" t="s">
        <v>107</v>
      </c>
      <c r="E512" s="47" t="s">
        <v>36</v>
      </c>
      <c r="F512" s="59" t="s">
        <v>23</v>
      </c>
      <c r="G512" s="47" t="s">
        <v>38</v>
      </c>
      <c r="H512" s="47" t="s">
        <v>39</v>
      </c>
      <c r="I512" s="47" t="s">
        <v>39</v>
      </c>
      <c r="J512" s="47" t="s">
        <v>32</v>
      </c>
      <c r="K512" s="59" t="s">
        <v>23</v>
      </c>
      <c r="L512" s="59" t="s">
        <v>23</v>
      </c>
      <c r="M512" s="47" t="s">
        <v>40</v>
      </c>
    </row>
    <row r="513" customHeight="1" spans="1:13">
      <c r="A513" s="47" t="s">
        <v>1165</v>
      </c>
      <c r="B513" s="47" t="s">
        <v>1161</v>
      </c>
      <c r="C513" s="47" t="s">
        <v>1166</v>
      </c>
      <c r="D513" s="47" t="s">
        <v>16</v>
      </c>
      <c r="E513" s="47" t="s">
        <v>44</v>
      </c>
      <c r="F513" s="47" t="s">
        <v>45</v>
      </c>
      <c r="G513" s="47" t="s">
        <v>19</v>
      </c>
      <c r="H513" s="47" t="s">
        <v>46</v>
      </c>
      <c r="I513" s="47" t="s">
        <v>114</v>
      </c>
      <c r="J513" s="47" t="s">
        <v>22</v>
      </c>
      <c r="K513" s="59" t="s">
        <v>23</v>
      </c>
      <c r="L513" s="47" t="s">
        <v>65</v>
      </c>
      <c r="M513" s="47" t="s">
        <v>40</v>
      </c>
    </row>
    <row r="514" customHeight="1" spans="1:13">
      <c r="A514" s="47" t="s">
        <v>1167</v>
      </c>
      <c r="B514" s="47" t="s">
        <v>1161</v>
      </c>
      <c r="C514" s="47" t="s">
        <v>1092</v>
      </c>
      <c r="D514" s="47" t="s">
        <v>16</v>
      </c>
      <c r="E514" s="47" t="s">
        <v>17</v>
      </c>
      <c r="F514" s="47" t="s">
        <v>18</v>
      </c>
      <c r="G514" s="47" t="s">
        <v>19</v>
      </c>
      <c r="H514" s="47" t="s">
        <v>20</v>
      </c>
      <c r="I514" s="47" t="s">
        <v>21</v>
      </c>
      <c r="J514" s="47" t="s">
        <v>22</v>
      </c>
      <c r="K514" s="59" t="s">
        <v>23</v>
      </c>
      <c r="L514" s="59" t="s">
        <v>23</v>
      </c>
      <c r="M514" s="47" t="s">
        <v>73</v>
      </c>
    </row>
    <row r="515" customHeight="1" spans="1:13">
      <c r="A515" s="47" t="s">
        <v>1168</v>
      </c>
      <c r="B515" s="47" t="s">
        <v>1161</v>
      </c>
      <c r="C515" s="47" t="s">
        <v>1169</v>
      </c>
      <c r="D515" s="47" t="s">
        <v>213</v>
      </c>
      <c r="E515" s="47" t="s">
        <v>1170</v>
      </c>
      <c r="F515" s="47" t="s">
        <v>28</v>
      </c>
      <c r="G515" s="47" t="s">
        <v>38</v>
      </c>
      <c r="H515" s="47" t="s">
        <v>30</v>
      </c>
      <c r="I515" s="47" t="s">
        <v>30</v>
      </c>
      <c r="J515" s="47" t="s">
        <v>68</v>
      </c>
      <c r="K515" s="59" t="s">
        <v>23</v>
      </c>
      <c r="L515" s="59" t="s">
        <v>23</v>
      </c>
      <c r="M515" s="47" t="s">
        <v>24</v>
      </c>
    </row>
    <row r="516" customHeight="1" spans="1:13">
      <c r="A516" s="47" t="s">
        <v>1171</v>
      </c>
      <c r="B516" s="47" t="s">
        <v>1161</v>
      </c>
      <c r="C516" s="47" t="s">
        <v>430</v>
      </c>
      <c r="D516" s="47" t="s">
        <v>16</v>
      </c>
      <c r="E516" s="47" t="s">
        <v>27</v>
      </c>
      <c r="F516" s="47" t="s">
        <v>28</v>
      </c>
      <c r="G516" s="47" t="s">
        <v>19</v>
      </c>
      <c r="H516" s="47" t="s">
        <v>30</v>
      </c>
      <c r="I516" s="47" t="s">
        <v>258</v>
      </c>
      <c r="J516" s="47" t="s">
        <v>22</v>
      </c>
      <c r="K516" s="59" t="s">
        <v>23</v>
      </c>
      <c r="L516" s="59" t="s">
        <v>23</v>
      </c>
      <c r="M516" s="47" t="s">
        <v>33</v>
      </c>
    </row>
    <row r="517" customHeight="1" spans="1:13">
      <c r="A517" s="47" t="s">
        <v>1172</v>
      </c>
      <c r="B517" s="47" t="s">
        <v>1161</v>
      </c>
      <c r="C517" s="47" t="s">
        <v>991</v>
      </c>
      <c r="D517" s="47" t="s">
        <v>16</v>
      </c>
      <c r="E517" s="47" t="s">
        <v>63</v>
      </c>
      <c r="F517" s="47" t="s">
        <v>18</v>
      </c>
      <c r="G517" s="47" t="s">
        <v>29</v>
      </c>
      <c r="H517" s="47" t="s">
        <v>64</v>
      </c>
      <c r="I517" s="47" t="s">
        <v>227</v>
      </c>
      <c r="J517" s="47" t="s">
        <v>22</v>
      </c>
      <c r="K517" s="59" t="s">
        <v>23</v>
      </c>
      <c r="L517" s="59" t="s">
        <v>23</v>
      </c>
      <c r="M517" s="47" t="s">
        <v>40</v>
      </c>
    </row>
    <row r="518" customHeight="1" spans="1:13">
      <c r="A518" s="47" t="s">
        <v>1173</v>
      </c>
      <c r="B518" s="47" t="s">
        <v>1161</v>
      </c>
      <c r="C518" s="47" t="s">
        <v>933</v>
      </c>
      <c r="D518" s="47" t="s">
        <v>16</v>
      </c>
      <c r="E518" s="47" t="s">
        <v>81</v>
      </c>
      <c r="F518" s="47" t="s">
        <v>37</v>
      </c>
      <c r="G518" s="47" t="s">
        <v>38</v>
      </c>
      <c r="H518" s="47" t="s">
        <v>82</v>
      </c>
      <c r="I518" s="47" t="s">
        <v>82</v>
      </c>
      <c r="J518" s="47" t="s">
        <v>22</v>
      </c>
      <c r="K518" s="59" t="s">
        <v>23</v>
      </c>
      <c r="L518" s="59" t="s">
        <v>23</v>
      </c>
      <c r="M518" s="47" t="s">
        <v>73</v>
      </c>
    </row>
    <row r="519" customHeight="1" spans="1:13">
      <c r="A519" s="47" t="s">
        <v>1174</v>
      </c>
      <c r="B519" s="47" t="s">
        <v>1175</v>
      </c>
      <c r="C519" s="47" t="s">
        <v>250</v>
      </c>
      <c r="D519" s="47" t="s">
        <v>43</v>
      </c>
      <c r="E519" s="47" t="s">
        <v>44</v>
      </c>
      <c r="F519" s="47" t="s">
        <v>45</v>
      </c>
      <c r="G519" s="47" t="s">
        <v>19</v>
      </c>
      <c r="H519" s="47" t="s">
        <v>46</v>
      </c>
      <c r="I519" s="47" t="s">
        <v>114</v>
      </c>
      <c r="J519" s="47" t="s">
        <v>22</v>
      </c>
      <c r="K519" s="59" t="s">
        <v>23</v>
      </c>
      <c r="L519" s="59" t="s">
        <v>23</v>
      </c>
      <c r="M519" s="47" t="s">
        <v>24</v>
      </c>
    </row>
    <row r="520" customHeight="1" spans="1:13">
      <c r="A520" s="47" t="s">
        <v>1176</v>
      </c>
      <c r="B520" s="47" t="s">
        <v>1175</v>
      </c>
      <c r="C520" s="47" t="s">
        <v>1042</v>
      </c>
      <c r="D520" s="47" t="s">
        <v>43</v>
      </c>
      <c r="E520" s="47" t="s">
        <v>103</v>
      </c>
      <c r="F520" s="47" t="s">
        <v>37</v>
      </c>
      <c r="G520" s="47" t="s">
        <v>19</v>
      </c>
      <c r="H520" s="47" t="s">
        <v>77</v>
      </c>
      <c r="I520" s="47" t="s">
        <v>96</v>
      </c>
      <c r="J520" s="47" t="s">
        <v>32</v>
      </c>
      <c r="K520" s="59" t="s">
        <v>23</v>
      </c>
      <c r="L520" s="59" t="s">
        <v>23</v>
      </c>
      <c r="M520" s="47" t="s">
        <v>1177</v>
      </c>
    </row>
    <row r="521" customHeight="1" spans="1:13">
      <c r="A521" s="47" t="s">
        <v>1178</v>
      </c>
      <c r="B521" s="47" t="s">
        <v>1161</v>
      </c>
      <c r="C521" s="47" t="s">
        <v>209</v>
      </c>
      <c r="D521" s="47" t="s">
        <v>16</v>
      </c>
      <c r="E521" s="47" t="s">
        <v>103</v>
      </c>
      <c r="F521" s="47" t="s">
        <v>37</v>
      </c>
      <c r="G521" s="59" t="s">
        <v>23</v>
      </c>
      <c r="H521" s="47" t="s">
        <v>77</v>
      </c>
      <c r="I521" s="47" t="s">
        <v>77</v>
      </c>
      <c r="J521" s="47" t="s">
        <v>22</v>
      </c>
      <c r="K521" s="59" t="s">
        <v>23</v>
      </c>
      <c r="L521" s="47" t="s">
        <v>54</v>
      </c>
      <c r="M521" s="47" t="s">
        <v>73</v>
      </c>
    </row>
    <row r="522" customHeight="1" spans="1:13">
      <c r="A522" s="47" t="s">
        <v>1179</v>
      </c>
      <c r="B522" s="47" t="s">
        <v>1161</v>
      </c>
      <c r="C522" s="47" t="s">
        <v>56</v>
      </c>
      <c r="D522" s="47" t="s">
        <v>43</v>
      </c>
      <c r="E522" s="47" t="s">
        <v>27</v>
      </c>
      <c r="F522" s="47" t="s">
        <v>28</v>
      </c>
      <c r="G522" s="47" t="s">
        <v>38</v>
      </c>
      <c r="H522" s="47" t="s">
        <v>30</v>
      </c>
      <c r="I522" s="47" t="s">
        <v>30</v>
      </c>
      <c r="J522" s="47" t="s">
        <v>22</v>
      </c>
      <c r="K522" s="59" t="s">
        <v>23</v>
      </c>
      <c r="L522" s="47" t="s">
        <v>29</v>
      </c>
      <c r="M522" s="47" t="s">
        <v>47</v>
      </c>
    </row>
    <row r="523" customHeight="1" spans="1:13">
      <c r="A523" s="47" t="s">
        <v>1180</v>
      </c>
      <c r="B523" s="47" t="s">
        <v>1161</v>
      </c>
      <c r="C523" s="47" t="s">
        <v>714</v>
      </c>
      <c r="D523" s="47" t="s">
        <v>43</v>
      </c>
      <c r="E523" s="47" t="s">
        <v>17</v>
      </c>
      <c r="F523" s="47" t="s">
        <v>18</v>
      </c>
      <c r="G523" s="59" t="s">
        <v>23</v>
      </c>
      <c r="H523" s="47" t="s">
        <v>20</v>
      </c>
      <c r="I523" s="47" t="s">
        <v>20</v>
      </c>
      <c r="J523" s="47" t="s">
        <v>22</v>
      </c>
      <c r="K523" s="59" t="s">
        <v>23</v>
      </c>
      <c r="L523" s="47" t="s">
        <v>65</v>
      </c>
      <c r="M523" s="47" t="s">
        <v>33</v>
      </c>
    </row>
    <row r="524" customHeight="1" spans="1:13">
      <c r="A524" s="47" t="s">
        <v>1181</v>
      </c>
      <c r="B524" s="47" t="s">
        <v>1182</v>
      </c>
      <c r="C524" s="47" t="s">
        <v>1183</v>
      </c>
      <c r="D524" s="47" t="s">
        <v>86</v>
      </c>
      <c r="E524" s="47" t="s">
        <v>17</v>
      </c>
      <c r="F524" s="47" t="s">
        <v>18</v>
      </c>
      <c r="G524" s="47" t="s">
        <v>38</v>
      </c>
      <c r="H524" s="47" t="s">
        <v>20</v>
      </c>
      <c r="I524" s="47" t="s">
        <v>20</v>
      </c>
      <c r="J524" s="47" t="s">
        <v>22</v>
      </c>
      <c r="K524" s="59" t="s">
        <v>23</v>
      </c>
      <c r="L524" s="59" t="s">
        <v>23</v>
      </c>
      <c r="M524" s="47" t="s">
        <v>40</v>
      </c>
    </row>
    <row r="525" customHeight="1" spans="1:13">
      <c r="A525" s="47" t="s">
        <v>1184</v>
      </c>
      <c r="B525" s="47" t="s">
        <v>1182</v>
      </c>
      <c r="C525" s="47" t="s">
        <v>952</v>
      </c>
      <c r="D525" s="47" t="s">
        <v>107</v>
      </c>
      <c r="E525" s="47" t="s">
        <v>27</v>
      </c>
      <c r="F525" s="47" t="s">
        <v>28</v>
      </c>
      <c r="G525" s="47" t="s">
        <v>19</v>
      </c>
      <c r="H525" s="47" t="s">
        <v>30</v>
      </c>
      <c r="I525" s="47" t="s">
        <v>258</v>
      </c>
      <c r="J525" s="47" t="s">
        <v>22</v>
      </c>
      <c r="K525" s="59" t="s">
        <v>23</v>
      </c>
      <c r="L525" s="47" t="s">
        <v>65</v>
      </c>
      <c r="M525" s="47" t="s">
        <v>73</v>
      </c>
    </row>
    <row r="526" customHeight="1" spans="1:13">
      <c r="A526" s="47" t="s">
        <v>1185</v>
      </c>
      <c r="B526" s="47" t="s">
        <v>1182</v>
      </c>
      <c r="C526" s="47" t="s">
        <v>821</v>
      </c>
      <c r="D526" s="47" t="s">
        <v>107</v>
      </c>
      <c r="E526" s="47" t="s">
        <v>146</v>
      </c>
      <c r="F526" s="47" t="s">
        <v>28</v>
      </c>
      <c r="G526" s="47" t="s">
        <v>38</v>
      </c>
      <c r="H526" s="59" t="s">
        <v>23</v>
      </c>
      <c r="I526" s="47" t="s">
        <v>406</v>
      </c>
      <c r="J526" s="47" t="s">
        <v>22</v>
      </c>
      <c r="K526" s="47" t="s">
        <v>143</v>
      </c>
      <c r="L526" s="59" t="s">
        <v>23</v>
      </c>
      <c r="M526" s="47" t="s">
        <v>40</v>
      </c>
    </row>
    <row r="527" customHeight="1" spans="1:13">
      <c r="A527" s="47" t="s">
        <v>1186</v>
      </c>
      <c r="B527" s="47" t="s">
        <v>1182</v>
      </c>
      <c r="C527" s="47" t="s">
        <v>280</v>
      </c>
      <c r="D527" s="47" t="s">
        <v>43</v>
      </c>
      <c r="E527" s="47" t="s">
        <v>36</v>
      </c>
      <c r="F527" s="47" t="s">
        <v>37</v>
      </c>
      <c r="G527" s="47" t="s">
        <v>38</v>
      </c>
      <c r="H527" s="47" t="s">
        <v>39</v>
      </c>
      <c r="I527" s="47" t="s">
        <v>39</v>
      </c>
      <c r="J527" s="47" t="s">
        <v>22</v>
      </c>
      <c r="K527" s="59" t="s">
        <v>23</v>
      </c>
      <c r="L527" s="47" t="s">
        <v>54</v>
      </c>
      <c r="M527" s="47" t="s">
        <v>33</v>
      </c>
    </row>
    <row r="528" customHeight="1" spans="1:13">
      <c r="A528" s="47" t="s">
        <v>1187</v>
      </c>
      <c r="B528" s="47" t="s">
        <v>1182</v>
      </c>
      <c r="C528" s="47" t="s">
        <v>150</v>
      </c>
      <c r="D528" s="47" t="s">
        <v>107</v>
      </c>
      <c r="E528" s="47" t="s">
        <v>1188</v>
      </c>
      <c r="F528" s="47" t="s">
        <v>109</v>
      </c>
      <c r="G528" s="47" t="s">
        <v>38</v>
      </c>
      <c r="H528" s="47" t="s">
        <v>110</v>
      </c>
      <c r="I528" s="47" t="s">
        <v>110</v>
      </c>
      <c r="J528" s="47" t="s">
        <v>22</v>
      </c>
      <c r="K528" s="59" t="s">
        <v>23</v>
      </c>
      <c r="L528" s="59" t="s">
        <v>23</v>
      </c>
      <c r="M528" s="47" t="s">
        <v>40</v>
      </c>
    </row>
    <row r="529" customHeight="1" spans="1:13">
      <c r="A529" s="47" t="s">
        <v>1189</v>
      </c>
      <c r="B529" s="47" t="s">
        <v>1182</v>
      </c>
      <c r="C529" s="47" t="s">
        <v>1190</v>
      </c>
      <c r="D529" s="47" t="s">
        <v>16</v>
      </c>
      <c r="E529" s="47" t="s">
        <v>36</v>
      </c>
      <c r="F529" s="47" t="s">
        <v>37</v>
      </c>
      <c r="G529" s="47" t="s">
        <v>38</v>
      </c>
      <c r="H529" s="47" t="s">
        <v>39</v>
      </c>
      <c r="I529" s="47" t="s">
        <v>39</v>
      </c>
      <c r="J529" s="47" t="s">
        <v>32</v>
      </c>
      <c r="K529" s="59" t="s">
        <v>23</v>
      </c>
      <c r="L529" s="47" t="s">
        <v>65</v>
      </c>
      <c r="M529" s="47" t="s">
        <v>33</v>
      </c>
    </row>
    <row r="530" customHeight="1" spans="1:13">
      <c r="A530" s="47" t="s">
        <v>1191</v>
      </c>
      <c r="B530" s="47" t="s">
        <v>1182</v>
      </c>
      <c r="C530" s="47" t="s">
        <v>1192</v>
      </c>
      <c r="D530" s="47" t="s">
        <v>16</v>
      </c>
      <c r="E530" s="47" t="s">
        <v>165</v>
      </c>
      <c r="F530" s="47" t="s">
        <v>109</v>
      </c>
      <c r="G530" s="47" t="s">
        <v>38</v>
      </c>
      <c r="H530" s="47" t="s">
        <v>82</v>
      </c>
      <c r="I530" s="47" t="s">
        <v>82</v>
      </c>
      <c r="J530" s="47" t="s">
        <v>22</v>
      </c>
      <c r="K530" s="59" t="s">
        <v>23</v>
      </c>
      <c r="L530" s="47" t="s">
        <v>65</v>
      </c>
      <c r="M530" s="47" t="s">
        <v>24</v>
      </c>
    </row>
    <row r="531" customHeight="1" spans="1:13">
      <c r="A531" s="47" t="s">
        <v>1193</v>
      </c>
      <c r="B531" s="47" t="s">
        <v>1194</v>
      </c>
      <c r="C531" s="47" t="s">
        <v>1195</v>
      </c>
      <c r="D531" s="47" t="s">
        <v>134</v>
      </c>
      <c r="E531" s="47" t="s">
        <v>63</v>
      </c>
      <c r="F531" s="47" t="s">
        <v>18</v>
      </c>
      <c r="G531" s="47" t="s">
        <v>38</v>
      </c>
      <c r="H531" s="47" t="s">
        <v>64</v>
      </c>
      <c r="I531" s="47" t="s">
        <v>64</v>
      </c>
      <c r="J531" s="47" t="s">
        <v>22</v>
      </c>
      <c r="K531" s="59" t="s">
        <v>23</v>
      </c>
      <c r="L531" s="47" t="s">
        <v>54</v>
      </c>
      <c r="M531" s="47" t="s">
        <v>40</v>
      </c>
    </row>
    <row r="532" customHeight="1" spans="1:13">
      <c r="A532" s="47" t="s">
        <v>1196</v>
      </c>
      <c r="B532" s="47" t="s">
        <v>1194</v>
      </c>
      <c r="C532" s="47" t="s">
        <v>1197</v>
      </c>
      <c r="D532" s="47" t="s">
        <v>16</v>
      </c>
      <c r="E532" s="47" t="s">
        <v>647</v>
      </c>
      <c r="F532" s="47" t="s">
        <v>45</v>
      </c>
      <c r="G532" s="47" t="s">
        <v>38</v>
      </c>
      <c r="H532" s="47" t="s">
        <v>227</v>
      </c>
      <c r="I532" s="47" t="s">
        <v>227</v>
      </c>
      <c r="J532" s="47" t="s">
        <v>32</v>
      </c>
      <c r="K532" s="59" t="s">
        <v>23</v>
      </c>
      <c r="L532" s="59" t="s">
        <v>23</v>
      </c>
      <c r="M532" s="47" t="s">
        <v>73</v>
      </c>
    </row>
    <row r="533" customHeight="1" spans="1:13">
      <c r="A533" s="47" t="s">
        <v>1198</v>
      </c>
      <c r="B533" s="47" t="s">
        <v>1194</v>
      </c>
      <c r="C533" s="47" t="s">
        <v>1199</v>
      </c>
      <c r="D533" s="47" t="s">
        <v>16</v>
      </c>
      <c r="E533" s="47" t="s">
        <v>44</v>
      </c>
      <c r="F533" s="59" t="s">
        <v>23</v>
      </c>
      <c r="G533" s="47" t="s">
        <v>19</v>
      </c>
      <c r="H533" s="47" t="s">
        <v>1200</v>
      </c>
      <c r="I533" s="47" t="s">
        <v>114</v>
      </c>
      <c r="J533" s="47" t="s">
        <v>22</v>
      </c>
      <c r="K533" s="59" t="s">
        <v>23</v>
      </c>
      <c r="L533" s="59" t="s">
        <v>23</v>
      </c>
      <c r="M533" s="47" t="s">
        <v>40</v>
      </c>
    </row>
    <row r="534" customHeight="1" spans="1:13">
      <c r="A534" s="47" t="s">
        <v>1201</v>
      </c>
      <c r="B534" s="47" t="s">
        <v>1194</v>
      </c>
      <c r="C534" s="47" t="s">
        <v>760</v>
      </c>
      <c r="D534" s="47" t="s">
        <v>16</v>
      </c>
      <c r="E534" s="47" t="s">
        <v>57</v>
      </c>
      <c r="F534" s="59" t="s">
        <v>23</v>
      </c>
      <c r="G534" s="47" t="s">
        <v>38</v>
      </c>
      <c r="H534" s="47" t="s">
        <v>58</v>
      </c>
      <c r="I534" s="59" t="s">
        <v>23</v>
      </c>
      <c r="J534" s="47" t="s">
        <v>22</v>
      </c>
      <c r="K534" s="59" t="s">
        <v>23</v>
      </c>
      <c r="L534" s="47" t="s">
        <v>54</v>
      </c>
      <c r="M534" s="47" t="s">
        <v>47</v>
      </c>
    </row>
    <row r="535" customHeight="1" spans="1:13">
      <c r="A535" s="47" t="s">
        <v>1202</v>
      </c>
      <c r="B535" s="47" t="s">
        <v>1194</v>
      </c>
      <c r="C535" s="47" t="s">
        <v>1203</v>
      </c>
      <c r="D535" s="47" t="s">
        <v>16</v>
      </c>
      <c r="E535" s="47" t="s">
        <v>57</v>
      </c>
      <c r="F535" s="47" t="s">
        <v>28</v>
      </c>
      <c r="G535" s="47" t="s">
        <v>38</v>
      </c>
      <c r="H535" s="47" t="s">
        <v>58</v>
      </c>
      <c r="I535" s="47" t="s">
        <v>58</v>
      </c>
      <c r="J535" s="47" t="s">
        <v>32</v>
      </c>
      <c r="K535" s="59" t="s">
        <v>23</v>
      </c>
      <c r="L535" s="59" t="s">
        <v>23</v>
      </c>
      <c r="M535" s="47" t="s">
        <v>220</v>
      </c>
    </row>
    <row r="536" customHeight="1" spans="1:13">
      <c r="A536" s="47" t="s">
        <v>1204</v>
      </c>
      <c r="B536" s="47" t="s">
        <v>1194</v>
      </c>
      <c r="C536" s="47" t="s">
        <v>831</v>
      </c>
      <c r="D536" s="47" t="s">
        <v>213</v>
      </c>
      <c r="E536" s="47" t="s">
        <v>367</v>
      </c>
      <c r="F536" s="47" t="s">
        <v>109</v>
      </c>
      <c r="G536" s="47" t="s">
        <v>19</v>
      </c>
      <c r="H536" s="47" t="s">
        <v>110</v>
      </c>
      <c r="I536" s="47" t="s">
        <v>357</v>
      </c>
      <c r="J536" s="47" t="s">
        <v>22</v>
      </c>
      <c r="K536" s="59" t="s">
        <v>23</v>
      </c>
      <c r="L536" s="47" t="s">
        <v>65</v>
      </c>
      <c r="M536" s="47" t="s">
        <v>47</v>
      </c>
    </row>
    <row r="537" customHeight="1" spans="1:13">
      <c r="A537" s="47" t="s">
        <v>1205</v>
      </c>
      <c r="B537" s="47" t="s">
        <v>1194</v>
      </c>
      <c r="C537" s="47" t="s">
        <v>752</v>
      </c>
      <c r="D537" s="47" t="s">
        <v>43</v>
      </c>
      <c r="E537" s="47" t="s">
        <v>1206</v>
      </c>
      <c r="F537" s="47" t="s">
        <v>28</v>
      </c>
      <c r="G537" s="47" t="s">
        <v>38</v>
      </c>
      <c r="H537" s="47" t="s">
        <v>30</v>
      </c>
      <c r="I537" s="47" t="s">
        <v>30</v>
      </c>
      <c r="J537" s="47" t="s">
        <v>32</v>
      </c>
      <c r="K537" s="59" t="s">
        <v>23</v>
      </c>
      <c r="L537" s="59" t="s">
        <v>23</v>
      </c>
      <c r="M537" s="47" t="s">
        <v>33</v>
      </c>
    </row>
    <row r="538" customHeight="1" spans="1:13">
      <c r="A538" s="47" t="s">
        <v>1207</v>
      </c>
      <c r="B538" s="47" t="s">
        <v>1194</v>
      </c>
      <c r="C538" s="47" t="s">
        <v>807</v>
      </c>
      <c r="D538" s="47" t="s">
        <v>137</v>
      </c>
      <c r="E538" s="47" t="s">
        <v>44</v>
      </c>
      <c r="F538" s="47" t="s">
        <v>45</v>
      </c>
      <c r="G538" s="47" t="s">
        <v>38</v>
      </c>
      <c r="H538" s="47" t="s">
        <v>1208</v>
      </c>
      <c r="I538" s="47" t="s">
        <v>46</v>
      </c>
      <c r="J538" s="47" t="s">
        <v>22</v>
      </c>
      <c r="K538" s="59" t="s">
        <v>23</v>
      </c>
      <c r="L538" s="59" t="s">
        <v>23</v>
      </c>
      <c r="M538" s="47" t="s">
        <v>73</v>
      </c>
    </row>
    <row r="539" customHeight="1" spans="1:13">
      <c r="A539" s="47" t="s">
        <v>1209</v>
      </c>
      <c r="B539" s="47" t="s">
        <v>1210</v>
      </c>
      <c r="C539" s="47" t="s">
        <v>505</v>
      </c>
      <c r="D539" s="47" t="s">
        <v>16</v>
      </c>
      <c r="E539" s="47" t="s">
        <v>81</v>
      </c>
      <c r="F539" s="47" t="s">
        <v>37</v>
      </c>
      <c r="G539" s="47" t="s">
        <v>38</v>
      </c>
      <c r="H539" s="47" t="s">
        <v>82</v>
      </c>
      <c r="I539" s="47" t="s">
        <v>82</v>
      </c>
      <c r="J539" s="47" t="s">
        <v>22</v>
      </c>
      <c r="K539" s="59" t="s">
        <v>23</v>
      </c>
      <c r="L539" s="47" t="s">
        <v>65</v>
      </c>
      <c r="M539" s="47" t="s">
        <v>24</v>
      </c>
    </row>
    <row r="540" customHeight="1" spans="1:13">
      <c r="A540" s="47" t="s">
        <v>1211</v>
      </c>
      <c r="B540" s="47" t="s">
        <v>1210</v>
      </c>
      <c r="C540" s="47" t="s">
        <v>1212</v>
      </c>
      <c r="D540" s="47" t="s">
        <v>107</v>
      </c>
      <c r="E540" s="47" t="s">
        <v>50</v>
      </c>
      <c r="F540" s="47" t="s">
        <v>28</v>
      </c>
      <c r="G540" s="47" t="s">
        <v>19</v>
      </c>
      <c r="H540" s="47" t="s">
        <v>52</v>
      </c>
      <c r="I540" s="47" t="s">
        <v>425</v>
      </c>
      <c r="J540" s="47" t="s">
        <v>22</v>
      </c>
      <c r="K540" s="59" t="s">
        <v>23</v>
      </c>
      <c r="L540" s="59" t="s">
        <v>23</v>
      </c>
      <c r="M540" s="47" t="s">
        <v>99</v>
      </c>
    </row>
    <row r="541" customHeight="1" spans="1:13">
      <c r="A541" s="47" t="s">
        <v>1213</v>
      </c>
      <c r="B541" s="47" t="s">
        <v>1210</v>
      </c>
      <c r="C541" s="47" t="s">
        <v>1214</v>
      </c>
      <c r="D541" s="47" t="s">
        <v>107</v>
      </c>
      <c r="E541" s="47" t="s">
        <v>146</v>
      </c>
      <c r="F541" s="47" t="s">
        <v>28</v>
      </c>
      <c r="G541" s="47" t="s">
        <v>38</v>
      </c>
      <c r="H541" s="47" t="s">
        <v>147</v>
      </c>
      <c r="I541" s="47" t="s">
        <v>147</v>
      </c>
      <c r="J541" s="47" t="s">
        <v>32</v>
      </c>
      <c r="K541" s="59" t="s">
        <v>23</v>
      </c>
      <c r="L541" s="59" t="s">
        <v>23</v>
      </c>
      <c r="M541" s="47" t="s">
        <v>47</v>
      </c>
    </row>
    <row r="542" customHeight="1" spans="1:13">
      <c r="A542" s="47" t="s">
        <v>1215</v>
      </c>
      <c r="B542" s="47" t="s">
        <v>1210</v>
      </c>
      <c r="C542" s="47" t="s">
        <v>1216</v>
      </c>
      <c r="D542" s="47" t="s">
        <v>107</v>
      </c>
      <c r="E542" s="47" t="s">
        <v>63</v>
      </c>
      <c r="F542" s="47" t="s">
        <v>18</v>
      </c>
      <c r="G542" s="47" t="s">
        <v>29</v>
      </c>
      <c r="H542" s="47" t="s">
        <v>64</v>
      </c>
      <c r="I542" s="47" t="s">
        <v>227</v>
      </c>
      <c r="J542" s="47" t="s">
        <v>32</v>
      </c>
      <c r="K542" s="59" t="s">
        <v>23</v>
      </c>
      <c r="L542" s="59" t="s">
        <v>23</v>
      </c>
      <c r="M542" s="47" t="s">
        <v>220</v>
      </c>
    </row>
    <row r="543" customHeight="1" spans="1:13">
      <c r="A543" s="47" t="s">
        <v>1217</v>
      </c>
      <c r="B543" s="47" t="s">
        <v>1210</v>
      </c>
      <c r="C543" s="47" t="s">
        <v>826</v>
      </c>
      <c r="D543" s="47" t="s">
        <v>16</v>
      </c>
      <c r="E543" s="47" t="s">
        <v>36</v>
      </c>
      <c r="F543" s="59" t="s">
        <v>23</v>
      </c>
      <c r="G543" s="47" t="s">
        <v>38</v>
      </c>
      <c r="H543" s="47" t="s">
        <v>39</v>
      </c>
      <c r="I543" s="47" t="s">
        <v>1218</v>
      </c>
      <c r="J543" s="47" t="s">
        <v>22</v>
      </c>
      <c r="K543" s="47" t="s">
        <v>143</v>
      </c>
      <c r="L543" s="59" t="s">
        <v>23</v>
      </c>
      <c r="M543" s="47" t="s">
        <v>33</v>
      </c>
    </row>
    <row r="544" customHeight="1" spans="1:13">
      <c r="A544" s="47" t="s">
        <v>1219</v>
      </c>
      <c r="B544" s="47" t="s">
        <v>1210</v>
      </c>
      <c r="C544" s="47" t="s">
        <v>831</v>
      </c>
      <c r="D544" s="47" t="s">
        <v>107</v>
      </c>
      <c r="E544" s="47" t="s">
        <v>897</v>
      </c>
      <c r="F544" s="47" t="s">
        <v>37</v>
      </c>
      <c r="G544" s="47" t="s">
        <v>38</v>
      </c>
      <c r="H544" s="47" t="s">
        <v>77</v>
      </c>
      <c r="I544" s="47" t="s">
        <v>77</v>
      </c>
      <c r="J544" s="47" t="s">
        <v>22</v>
      </c>
      <c r="K544" s="59" t="s">
        <v>23</v>
      </c>
      <c r="L544" s="59" t="s">
        <v>23</v>
      </c>
      <c r="M544" s="47" t="s">
        <v>47</v>
      </c>
    </row>
    <row r="545" customHeight="1" spans="1:13">
      <c r="A545" s="47" t="s">
        <v>1220</v>
      </c>
      <c r="B545" s="47" t="s">
        <v>1210</v>
      </c>
      <c r="C545" s="47" t="s">
        <v>1221</v>
      </c>
      <c r="D545" s="47" t="s">
        <v>43</v>
      </c>
      <c r="E545" s="47" t="s">
        <v>63</v>
      </c>
      <c r="F545" s="47" t="s">
        <v>18</v>
      </c>
      <c r="G545" s="47" t="s">
        <v>29</v>
      </c>
      <c r="H545" s="47" t="s">
        <v>64</v>
      </c>
      <c r="I545" s="47" t="s">
        <v>227</v>
      </c>
      <c r="J545" s="47" t="s">
        <v>22</v>
      </c>
      <c r="K545" s="59" t="s">
        <v>23</v>
      </c>
      <c r="L545" s="59" t="s">
        <v>23</v>
      </c>
      <c r="M545" s="47" t="s">
        <v>47</v>
      </c>
    </row>
    <row r="546" customHeight="1" spans="1:13">
      <c r="A546" s="47" t="s">
        <v>1222</v>
      </c>
      <c r="B546" s="47" t="s">
        <v>1223</v>
      </c>
      <c r="C546" s="47" t="s">
        <v>226</v>
      </c>
      <c r="D546" s="47" t="s">
        <v>43</v>
      </c>
      <c r="E546" s="47" t="s">
        <v>57</v>
      </c>
      <c r="F546" s="47" t="s">
        <v>28</v>
      </c>
      <c r="G546" s="47" t="s">
        <v>38</v>
      </c>
      <c r="H546" s="47" t="s">
        <v>58</v>
      </c>
      <c r="I546" s="47" t="s">
        <v>58</v>
      </c>
      <c r="J546" s="47" t="s">
        <v>22</v>
      </c>
      <c r="K546" s="59" t="s">
        <v>23</v>
      </c>
      <c r="L546" s="47" t="s">
        <v>65</v>
      </c>
      <c r="M546" s="47" t="s">
        <v>47</v>
      </c>
    </row>
    <row r="547" customHeight="1" spans="1:13">
      <c r="A547" s="47" t="s">
        <v>1224</v>
      </c>
      <c r="B547" s="47" t="s">
        <v>1223</v>
      </c>
      <c r="C547" s="47" t="s">
        <v>1225</v>
      </c>
      <c r="D547" s="47" t="s">
        <v>43</v>
      </c>
      <c r="E547" s="47" t="s">
        <v>57</v>
      </c>
      <c r="F547" s="47" t="s">
        <v>28</v>
      </c>
      <c r="G547" s="47" t="s">
        <v>38</v>
      </c>
      <c r="H547" s="47" t="s">
        <v>58</v>
      </c>
      <c r="I547" s="47" t="s">
        <v>58</v>
      </c>
      <c r="J547" s="47" t="s">
        <v>22</v>
      </c>
      <c r="K547" s="59" t="s">
        <v>23</v>
      </c>
      <c r="L547" s="59" t="s">
        <v>23</v>
      </c>
      <c r="M547" s="47" t="s">
        <v>73</v>
      </c>
    </row>
    <row r="548" customHeight="1" spans="1:13">
      <c r="A548" s="47" t="s">
        <v>1226</v>
      </c>
      <c r="B548" s="47" t="s">
        <v>1223</v>
      </c>
      <c r="C548" s="47" t="s">
        <v>1227</v>
      </c>
      <c r="D548" s="47" t="s">
        <v>1228</v>
      </c>
      <c r="E548" s="47" t="s">
        <v>17</v>
      </c>
      <c r="F548" s="47" t="s">
        <v>18</v>
      </c>
      <c r="G548" s="47" t="s">
        <v>19</v>
      </c>
      <c r="H548" s="47" t="s">
        <v>20</v>
      </c>
      <c r="I548" s="47" t="s">
        <v>21</v>
      </c>
      <c r="J548" s="47" t="s">
        <v>22</v>
      </c>
      <c r="K548" s="59" t="s">
        <v>23</v>
      </c>
      <c r="L548" s="47" t="s">
        <v>29</v>
      </c>
      <c r="M548" s="47" t="s">
        <v>24</v>
      </c>
    </row>
    <row r="549" customHeight="1" spans="1:13">
      <c r="A549" s="47" t="s">
        <v>1229</v>
      </c>
      <c r="B549" s="47" t="s">
        <v>1223</v>
      </c>
      <c r="C549" s="47" t="s">
        <v>1230</v>
      </c>
      <c r="D549" s="47" t="s">
        <v>16</v>
      </c>
      <c r="E549" s="47" t="s">
        <v>81</v>
      </c>
      <c r="F549" s="47" t="s">
        <v>37</v>
      </c>
      <c r="G549" s="47" t="s">
        <v>38</v>
      </c>
      <c r="H549" s="47" t="s">
        <v>82</v>
      </c>
      <c r="I549" s="47" t="s">
        <v>82</v>
      </c>
      <c r="J549" s="47" t="s">
        <v>22</v>
      </c>
      <c r="K549" s="59" t="s">
        <v>23</v>
      </c>
      <c r="L549" s="47" t="s">
        <v>54</v>
      </c>
      <c r="M549" s="47" t="s">
        <v>73</v>
      </c>
    </row>
    <row r="550" customHeight="1" spans="1:13">
      <c r="A550" s="47" t="s">
        <v>1231</v>
      </c>
      <c r="B550" s="47" t="s">
        <v>1223</v>
      </c>
      <c r="C550" s="47" t="s">
        <v>231</v>
      </c>
      <c r="D550" s="47" t="s">
        <v>43</v>
      </c>
      <c r="E550" s="47" t="s">
        <v>103</v>
      </c>
      <c r="F550" s="47" t="s">
        <v>37</v>
      </c>
      <c r="G550" s="47" t="s">
        <v>38</v>
      </c>
      <c r="H550" s="47" t="s">
        <v>77</v>
      </c>
      <c r="I550" s="47" t="s">
        <v>77</v>
      </c>
      <c r="J550" s="47" t="s">
        <v>32</v>
      </c>
      <c r="K550" s="59" t="s">
        <v>23</v>
      </c>
      <c r="L550" s="59" t="s">
        <v>23</v>
      </c>
      <c r="M550" s="47" t="s">
        <v>47</v>
      </c>
    </row>
    <row r="551" customHeight="1" spans="1:13">
      <c r="A551" s="47" t="s">
        <v>1232</v>
      </c>
      <c r="B551" s="47" t="s">
        <v>1223</v>
      </c>
      <c r="C551" s="47" t="s">
        <v>238</v>
      </c>
      <c r="D551" s="47" t="s">
        <v>16</v>
      </c>
      <c r="E551" s="47" t="s">
        <v>81</v>
      </c>
      <c r="F551" s="47" t="s">
        <v>37</v>
      </c>
      <c r="G551" s="47" t="s">
        <v>38</v>
      </c>
      <c r="H551" s="59" t="s">
        <v>23</v>
      </c>
      <c r="I551" s="47" t="s">
        <v>82</v>
      </c>
      <c r="J551" s="47" t="s">
        <v>32</v>
      </c>
      <c r="K551" s="59" t="s">
        <v>23</v>
      </c>
      <c r="L551" s="47" t="s">
        <v>29</v>
      </c>
      <c r="M551" s="47" t="s">
        <v>24</v>
      </c>
    </row>
    <row r="552" customHeight="1" spans="1:13">
      <c r="A552" s="47" t="s">
        <v>1233</v>
      </c>
      <c r="B552" s="47" t="s">
        <v>1223</v>
      </c>
      <c r="C552" s="47" t="s">
        <v>1018</v>
      </c>
      <c r="D552" s="47" t="s">
        <v>43</v>
      </c>
      <c r="E552" s="47" t="s">
        <v>103</v>
      </c>
      <c r="F552" s="47" t="s">
        <v>37</v>
      </c>
      <c r="G552" s="47" t="s">
        <v>38</v>
      </c>
      <c r="H552" s="47" t="s">
        <v>77</v>
      </c>
      <c r="I552" s="47" t="s">
        <v>77</v>
      </c>
      <c r="J552" s="47" t="s">
        <v>22</v>
      </c>
      <c r="K552" s="59" t="s">
        <v>23</v>
      </c>
      <c r="L552" s="59" t="s">
        <v>23</v>
      </c>
      <c r="M552" s="47" t="s">
        <v>40</v>
      </c>
    </row>
    <row r="553" customHeight="1" spans="1:13">
      <c r="A553" s="47" t="s">
        <v>1234</v>
      </c>
      <c r="B553" s="47" t="s">
        <v>1235</v>
      </c>
      <c r="C553" s="47" t="s">
        <v>392</v>
      </c>
      <c r="D553" s="47" t="s">
        <v>107</v>
      </c>
      <c r="E553" s="47" t="s">
        <v>27</v>
      </c>
      <c r="F553" s="47" t="s">
        <v>28</v>
      </c>
      <c r="G553" s="47" t="s">
        <v>19</v>
      </c>
      <c r="H553" s="59" t="s">
        <v>23</v>
      </c>
      <c r="I553" s="47" t="s">
        <v>258</v>
      </c>
      <c r="J553" s="47" t="s">
        <v>22</v>
      </c>
      <c r="K553" s="59" t="s">
        <v>23</v>
      </c>
      <c r="L553" s="47" t="s">
        <v>29</v>
      </c>
      <c r="M553" s="47" t="s">
        <v>73</v>
      </c>
    </row>
    <row r="554" customHeight="1" spans="1:13">
      <c r="A554" s="47" t="s">
        <v>1236</v>
      </c>
      <c r="B554" s="47" t="s">
        <v>1235</v>
      </c>
      <c r="C554" s="47" t="s">
        <v>780</v>
      </c>
      <c r="D554" s="47" t="s">
        <v>16</v>
      </c>
      <c r="E554" s="47" t="s">
        <v>81</v>
      </c>
      <c r="F554" s="47" t="s">
        <v>37</v>
      </c>
      <c r="G554" s="47" t="s">
        <v>19</v>
      </c>
      <c r="H554" s="47" t="s">
        <v>82</v>
      </c>
      <c r="I554" s="47" t="s">
        <v>1237</v>
      </c>
      <c r="J554" s="47" t="s">
        <v>22</v>
      </c>
      <c r="K554" s="59" t="s">
        <v>23</v>
      </c>
      <c r="L554" s="59" t="s">
        <v>23</v>
      </c>
      <c r="M554" s="47" t="s">
        <v>33</v>
      </c>
    </row>
    <row r="555" customHeight="1" spans="1:13">
      <c r="A555" s="47" t="s">
        <v>1238</v>
      </c>
      <c r="B555" s="47" t="s">
        <v>1235</v>
      </c>
      <c r="C555" s="47" t="s">
        <v>1239</v>
      </c>
      <c r="D555" s="47" t="s">
        <v>43</v>
      </c>
      <c r="E555" s="47" t="s">
        <v>1240</v>
      </c>
      <c r="F555" s="47" t="s">
        <v>28</v>
      </c>
      <c r="G555" s="47" t="s">
        <v>38</v>
      </c>
      <c r="H555" s="47" t="s">
        <v>52</v>
      </c>
      <c r="I555" s="47" t="s">
        <v>52</v>
      </c>
      <c r="J555" s="47" t="s">
        <v>32</v>
      </c>
      <c r="K555" s="59" t="s">
        <v>23</v>
      </c>
      <c r="L555" s="59" t="s">
        <v>23</v>
      </c>
      <c r="M555" s="47" t="s">
        <v>47</v>
      </c>
    </row>
    <row r="556" customHeight="1" spans="1:13">
      <c r="A556" s="47" t="s">
        <v>1241</v>
      </c>
      <c r="B556" s="47" t="s">
        <v>1235</v>
      </c>
      <c r="C556" s="47" t="s">
        <v>1242</v>
      </c>
      <c r="D556" s="47" t="s">
        <v>107</v>
      </c>
      <c r="E556" s="47" t="s">
        <v>81</v>
      </c>
      <c r="F556" s="47" t="s">
        <v>37</v>
      </c>
      <c r="G556" s="47" t="s">
        <v>38</v>
      </c>
      <c r="H556" s="47" t="s">
        <v>82</v>
      </c>
      <c r="I556" s="47" t="s">
        <v>82</v>
      </c>
      <c r="J556" s="47" t="s">
        <v>32</v>
      </c>
      <c r="K556" s="59" t="s">
        <v>23</v>
      </c>
      <c r="L556" s="59" t="s">
        <v>23</v>
      </c>
      <c r="M556" s="47" t="s">
        <v>24</v>
      </c>
    </row>
    <row r="557" customHeight="1" spans="1:13">
      <c r="A557" s="47" t="s">
        <v>1243</v>
      </c>
      <c r="B557" s="47" t="s">
        <v>1235</v>
      </c>
      <c r="C557" s="47" t="s">
        <v>1169</v>
      </c>
      <c r="D557" s="47" t="s">
        <v>16</v>
      </c>
      <c r="E557" s="47" t="s">
        <v>1244</v>
      </c>
      <c r="F557" s="47" t="s">
        <v>28</v>
      </c>
      <c r="G557" s="47" t="s">
        <v>19</v>
      </c>
      <c r="H557" s="47" t="s">
        <v>52</v>
      </c>
      <c r="I557" s="47" t="s">
        <v>425</v>
      </c>
      <c r="J557" s="47" t="s">
        <v>32</v>
      </c>
      <c r="K557" s="59" t="s">
        <v>23</v>
      </c>
      <c r="L557" s="59" t="s">
        <v>23</v>
      </c>
      <c r="M557" s="47" t="s">
        <v>24</v>
      </c>
    </row>
    <row r="558" customHeight="1" spans="1:13">
      <c r="A558" s="47" t="s">
        <v>1245</v>
      </c>
      <c r="B558" s="47" t="s">
        <v>1235</v>
      </c>
      <c r="C558" s="47" t="s">
        <v>1246</v>
      </c>
      <c r="D558" s="47" t="s">
        <v>43</v>
      </c>
      <c r="E558" s="47" t="s">
        <v>1244</v>
      </c>
      <c r="F558" s="47" t="s">
        <v>28</v>
      </c>
      <c r="G558" s="47" t="s">
        <v>38</v>
      </c>
      <c r="H558" s="47" t="s">
        <v>52</v>
      </c>
      <c r="I558" s="47" t="s">
        <v>730</v>
      </c>
      <c r="J558" s="47" t="s">
        <v>22</v>
      </c>
      <c r="K558" s="47" t="s">
        <v>143</v>
      </c>
      <c r="L558" s="59" t="s">
        <v>23</v>
      </c>
      <c r="M558" s="47" t="s">
        <v>40</v>
      </c>
    </row>
    <row r="559" customHeight="1" spans="1:13">
      <c r="A559" s="47" t="s">
        <v>1247</v>
      </c>
      <c r="B559" s="47" t="s">
        <v>1235</v>
      </c>
      <c r="C559" s="47" t="s">
        <v>913</v>
      </c>
      <c r="D559" s="47" t="s">
        <v>16</v>
      </c>
      <c r="E559" s="47" t="s">
        <v>367</v>
      </c>
      <c r="F559" s="47" t="s">
        <v>109</v>
      </c>
      <c r="G559" s="47" t="s">
        <v>38</v>
      </c>
      <c r="H559" s="59" t="s">
        <v>23</v>
      </c>
      <c r="I559" s="47" t="s">
        <v>110</v>
      </c>
      <c r="J559" s="47" t="s">
        <v>22</v>
      </c>
      <c r="K559" s="59" t="s">
        <v>23</v>
      </c>
      <c r="L559" s="59" t="s">
        <v>23</v>
      </c>
      <c r="M559" s="47" t="s">
        <v>358</v>
      </c>
    </row>
    <row r="560" customHeight="1" spans="1:13">
      <c r="A560" s="47" t="s">
        <v>1248</v>
      </c>
      <c r="B560" s="47" t="s">
        <v>1235</v>
      </c>
      <c r="C560" s="47" t="s">
        <v>1249</v>
      </c>
      <c r="D560" s="47" t="s">
        <v>43</v>
      </c>
      <c r="E560" s="47" t="s">
        <v>27</v>
      </c>
      <c r="F560" s="47" t="s">
        <v>28</v>
      </c>
      <c r="G560" s="47" t="s">
        <v>19</v>
      </c>
      <c r="H560" s="47" t="s">
        <v>30</v>
      </c>
      <c r="I560" s="59" t="s">
        <v>23</v>
      </c>
      <c r="J560" s="47" t="s">
        <v>22</v>
      </c>
      <c r="K560" s="59" t="s">
        <v>23</v>
      </c>
      <c r="L560" s="59" t="s">
        <v>23</v>
      </c>
      <c r="M560" s="47" t="s">
        <v>47</v>
      </c>
    </row>
    <row r="561" customHeight="1" spans="1:13">
      <c r="A561" s="47" t="s">
        <v>1250</v>
      </c>
      <c r="B561" s="47" t="s">
        <v>1251</v>
      </c>
      <c r="C561" s="47" t="s">
        <v>1252</v>
      </c>
      <c r="D561" s="47" t="s">
        <v>107</v>
      </c>
      <c r="E561" s="47" t="s">
        <v>103</v>
      </c>
      <c r="F561" s="47" t="s">
        <v>37</v>
      </c>
      <c r="G561" s="47" t="s">
        <v>19</v>
      </c>
      <c r="H561" s="47" t="s">
        <v>77</v>
      </c>
      <c r="I561" s="47" t="s">
        <v>114</v>
      </c>
      <c r="J561" s="47" t="s">
        <v>22</v>
      </c>
      <c r="K561" s="47" t="s">
        <v>119</v>
      </c>
      <c r="L561" s="59" t="s">
        <v>23</v>
      </c>
      <c r="M561" s="47" t="s">
        <v>33</v>
      </c>
    </row>
    <row r="562" customHeight="1" spans="1:13">
      <c r="A562" s="47" t="s">
        <v>1253</v>
      </c>
      <c r="B562" s="47" t="s">
        <v>1251</v>
      </c>
      <c r="C562" s="47" t="s">
        <v>1252</v>
      </c>
      <c r="D562" s="47" t="s">
        <v>107</v>
      </c>
      <c r="E562" s="47" t="s">
        <v>17</v>
      </c>
      <c r="F562" s="47" t="s">
        <v>18</v>
      </c>
      <c r="G562" s="47" t="s">
        <v>38</v>
      </c>
      <c r="H562" s="47" t="s">
        <v>20</v>
      </c>
      <c r="I562" s="47" t="s">
        <v>20</v>
      </c>
      <c r="J562" s="47" t="s">
        <v>32</v>
      </c>
      <c r="K562" s="59" t="s">
        <v>23</v>
      </c>
      <c r="L562" s="59" t="s">
        <v>23</v>
      </c>
      <c r="M562" s="47" t="s">
        <v>99</v>
      </c>
    </row>
    <row r="563" customHeight="1" spans="1:13">
      <c r="A563" s="47" t="s">
        <v>1254</v>
      </c>
      <c r="B563" s="47" t="s">
        <v>1255</v>
      </c>
      <c r="C563" s="47" t="s">
        <v>874</v>
      </c>
      <c r="D563" s="47" t="s">
        <v>16</v>
      </c>
      <c r="E563" s="47" t="s">
        <v>235</v>
      </c>
      <c r="F563" s="47" t="s">
        <v>45</v>
      </c>
      <c r="G563" s="47" t="s">
        <v>38</v>
      </c>
      <c r="H563" s="47" t="s">
        <v>1200</v>
      </c>
      <c r="I563" s="47" t="s">
        <v>46</v>
      </c>
      <c r="J563" s="47" t="s">
        <v>22</v>
      </c>
      <c r="K563" s="59" t="s">
        <v>23</v>
      </c>
      <c r="L563" s="59" t="s">
        <v>23</v>
      </c>
      <c r="M563" s="47" t="s">
        <v>33</v>
      </c>
    </row>
    <row r="564" customHeight="1" spans="1:13">
      <c r="A564" s="47" t="s">
        <v>1254</v>
      </c>
      <c r="B564" s="47" t="s">
        <v>1256</v>
      </c>
      <c r="C564" s="47" t="s">
        <v>874</v>
      </c>
      <c r="D564" s="47" t="s">
        <v>16</v>
      </c>
      <c r="E564" s="47" t="s">
        <v>1257</v>
      </c>
      <c r="F564" s="47" t="s">
        <v>45</v>
      </c>
      <c r="G564" s="47" t="s">
        <v>38</v>
      </c>
      <c r="H564" s="47" t="s">
        <v>46</v>
      </c>
      <c r="I564" s="47" t="s">
        <v>1208</v>
      </c>
      <c r="J564" s="47" t="s">
        <v>22</v>
      </c>
      <c r="K564" s="59" t="s">
        <v>23</v>
      </c>
      <c r="L564" s="59" t="s">
        <v>23</v>
      </c>
      <c r="M564" s="47" t="s">
        <v>33</v>
      </c>
    </row>
    <row r="565" customHeight="1" spans="1:13">
      <c r="A565" s="47" t="s">
        <v>1258</v>
      </c>
      <c r="B565" s="47" t="s">
        <v>1251</v>
      </c>
      <c r="C565" s="47" t="s">
        <v>1259</v>
      </c>
      <c r="D565" s="47" t="s">
        <v>107</v>
      </c>
      <c r="E565" s="47" t="s">
        <v>27</v>
      </c>
      <c r="F565" s="47" t="s">
        <v>28</v>
      </c>
      <c r="G565" s="47" t="s">
        <v>19</v>
      </c>
      <c r="H565" s="47" t="s">
        <v>30</v>
      </c>
      <c r="I565" s="47" t="s">
        <v>258</v>
      </c>
      <c r="J565" s="47" t="s">
        <v>32</v>
      </c>
      <c r="K565" s="59" t="s">
        <v>23</v>
      </c>
      <c r="L565" s="59" t="s">
        <v>23</v>
      </c>
      <c r="M565" s="47" t="s">
        <v>24</v>
      </c>
    </row>
    <row r="566" customHeight="1" spans="1:13">
      <c r="A566" s="47" t="s">
        <v>1260</v>
      </c>
      <c r="B566" s="47" t="s">
        <v>1251</v>
      </c>
      <c r="C566" s="47" t="s">
        <v>1025</v>
      </c>
      <c r="D566" s="47" t="s">
        <v>43</v>
      </c>
      <c r="E566" s="47" t="s">
        <v>63</v>
      </c>
      <c r="F566" s="47" t="s">
        <v>18</v>
      </c>
      <c r="G566" s="47" t="s">
        <v>38</v>
      </c>
      <c r="H566" s="47" t="s">
        <v>64</v>
      </c>
      <c r="I566" s="47" t="s">
        <v>162</v>
      </c>
      <c r="J566" s="47" t="s">
        <v>22</v>
      </c>
      <c r="K566" s="47" t="s">
        <v>53</v>
      </c>
      <c r="L566" s="59" t="s">
        <v>23</v>
      </c>
      <c r="M566" s="47" t="s">
        <v>47</v>
      </c>
    </row>
    <row r="567" customHeight="1" spans="1:13">
      <c r="A567" s="47" t="s">
        <v>1261</v>
      </c>
      <c r="B567" s="47" t="s">
        <v>1251</v>
      </c>
      <c r="C567" s="47" t="s">
        <v>314</v>
      </c>
      <c r="D567" s="47" t="s">
        <v>16</v>
      </c>
      <c r="E567" s="47" t="s">
        <v>103</v>
      </c>
      <c r="F567" s="59" t="s">
        <v>23</v>
      </c>
      <c r="G567" s="47" t="s">
        <v>19</v>
      </c>
      <c r="H567" s="47" t="s">
        <v>77</v>
      </c>
      <c r="I567" s="47" t="s">
        <v>96</v>
      </c>
      <c r="J567" s="47" t="s">
        <v>32</v>
      </c>
      <c r="K567" s="59" t="s">
        <v>23</v>
      </c>
      <c r="L567" s="47" t="s">
        <v>65</v>
      </c>
      <c r="M567" s="47" t="s">
        <v>33</v>
      </c>
    </row>
    <row r="568" customHeight="1" spans="1:13">
      <c r="A568" s="47" t="s">
        <v>1262</v>
      </c>
      <c r="B568" s="47" t="s">
        <v>1263</v>
      </c>
      <c r="C568" s="47" t="s">
        <v>1169</v>
      </c>
      <c r="D568" s="47" t="s">
        <v>16</v>
      </c>
      <c r="E568" s="47" t="s">
        <v>57</v>
      </c>
      <c r="F568" s="59" t="s">
        <v>23</v>
      </c>
      <c r="G568" s="47" t="s">
        <v>38</v>
      </c>
      <c r="H568" s="47" t="s">
        <v>58</v>
      </c>
      <c r="I568" s="47" t="s">
        <v>58</v>
      </c>
      <c r="J568" s="47" t="s">
        <v>32</v>
      </c>
      <c r="K568" s="59" t="s">
        <v>23</v>
      </c>
      <c r="L568" s="47" t="s">
        <v>65</v>
      </c>
      <c r="M568" s="47" t="s">
        <v>33</v>
      </c>
    </row>
    <row r="569" customHeight="1" spans="1:13">
      <c r="A569" s="47" t="s">
        <v>1264</v>
      </c>
      <c r="B569" s="47" t="s">
        <v>1255</v>
      </c>
      <c r="C569" s="47" t="s">
        <v>1265</v>
      </c>
      <c r="D569" s="47" t="s">
        <v>43</v>
      </c>
      <c r="E569" s="47" t="s">
        <v>108</v>
      </c>
      <c r="F569" s="47" t="s">
        <v>109</v>
      </c>
      <c r="G569" s="47" t="s">
        <v>38</v>
      </c>
      <c r="H569" s="47" t="s">
        <v>110</v>
      </c>
      <c r="I569" s="47" t="s">
        <v>110</v>
      </c>
      <c r="J569" s="47" t="s">
        <v>22</v>
      </c>
      <c r="K569" s="59" t="s">
        <v>23</v>
      </c>
      <c r="L569" s="59" t="s">
        <v>23</v>
      </c>
      <c r="M569" s="47" t="s">
        <v>24</v>
      </c>
    </row>
    <row r="570" customHeight="1" spans="1:13">
      <c r="A570" s="47" t="s">
        <v>1264</v>
      </c>
      <c r="B570" s="47" t="s">
        <v>1251</v>
      </c>
      <c r="C570" s="47" t="s">
        <v>1265</v>
      </c>
      <c r="D570" s="47" t="s">
        <v>43</v>
      </c>
      <c r="E570" s="47" t="s">
        <v>367</v>
      </c>
      <c r="F570" s="47" t="s">
        <v>109</v>
      </c>
      <c r="G570" s="47" t="s">
        <v>38</v>
      </c>
      <c r="H570" s="47" t="s">
        <v>110</v>
      </c>
      <c r="I570" s="47" t="s">
        <v>110</v>
      </c>
      <c r="J570" s="47" t="s">
        <v>22</v>
      </c>
      <c r="K570" s="59" t="s">
        <v>23</v>
      </c>
      <c r="L570" s="59" t="s">
        <v>23</v>
      </c>
      <c r="M570" s="47" t="s">
        <v>24</v>
      </c>
    </row>
    <row r="571" customHeight="1" spans="1:13">
      <c r="A571" s="47" t="s">
        <v>1266</v>
      </c>
      <c r="B571" s="47" t="s">
        <v>1251</v>
      </c>
      <c r="C571" s="47" t="s">
        <v>1267</v>
      </c>
      <c r="D571" s="47" t="s">
        <v>43</v>
      </c>
      <c r="E571" s="47" t="s">
        <v>57</v>
      </c>
      <c r="F571" s="47" t="s">
        <v>28</v>
      </c>
      <c r="G571" s="47" t="s">
        <v>38</v>
      </c>
      <c r="H571" s="47" t="s">
        <v>58</v>
      </c>
      <c r="I571" s="47" t="s">
        <v>58</v>
      </c>
      <c r="J571" s="47" t="s">
        <v>22</v>
      </c>
      <c r="K571" s="59" t="s">
        <v>23</v>
      </c>
      <c r="L571" s="47" t="s">
        <v>65</v>
      </c>
      <c r="M571" s="47" t="s">
        <v>33</v>
      </c>
    </row>
    <row r="572" customHeight="1" spans="1:13">
      <c r="A572" s="47" t="s">
        <v>1268</v>
      </c>
      <c r="B572" s="47" t="s">
        <v>1255</v>
      </c>
      <c r="C572" s="47" t="s">
        <v>428</v>
      </c>
      <c r="D572" s="47" t="s">
        <v>125</v>
      </c>
      <c r="E572" s="47" t="s">
        <v>50</v>
      </c>
      <c r="F572" s="47" t="s">
        <v>28</v>
      </c>
      <c r="G572" s="47" t="s">
        <v>38</v>
      </c>
      <c r="H572" s="47" t="s">
        <v>52</v>
      </c>
      <c r="I572" s="47" t="s">
        <v>52</v>
      </c>
      <c r="J572" s="47" t="s">
        <v>22</v>
      </c>
      <c r="K572" s="59" t="s">
        <v>23</v>
      </c>
      <c r="L572" s="47" t="s">
        <v>65</v>
      </c>
      <c r="M572" s="47" t="s">
        <v>73</v>
      </c>
    </row>
    <row r="573" customHeight="1" spans="1:13">
      <c r="A573" s="47" t="s">
        <v>1269</v>
      </c>
      <c r="B573" s="47" t="s">
        <v>1251</v>
      </c>
      <c r="C573" s="47" t="s">
        <v>893</v>
      </c>
      <c r="D573" s="47" t="s">
        <v>43</v>
      </c>
      <c r="E573" s="47" t="s">
        <v>17</v>
      </c>
      <c r="F573" s="47" t="s">
        <v>18</v>
      </c>
      <c r="G573" s="47" t="s">
        <v>19</v>
      </c>
      <c r="H573" s="47" t="s">
        <v>20</v>
      </c>
      <c r="I573" s="47" t="s">
        <v>21</v>
      </c>
      <c r="J573" s="47" t="s">
        <v>22</v>
      </c>
      <c r="K573" s="59" t="s">
        <v>23</v>
      </c>
      <c r="L573" s="47" t="s">
        <v>65</v>
      </c>
      <c r="M573" s="47" t="s">
        <v>33</v>
      </c>
    </row>
    <row r="574" customHeight="1" spans="1:13">
      <c r="A574" s="47" t="s">
        <v>1270</v>
      </c>
      <c r="B574" s="47" t="s">
        <v>1251</v>
      </c>
      <c r="C574" s="47" t="s">
        <v>879</v>
      </c>
      <c r="D574" s="47" t="s">
        <v>16</v>
      </c>
      <c r="E574" s="47" t="s">
        <v>267</v>
      </c>
      <c r="F574" s="47" t="s">
        <v>18</v>
      </c>
      <c r="G574" s="47" t="s">
        <v>38</v>
      </c>
      <c r="H574" s="47" t="s">
        <v>64</v>
      </c>
      <c r="I574" s="47" t="s">
        <v>64</v>
      </c>
      <c r="J574" s="47" t="s">
        <v>32</v>
      </c>
      <c r="K574" s="59" t="s">
        <v>23</v>
      </c>
      <c r="L574" s="59" t="s">
        <v>23</v>
      </c>
      <c r="M574" s="47" t="s">
        <v>47</v>
      </c>
    </row>
    <row r="575" customHeight="1" spans="1:13">
      <c r="A575" s="47" t="s">
        <v>1271</v>
      </c>
      <c r="B575" s="47" t="s">
        <v>1251</v>
      </c>
      <c r="C575" s="47" t="s">
        <v>363</v>
      </c>
      <c r="D575" s="47" t="s">
        <v>43</v>
      </c>
      <c r="E575" s="47" t="s">
        <v>364</v>
      </c>
      <c r="F575" s="47" t="s">
        <v>18</v>
      </c>
      <c r="G575" s="47" t="s">
        <v>19</v>
      </c>
      <c r="H575" s="47" t="s">
        <v>20</v>
      </c>
      <c r="I575" s="47" t="s">
        <v>21</v>
      </c>
      <c r="J575" s="47" t="s">
        <v>22</v>
      </c>
      <c r="K575" s="59" t="s">
        <v>23</v>
      </c>
      <c r="L575" s="59" t="s">
        <v>23</v>
      </c>
      <c r="M575" s="47" t="s">
        <v>33</v>
      </c>
    </row>
    <row r="576" customHeight="1" spans="1:13">
      <c r="A576" s="47" t="s">
        <v>1272</v>
      </c>
      <c r="B576" s="47" t="s">
        <v>1251</v>
      </c>
      <c r="C576" s="47" t="s">
        <v>1158</v>
      </c>
      <c r="D576" s="47" t="s">
        <v>43</v>
      </c>
      <c r="E576" s="47" t="s">
        <v>57</v>
      </c>
      <c r="F576" s="47" t="s">
        <v>28</v>
      </c>
      <c r="G576" s="47" t="s">
        <v>38</v>
      </c>
      <c r="H576" s="47" t="s">
        <v>58</v>
      </c>
      <c r="I576" s="47" t="s">
        <v>58</v>
      </c>
      <c r="J576" s="47" t="s">
        <v>22</v>
      </c>
      <c r="K576" s="59" t="s">
        <v>23</v>
      </c>
      <c r="L576" s="59" t="s">
        <v>23</v>
      </c>
      <c r="M576" s="47" t="s">
        <v>47</v>
      </c>
    </row>
    <row r="577" customHeight="1" spans="1:13">
      <c r="A577" s="47" t="s">
        <v>1273</v>
      </c>
      <c r="B577" s="47" t="s">
        <v>1274</v>
      </c>
      <c r="C577" s="47" t="s">
        <v>653</v>
      </c>
      <c r="D577" s="47" t="s">
        <v>1275</v>
      </c>
      <c r="E577" s="47" t="s">
        <v>27</v>
      </c>
      <c r="F577" s="47" t="s">
        <v>28</v>
      </c>
      <c r="G577" s="47" t="s">
        <v>19</v>
      </c>
      <c r="H577" s="47" t="s">
        <v>30</v>
      </c>
      <c r="I577" s="47" t="s">
        <v>258</v>
      </c>
      <c r="J577" s="47" t="s">
        <v>22</v>
      </c>
      <c r="K577" s="47" t="s">
        <v>143</v>
      </c>
      <c r="L577" s="47" t="s">
        <v>65</v>
      </c>
      <c r="M577" s="47" t="s">
        <v>47</v>
      </c>
    </row>
    <row r="578" customHeight="1" spans="1:13">
      <c r="A578" s="47" t="s">
        <v>1276</v>
      </c>
      <c r="B578" s="47" t="s">
        <v>1274</v>
      </c>
      <c r="C578" s="47" t="s">
        <v>1277</v>
      </c>
      <c r="D578" s="47" t="s">
        <v>16</v>
      </c>
      <c r="E578" s="47" t="s">
        <v>27</v>
      </c>
      <c r="F578" s="47" t="s">
        <v>28</v>
      </c>
      <c r="G578" s="47" t="s">
        <v>38</v>
      </c>
      <c r="H578" s="47" t="s">
        <v>30</v>
      </c>
      <c r="I578" s="47" t="s">
        <v>30</v>
      </c>
      <c r="J578" s="47" t="s">
        <v>22</v>
      </c>
      <c r="K578" s="59" t="s">
        <v>23</v>
      </c>
      <c r="L578" s="47" t="s">
        <v>65</v>
      </c>
      <c r="M578" s="47" t="s">
        <v>574</v>
      </c>
    </row>
    <row r="579" customHeight="1" spans="1:13">
      <c r="A579" s="47" t="s">
        <v>1278</v>
      </c>
      <c r="B579" s="47" t="s">
        <v>1274</v>
      </c>
      <c r="C579" s="47" t="s">
        <v>1279</v>
      </c>
      <c r="D579" s="47" t="s">
        <v>107</v>
      </c>
      <c r="E579" s="47" t="s">
        <v>17</v>
      </c>
      <c r="F579" s="47" t="s">
        <v>18</v>
      </c>
      <c r="G579" s="47" t="s">
        <v>19</v>
      </c>
      <c r="H579" s="47" t="s">
        <v>20</v>
      </c>
      <c r="I579" s="47" t="s">
        <v>21</v>
      </c>
      <c r="J579" s="47" t="s">
        <v>22</v>
      </c>
      <c r="K579" s="59" t="s">
        <v>23</v>
      </c>
      <c r="L579" s="47" t="s">
        <v>29</v>
      </c>
      <c r="M579" s="47" t="s">
        <v>47</v>
      </c>
    </row>
    <row r="580" customHeight="1" spans="1:13">
      <c r="A580" s="47" t="s">
        <v>1280</v>
      </c>
      <c r="B580" s="47" t="s">
        <v>1281</v>
      </c>
      <c r="C580" s="47" t="s">
        <v>1282</v>
      </c>
      <c r="D580" s="47" t="s">
        <v>16</v>
      </c>
      <c r="E580" s="47" t="s">
        <v>81</v>
      </c>
      <c r="F580" s="47" t="s">
        <v>37</v>
      </c>
      <c r="G580" s="47" t="s">
        <v>38</v>
      </c>
      <c r="H580" s="47" t="s">
        <v>312</v>
      </c>
      <c r="I580" s="47" t="s">
        <v>82</v>
      </c>
      <c r="J580" s="47" t="s">
        <v>22</v>
      </c>
      <c r="K580" s="59" t="s">
        <v>23</v>
      </c>
      <c r="L580" s="47" t="s">
        <v>65</v>
      </c>
      <c r="M580" s="47" t="s">
        <v>292</v>
      </c>
    </row>
    <row r="581" customHeight="1" spans="1:13">
      <c r="A581" s="47" t="s">
        <v>1283</v>
      </c>
      <c r="B581" s="47" t="s">
        <v>1281</v>
      </c>
      <c r="C581" s="47" t="s">
        <v>891</v>
      </c>
      <c r="D581" s="47" t="s">
        <v>16</v>
      </c>
      <c r="E581" s="47" t="s">
        <v>146</v>
      </c>
      <c r="F581" s="47" t="s">
        <v>28</v>
      </c>
      <c r="G581" s="47" t="s">
        <v>38</v>
      </c>
      <c r="H581" s="47" t="s">
        <v>147</v>
      </c>
      <c r="I581" s="47" t="s">
        <v>147</v>
      </c>
      <c r="J581" s="47" t="s">
        <v>22</v>
      </c>
      <c r="K581" s="59" t="s">
        <v>23</v>
      </c>
      <c r="L581" s="59" t="s">
        <v>23</v>
      </c>
      <c r="M581" s="47" t="s">
        <v>47</v>
      </c>
    </row>
    <row r="582" customHeight="1" spans="1:13">
      <c r="A582" s="47" t="s">
        <v>1284</v>
      </c>
      <c r="B582" s="47" t="s">
        <v>1274</v>
      </c>
      <c r="C582" s="47" t="s">
        <v>1285</v>
      </c>
      <c r="D582" s="47" t="s">
        <v>16</v>
      </c>
      <c r="E582" s="47" t="s">
        <v>36</v>
      </c>
      <c r="F582" s="47" t="s">
        <v>1286</v>
      </c>
      <c r="G582" s="47" t="s">
        <v>38</v>
      </c>
      <c r="H582" s="47" t="s">
        <v>39</v>
      </c>
      <c r="I582" s="47" t="s">
        <v>39</v>
      </c>
      <c r="J582" s="47" t="s">
        <v>32</v>
      </c>
      <c r="K582" s="59" t="s">
        <v>23</v>
      </c>
      <c r="L582" s="47" t="s">
        <v>65</v>
      </c>
      <c r="M582" s="47" t="s">
        <v>33</v>
      </c>
    </row>
    <row r="583" customHeight="1" spans="1:13">
      <c r="A583" s="47" t="s">
        <v>1287</v>
      </c>
      <c r="B583" s="47" t="s">
        <v>1274</v>
      </c>
      <c r="C583" s="47" t="s">
        <v>35</v>
      </c>
      <c r="D583" s="47" t="s">
        <v>16</v>
      </c>
      <c r="E583" s="47" t="s">
        <v>103</v>
      </c>
      <c r="F583" s="47" t="s">
        <v>37</v>
      </c>
      <c r="G583" s="47" t="s">
        <v>38</v>
      </c>
      <c r="H583" s="47" t="s">
        <v>77</v>
      </c>
      <c r="I583" s="47" t="s">
        <v>77</v>
      </c>
      <c r="J583" s="47" t="s">
        <v>32</v>
      </c>
      <c r="K583" s="47" t="s">
        <v>53</v>
      </c>
      <c r="L583" s="47" t="s">
        <v>54</v>
      </c>
      <c r="M583" s="47" t="s">
        <v>73</v>
      </c>
    </row>
    <row r="584" customHeight="1" spans="1:13">
      <c r="A584" s="47" t="s">
        <v>1288</v>
      </c>
      <c r="B584" s="47" t="s">
        <v>1274</v>
      </c>
      <c r="C584" s="47" t="s">
        <v>1289</v>
      </c>
      <c r="D584" s="47" t="s">
        <v>107</v>
      </c>
      <c r="E584" s="47" t="s">
        <v>103</v>
      </c>
      <c r="F584" s="47" t="s">
        <v>37</v>
      </c>
      <c r="G584" s="47" t="s">
        <v>38</v>
      </c>
      <c r="H584" s="47" t="s">
        <v>77</v>
      </c>
      <c r="I584" s="47" t="s">
        <v>596</v>
      </c>
      <c r="J584" s="47" t="s">
        <v>32</v>
      </c>
      <c r="K584" s="47" t="s">
        <v>143</v>
      </c>
      <c r="L584" s="47" t="s">
        <v>65</v>
      </c>
      <c r="M584" s="47" t="s">
        <v>40</v>
      </c>
    </row>
    <row r="585" customHeight="1" spans="1:13">
      <c r="A585" s="47" t="s">
        <v>1290</v>
      </c>
      <c r="B585" s="47" t="s">
        <v>1281</v>
      </c>
      <c r="C585" s="47" t="s">
        <v>1291</v>
      </c>
      <c r="D585" s="47" t="s">
        <v>16</v>
      </c>
      <c r="E585" s="47" t="s">
        <v>63</v>
      </c>
      <c r="F585" s="47" t="s">
        <v>18</v>
      </c>
      <c r="G585" s="47" t="s">
        <v>38</v>
      </c>
      <c r="H585" s="47" t="s">
        <v>64</v>
      </c>
      <c r="I585" s="47" t="s">
        <v>64</v>
      </c>
      <c r="J585" s="47" t="s">
        <v>68</v>
      </c>
      <c r="K585" s="47" t="s">
        <v>143</v>
      </c>
      <c r="L585" s="47" t="s">
        <v>65</v>
      </c>
      <c r="M585" s="47" t="s">
        <v>33</v>
      </c>
    </row>
    <row r="586" customHeight="1" spans="1:13">
      <c r="A586" s="47" t="s">
        <v>1292</v>
      </c>
      <c r="B586" s="47" t="s">
        <v>1293</v>
      </c>
      <c r="C586" s="47" t="s">
        <v>1294</v>
      </c>
      <c r="D586" s="47" t="s">
        <v>16</v>
      </c>
      <c r="E586" s="47" t="s">
        <v>27</v>
      </c>
      <c r="F586" s="59" t="s">
        <v>23</v>
      </c>
      <c r="G586" s="47" t="s">
        <v>38</v>
      </c>
      <c r="H586" s="47" t="s">
        <v>30</v>
      </c>
      <c r="I586" s="47" t="s">
        <v>30</v>
      </c>
      <c r="J586" s="47" t="s">
        <v>485</v>
      </c>
      <c r="K586" s="59" t="s">
        <v>23</v>
      </c>
      <c r="L586" s="47" t="s">
        <v>54</v>
      </c>
      <c r="M586" s="47" t="s">
        <v>24</v>
      </c>
    </row>
    <row r="587" customHeight="1" spans="1:13">
      <c r="A587" s="47" t="s">
        <v>1295</v>
      </c>
      <c r="B587" s="47" t="s">
        <v>1296</v>
      </c>
      <c r="C587" s="47" t="s">
        <v>1297</v>
      </c>
      <c r="D587" s="47" t="s">
        <v>16</v>
      </c>
      <c r="E587" s="47" t="s">
        <v>103</v>
      </c>
      <c r="F587" s="47" t="s">
        <v>37</v>
      </c>
      <c r="G587" s="47" t="s">
        <v>38</v>
      </c>
      <c r="H587" s="47" t="s">
        <v>77</v>
      </c>
      <c r="I587" s="47" t="s">
        <v>77</v>
      </c>
      <c r="J587" s="47" t="s">
        <v>32</v>
      </c>
      <c r="K587" s="59" t="s">
        <v>23</v>
      </c>
      <c r="L587" s="59" t="s">
        <v>23</v>
      </c>
      <c r="M587" s="47" t="s">
        <v>73</v>
      </c>
    </row>
    <row r="588" customHeight="1" spans="1:13">
      <c r="A588" s="47" t="s">
        <v>1298</v>
      </c>
      <c r="B588" s="47" t="s">
        <v>1296</v>
      </c>
      <c r="C588" s="47" t="s">
        <v>1299</v>
      </c>
      <c r="D588" s="47" t="s">
        <v>16</v>
      </c>
      <c r="E588" s="47" t="s">
        <v>36</v>
      </c>
      <c r="F588" s="47" t="s">
        <v>37</v>
      </c>
      <c r="G588" s="47" t="s">
        <v>38</v>
      </c>
      <c r="H588" s="47" t="s">
        <v>39</v>
      </c>
      <c r="I588" s="59" t="s">
        <v>23</v>
      </c>
      <c r="J588" s="47" t="s">
        <v>22</v>
      </c>
      <c r="K588" s="59" t="s">
        <v>23</v>
      </c>
      <c r="L588" s="59" t="s">
        <v>23</v>
      </c>
      <c r="M588" s="47" t="s">
        <v>24</v>
      </c>
    </row>
    <row r="589" customHeight="1" spans="1:13">
      <c r="A589" s="47" t="s">
        <v>1300</v>
      </c>
      <c r="B589" s="47" t="s">
        <v>1301</v>
      </c>
      <c r="C589" s="47" t="s">
        <v>1302</v>
      </c>
      <c r="D589" s="47" t="s">
        <v>16</v>
      </c>
      <c r="E589" s="47" t="s">
        <v>897</v>
      </c>
      <c r="F589" s="47" t="s">
        <v>37</v>
      </c>
      <c r="G589" s="47" t="s">
        <v>38</v>
      </c>
      <c r="H589" s="47" t="s">
        <v>77</v>
      </c>
      <c r="I589" s="47" t="s">
        <v>77</v>
      </c>
      <c r="J589" s="47" t="s">
        <v>32</v>
      </c>
      <c r="K589" s="59" t="s">
        <v>23</v>
      </c>
      <c r="L589" s="47" t="s">
        <v>54</v>
      </c>
      <c r="M589" s="47" t="s">
        <v>24</v>
      </c>
    </row>
    <row r="590" customHeight="1" spans="1:13">
      <c r="A590" s="47" t="s">
        <v>1303</v>
      </c>
      <c r="B590" s="47" t="s">
        <v>1296</v>
      </c>
      <c r="C590" s="47" t="s">
        <v>931</v>
      </c>
      <c r="D590" s="47" t="s">
        <v>107</v>
      </c>
      <c r="E590" s="47" t="s">
        <v>17</v>
      </c>
      <c r="F590" s="47" t="s">
        <v>18</v>
      </c>
      <c r="G590" s="47" t="s">
        <v>29</v>
      </c>
      <c r="H590" s="47" t="s">
        <v>20</v>
      </c>
      <c r="I590" s="47" t="s">
        <v>39</v>
      </c>
      <c r="J590" s="47" t="s">
        <v>32</v>
      </c>
      <c r="K590" s="59" t="s">
        <v>23</v>
      </c>
      <c r="L590" s="47" t="s">
        <v>29</v>
      </c>
      <c r="M590" s="47" t="s">
        <v>24</v>
      </c>
    </row>
    <row r="591" customHeight="1" spans="1:13">
      <c r="A591" s="47" t="s">
        <v>1304</v>
      </c>
      <c r="B591" s="47" t="s">
        <v>1305</v>
      </c>
      <c r="C591" s="47" t="s">
        <v>493</v>
      </c>
      <c r="D591" s="47" t="s">
        <v>16</v>
      </c>
      <c r="E591" s="47" t="s">
        <v>57</v>
      </c>
      <c r="F591" s="47" t="s">
        <v>28</v>
      </c>
      <c r="G591" s="47" t="s">
        <v>19</v>
      </c>
      <c r="H591" s="47" t="s">
        <v>58</v>
      </c>
      <c r="I591" s="47" t="s">
        <v>140</v>
      </c>
      <c r="J591" s="47" t="s">
        <v>22</v>
      </c>
      <c r="K591" s="59" t="s">
        <v>23</v>
      </c>
      <c r="L591" s="59" t="s">
        <v>23</v>
      </c>
      <c r="M591" s="47" t="s">
        <v>574</v>
      </c>
    </row>
    <row r="592" customHeight="1" spans="1:13">
      <c r="A592" s="47" t="s">
        <v>1306</v>
      </c>
      <c r="B592" s="47" t="s">
        <v>1307</v>
      </c>
      <c r="C592" s="47" t="s">
        <v>510</v>
      </c>
      <c r="D592" s="47" t="s">
        <v>134</v>
      </c>
      <c r="E592" s="47" t="s">
        <v>146</v>
      </c>
      <c r="F592" s="47" t="s">
        <v>28</v>
      </c>
      <c r="G592" s="47" t="s">
        <v>38</v>
      </c>
      <c r="H592" s="59" t="s">
        <v>23</v>
      </c>
      <c r="I592" s="47" t="s">
        <v>147</v>
      </c>
      <c r="J592" s="47" t="s">
        <v>22</v>
      </c>
      <c r="K592" s="59" t="s">
        <v>23</v>
      </c>
      <c r="L592" s="59" t="s">
        <v>23</v>
      </c>
      <c r="M592" s="47" t="s">
        <v>73</v>
      </c>
    </row>
    <row r="593" customHeight="1" spans="1:13">
      <c r="A593" s="47" t="s">
        <v>1308</v>
      </c>
      <c r="B593" s="47" t="s">
        <v>1309</v>
      </c>
      <c r="C593" s="47" t="s">
        <v>1310</v>
      </c>
      <c r="D593" s="47" t="s">
        <v>234</v>
      </c>
      <c r="E593" s="47" t="s">
        <v>165</v>
      </c>
      <c r="F593" s="47" t="s">
        <v>109</v>
      </c>
      <c r="G593" s="47" t="s">
        <v>38</v>
      </c>
      <c r="H593" s="47" t="s">
        <v>82</v>
      </c>
      <c r="I593" s="47" t="s">
        <v>82</v>
      </c>
      <c r="J593" s="47" t="s">
        <v>753</v>
      </c>
      <c r="K593" s="59" t="s">
        <v>23</v>
      </c>
      <c r="L593" s="59" t="s">
        <v>23</v>
      </c>
      <c r="M593" s="47" t="s">
        <v>73</v>
      </c>
    </row>
    <row r="594" customHeight="1" spans="1:13">
      <c r="A594" s="47" t="s">
        <v>1311</v>
      </c>
      <c r="B594" s="47" t="s">
        <v>1307</v>
      </c>
      <c r="C594" s="47" t="s">
        <v>287</v>
      </c>
      <c r="D594" s="47" t="s">
        <v>107</v>
      </c>
      <c r="E594" s="47" t="s">
        <v>63</v>
      </c>
      <c r="F594" s="47" t="s">
        <v>18</v>
      </c>
      <c r="G594" s="47" t="s">
        <v>38</v>
      </c>
      <c r="H594" s="47" t="s">
        <v>64</v>
      </c>
      <c r="I594" s="47" t="s">
        <v>644</v>
      </c>
      <c r="J594" s="47" t="s">
        <v>22</v>
      </c>
      <c r="K594" s="59" t="s">
        <v>23</v>
      </c>
      <c r="L594" s="59" t="s">
        <v>23</v>
      </c>
      <c r="M594" s="47" t="s">
        <v>33</v>
      </c>
    </row>
    <row r="595" customHeight="1" spans="1:13">
      <c r="A595" s="47" t="s">
        <v>1312</v>
      </c>
      <c r="B595" s="47" t="s">
        <v>1307</v>
      </c>
      <c r="C595" s="47" t="s">
        <v>331</v>
      </c>
      <c r="D595" s="47" t="s">
        <v>16</v>
      </c>
      <c r="E595" s="47" t="s">
        <v>50</v>
      </c>
      <c r="F595" s="47" t="s">
        <v>28</v>
      </c>
      <c r="G595" s="47" t="s">
        <v>38</v>
      </c>
      <c r="H595" s="47" t="s">
        <v>347</v>
      </c>
      <c r="I595" s="47" t="s">
        <v>52</v>
      </c>
      <c r="J595" s="47" t="s">
        <v>32</v>
      </c>
      <c r="K595" s="59" t="s">
        <v>23</v>
      </c>
      <c r="L595" s="59" t="s">
        <v>23</v>
      </c>
      <c r="M595" s="47" t="s">
        <v>33</v>
      </c>
    </row>
    <row r="596" customHeight="1" spans="1:13">
      <c r="A596" s="47" t="s">
        <v>1313</v>
      </c>
      <c r="B596" s="47" t="s">
        <v>1309</v>
      </c>
      <c r="C596" s="47" t="s">
        <v>1314</v>
      </c>
      <c r="D596" s="47" t="s">
        <v>43</v>
      </c>
      <c r="E596" s="47" t="s">
        <v>50</v>
      </c>
      <c r="F596" s="47" t="s">
        <v>28</v>
      </c>
      <c r="G596" s="47" t="s">
        <v>38</v>
      </c>
      <c r="H596" s="47" t="s">
        <v>52</v>
      </c>
      <c r="I596" s="47" t="s">
        <v>52</v>
      </c>
      <c r="J596" s="47" t="s">
        <v>32</v>
      </c>
      <c r="K596" s="59" t="s">
        <v>23</v>
      </c>
      <c r="L596" s="47" t="s">
        <v>65</v>
      </c>
      <c r="M596" s="47" t="s">
        <v>73</v>
      </c>
    </row>
    <row r="597" customHeight="1" spans="1:13">
      <c r="A597" s="47" t="s">
        <v>1313</v>
      </c>
      <c r="B597" s="47" t="s">
        <v>1307</v>
      </c>
      <c r="C597" s="47" t="s">
        <v>1314</v>
      </c>
      <c r="D597" s="47" t="s">
        <v>43</v>
      </c>
      <c r="E597" s="47" t="s">
        <v>50</v>
      </c>
      <c r="F597" s="59" t="s">
        <v>23</v>
      </c>
      <c r="G597" s="47" t="s">
        <v>38</v>
      </c>
      <c r="H597" s="47" t="s">
        <v>52</v>
      </c>
      <c r="I597" s="47" t="s">
        <v>52</v>
      </c>
      <c r="J597" s="47" t="s">
        <v>32</v>
      </c>
      <c r="K597" s="59" t="s">
        <v>23</v>
      </c>
      <c r="L597" s="47" t="s">
        <v>65</v>
      </c>
      <c r="M597" s="47" t="s">
        <v>73</v>
      </c>
    </row>
    <row r="598" customHeight="1" spans="1:13">
      <c r="A598" s="47" t="s">
        <v>1315</v>
      </c>
      <c r="B598" s="47" t="s">
        <v>1316</v>
      </c>
      <c r="C598" s="47" t="s">
        <v>1317</v>
      </c>
      <c r="D598" s="47" t="s">
        <v>213</v>
      </c>
      <c r="E598" s="47" t="s">
        <v>161</v>
      </c>
      <c r="F598" s="47" t="s">
        <v>18</v>
      </c>
      <c r="G598" s="47" t="s">
        <v>38</v>
      </c>
      <c r="H598" s="47" t="s">
        <v>64</v>
      </c>
      <c r="I598" s="47" t="s">
        <v>1079</v>
      </c>
      <c r="J598" s="47" t="s">
        <v>22</v>
      </c>
      <c r="K598" s="47" t="s">
        <v>143</v>
      </c>
      <c r="L598" s="59" t="s">
        <v>23</v>
      </c>
      <c r="M598" s="47" t="s">
        <v>292</v>
      </c>
    </row>
    <row r="599" customHeight="1" spans="1:13">
      <c r="A599" s="47" t="s">
        <v>1318</v>
      </c>
      <c r="B599" s="47" t="s">
        <v>1316</v>
      </c>
      <c r="C599" s="47" t="s">
        <v>1319</v>
      </c>
      <c r="D599" s="47" t="s">
        <v>16</v>
      </c>
      <c r="E599" s="47" t="s">
        <v>17</v>
      </c>
      <c r="F599" s="59" t="s">
        <v>23</v>
      </c>
      <c r="G599" s="47" t="s">
        <v>19</v>
      </c>
      <c r="H599" s="47" t="s">
        <v>20</v>
      </c>
      <c r="I599" s="47" t="s">
        <v>742</v>
      </c>
      <c r="J599" s="47" t="s">
        <v>22</v>
      </c>
      <c r="K599" s="47" t="s">
        <v>53</v>
      </c>
      <c r="L599" s="47" t="s">
        <v>65</v>
      </c>
      <c r="M599" s="47" t="s">
        <v>73</v>
      </c>
    </row>
    <row r="600" customHeight="1" spans="1:13">
      <c r="A600" s="47" t="s">
        <v>1320</v>
      </c>
      <c r="B600" s="47" t="s">
        <v>1316</v>
      </c>
      <c r="C600" s="47" t="s">
        <v>562</v>
      </c>
      <c r="D600" s="47" t="s">
        <v>86</v>
      </c>
      <c r="E600" s="47" t="s">
        <v>50</v>
      </c>
      <c r="F600" s="47" t="s">
        <v>28</v>
      </c>
      <c r="G600" s="47" t="s">
        <v>38</v>
      </c>
      <c r="H600" s="47" t="s">
        <v>52</v>
      </c>
      <c r="I600" s="47" t="s">
        <v>52</v>
      </c>
      <c r="J600" s="47" t="s">
        <v>22</v>
      </c>
      <c r="K600" s="59" t="s">
        <v>23</v>
      </c>
      <c r="L600" s="47" t="s">
        <v>65</v>
      </c>
      <c r="M600" s="47" t="s">
        <v>24</v>
      </c>
    </row>
    <row r="601" customHeight="1" spans="1:13">
      <c r="A601" s="47" t="s">
        <v>1321</v>
      </c>
      <c r="B601" s="47" t="s">
        <v>1322</v>
      </c>
      <c r="C601" s="47" t="s">
        <v>524</v>
      </c>
      <c r="D601" s="47" t="s">
        <v>16</v>
      </c>
      <c r="E601" s="47" t="s">
        <v>103</v>
      </c>
      <c r="F601" s="59" t="s">
        <v>23</v>
      </c>
      <c r="G601" s="47" t="s">
        <v>38</v>
      </c>
      <c r="H601" s="47" t="s">
        <v>77</v>
      </c>
      <c r="I601" s="47" t="s">
        <v>77</v>
      </c>
      <c r="J601" s="47" t="s">
        <v>22</v>
      </c>
      <c r="K601" s="59" t="s">
        <v>23</v>
      </c>
      <c r="L601" s="47" t="s">
        <v>65</v>
      </c>
      <c r="M601" s="47" t="s">
        <v>33</v>
      </c>
    </row>
    <row r="602" customHeight="1" spans="1:13">
      <c r="A602" s="47" t="s">
        <v>1323</v>
      </c>
      <c r="B602" s="47" t="s">
        <v>1316</v>
      </c>
      <c r="C602" s="47" t="s">
        <v>752</v>
      </c>
      <c r="D602" s="47" t="s">
        <v>16</v>
      </c>
      <c r="E602" s="47" t="s">
        <v>95</v>
      </c>
      <c r="F602" s="47" t="s">
        <v>45</v>
      </c>
      <c r="G602" s="47" t="s">
        <v>38</v>
      </c>
      <c r="H602" s="47" t="s">
        <v>77</v>
      </c>
      <c r="I602" s="47" t="s">
        <v>77</v>
      </c>
      <c r="J602" s="47" t="s">
        <v>22</v>
      </c>
      <c r="K602" s="59" t="s">
        <v>23</v>
      </c>
      <c r="L602" s="59" t="s">
        <v>23</v>
      </c>
      <c r="M602" s="47" t="s">
        <v>33</v>
      </c>
    </row>
    <row r="603" customHeight="1" spans="1:13">
      <c r="A603" s="47" t="s">
        <v>1324</v>
      </c>
      <c r="B603" s="47" t="s">
        <v>1316</v>
      </c>
      <c r="C603" s="47" t="s">
        <v>150</v>
      </c>
      <c r="D603" s="47" t="s">
        <v>854</v>
      </c>
      <c r="E603" s="47" t="s">
        <v>17</v>
      </c>
      <c r="F603" s="47" t="s">
        <v>18</v>
      </c>
      <c r="G603" s="47" t="s">
        <v>19</v>
      </c>
      <c r="H603" s="47" t="s">
        <v>20</v>
      </c>
      <c r="I603" s="47" t="s">
        <v>21</v>
      </c>
      <c r="J603" s="47" t="s">
        <v>22</v>
      </c>
      <c r="K603" s="59" t="s">
        <v>23</v>
      </c>
      <c r="L603" s="47" t="s">
        <v>29</v>
      </c>
      <c r="M603" s="47" t="s">
        <v>40</v>
      </c>
    </row>
    <row r="604" customHeight="1" spans="1:13">
      <c r="A604" s="47" t="s">
        <v>1325</v>
      </c>
      <c r="B604" s="47" t="s">
        <v>1326</v>
      </c>
      <c r="C604" s="47" t="s">
        <v>607</v>
      </c>
      <c r="D604" s="47" t="s">
        <v>16</v>
      </c>
      <c r="E604" s="47" t="s">
        <v>57</v>
      </c>
      <c r="F604" s="47" t="s">
        <v>28</v>
      </c>
      <c r="G604" s="47" t="s">
        <v>38</v>
      </c>
      <c r="H604" s="47" t="s">
        <v>58</v>
      </c>
      <c r="I604" s="47" t="s">
        <v>58</v>
      </c>
      <c r="J604" s="47" t="s">
        <v>22</v>
      </c>
      <c r="K604" s="59" t="s">
        <v>23</v>
      </c>
      <c r="L604" s="59" t="s">
        <v>23</v>
      </c>
      <c r="M604" s="47" t="s">
        <v>292</v>
      </c>
    </row>
    <row r="605" customHeight="1" spans="1:13">
      <c r="A605" s="47" t="s">
        <v>1327</v>
      </c>
      <c r="B605" s="47" t="s">
        <v>1316</v>
      </c>
      <c r="C605" s="47" t="s">
        <v>1328</v>
      </c>
      <c r="D605" s="47" t="s">
        <v>43</v>
      </c>
      <c r="E605" s="47" t="s">
        <v>647</v>
      </c>
      <c r="F605" s="47" t="s">
        <v>45</v>
      </c>
      <c r="G605" s="47" t="s">
        <v>38</v>
      </c>
      <c r="H605" s="47" t="s">
        <v>227</v>
      </c>
      <c r="I605" s="47" t="s">
        <v>227</v>
      </c>
      <c r="J605" s="47" t="s">
        <v>22</v>
      </c>
      <c r="K605" s="59" t="s">
        <v>23</v>
      </c>
      <c r="L605" s="59" t="s">
        <v>23</v>
      </c>
      <c r="M605" s="47" t="s">
        <v>40</v>
      </c>
    </row>
    <row r="606" customHeight="1" spans="1:13">
      <c r="A606" s="47" t="s">
        <v>1329</v>
      </c>
      <c r="B606" s="47" t="s">
        <v>1316</v>
      </c>
      <c r="C606" s="47" t="s">
        <v>1330</v>
      </c>
      <c r="D606" s="47" t="s">
        <v>137</v>
      </c>
      <c r="E606" s="47" t="s">
        <v>146</v>
      </c>
      <c r="F606" s="47" t="s">
        <v>28</v>
      </c>
      <c r="G606" s="47" t="s">
        <v>38</v>
      </c>
      <c r="H606" s="47" t="s">
        <v>147</v>
      </c>
      <c r="I606" s="47" t="s">
        <v>608</v>
      </c>
      <c r="J606" s="47" t="s">
        <v>127</v>
      </c>
      <c r="K606" s="47" t="s">
        <v>53</v>
      </c>
      <c r="L606" s="47" t="s">
        <v>65</v>
      </c>
      <c r="M606" s="47" t="s">
        <v>73</v>
      </c>
    </row>
    <row r="607" customHeight="1" spans="1:13">
      <c r="A607" s="47" t="s">
        <v>1331</v>
      </c>
      <c r="B607" s="47" t="s">
        <v>1332</v>
      </c>
      <c r="C607" s="47" t="s">
        <v>1333</v>
      </c>
      <c r="D607" s="47" t="s">
        <v>107</v>
      </c>
      <c r="E607" s="47" t="s">
        <v>81</v>
      </c>
      <c r="F607" s="47" t="s">
        <v>37</v>
      </c>
      <c r="G607" s="47" t="s">
        <v>38</v>
      </c>
      <c r="H607" s="47" t="s">
        <v>82</v>
      </c>
      <c r="I607" s="47" t="s">
        <v>82</v>
      </c>
      <c r="J607" s="47" t="s">
        <v>22</v>
      </c>
      <c r="K607" s="59" t="s">
        <v>23</v>
      </c>
      <c r="L607" s="59" t="s">
        <v>23</v>
      </c>
      <c r="M607" s="47" t="s">
        <v>574</v>
      </c>
    </row>
    <row r="608" customHeight="1" spans="1:13">
      <c r="A608" s="47" t="s">
        <v>1331</v>
      </c>
      <c r="B608" s="47" t="s">
        <v>1334</v>
      </c>
      <c r="C608" s="47" t="s">
        <v>1333</v>
      </c>
      <c r="D608" s="47" t="s">
        <v>107</v>
      </c>
      <c r="E608" s="47" t="s">
        <v>81</v>
      </c>
      <c r="F608" s="47" t="s">
        <v>37</v>
      </c>
      <c r="G608" s="47" t="s">
        <v>38</v>
      </c>
      <c r="H608" s="47" t="s">
        <v>82</v>
      </c>
      <c r="I608" s="47" t="s">
        <v>82</v>
      </c>
      <c r="J608" s="47" t="s">
        <v>22</v>
      </c>
      <c r="K608" s="59" t="s">
        <v>23</v>
      </c>
      <c r="L608" s="59" t="s">
        <v>23</v>
      </c>
      <c r="M608" s="47" t="s">
        <v>40</v>
      </c>
    </row>
    <row r="609" customHeight="1" spans="1:13">
      <c r="A609" s="47" t="s">
        <v>1335</v>
      </c>
      <c r="B609" s="47" t="s">
        <v>1332</v>
      </c>
      <c r="C609" s="47" t="s">
        <v>956</v>
      </c>
      <c r="D609" s="47" t="s">
        <v>16</v>
      </c>
      <c r="E609" s="47" t="s">
        <v>89</v>
      </c>
      <c r="F609" s="47" t="s">
        <v>28</v>
      </c>
      <c r="G609" s="47" t="s">
        <v>38</v>
      </c>
      <c r="H609" s="47" t="s">
        <v>30</v>
      </c>
      <c r="I609" s="47" t="s">
        <v>30</v>
      </c>
      <c r="J609" s="47" t="s">
        <v>22</v>
      </c>
      <c r="K609" s="59" t="s">
        <v>23</v>
      </c>
      <c r="L609" s="47" t="s">
        <v>54</v>
      </c>
      <c r="M609" s="47" t="s">
        <v>47</v>
      </c>
    </row>
    <row r="610" customHeight="1" spans="1:13">
      <c r="A610" s="47" t="s">
        <v>1336</v>
      </c>
      <c r="B610" s="47" t="s">
        <v>1337</v>
      </c>
      <c r="C610" s="47" t="s">
        <v>1338</v>
      </c>
      <c r="D610" s="47" t="s">
        <v>43</v>
      </c>
      <c r="E610" s="47" t="s">
        <v>44</v>
      </c>
      <c r="F610" s="47" t="s">
        <v>45</v>
      </c>
      <c r="G610" s="47" t="s">
        <v>19</v>
      </c>
      <c r="H610" s="47" t="s">
        <v>46</v>
      </c>
      <c r="I610" s="47" t="s">
        <v>114</v>
      </c>
      <c r="J610" s="47" t="s">
        <v>22</v>
      </c>
      <c r="K610" s="59" t="s">
        <v>23</v>
      </c>
      <c r="L610" s="47" t="s">
        <v>54</v>
      </c>
      <c r="M610" s="47" t="s">
        <v>33</v>
      </c>
    </row>
    <row r="611" customHeight="1" spans="1:13">
      <c r="A611" s="47" t="s">
        <v>1339</v>
      </c>
      <c r="B611" s="47" t="s">
        <v>1337</v>
      </c>
      <c r="C611" s="47" t="s">
        <v>559</v>
      </c>
      <c r="D611" s="47" t="s">
        <v>107</v>
      </c>
      <c r="E611" s="47" t="s">
        <v>63</v>
      </c>
      <c r="F611" s="47" t="s">
        <v>18</v>
      </c>
      <c r="G611" s="47" t="s">
        <v>38</v>
      </c>
      <c r="H611" s="47" t="s">
        <v>64</v>
      </c>
      <c r="I611" s="47" t="s">
        <v>64</v>
      </c>
      <c r="J611" s="47" t="s">
        <v>32</v>
      </c>
      <c r="K611" s="59" t="s">
        <v>23</v>
      </c>
      <c r="L611" s="47" t="s">
        <v>65</v>
      </c>
      <c r="M611" s="47" t="s">
        <v>358</v>
      </c>
    </row>
    <row r="612" customHeight="1" spans="1:13">
      <c r="A612" s="47" t="s">
        <v>1339</v>
      </c>
      <c r="B612" s="47" t="s">
        <v>1337</v>
      </c>
      <c r="C612" s="47" t="s">
        <v>559</v>
      </c>
      <c r="D612" s="47" t="s">
        <v>107</v>
      </c>
      <c r="E612" s="47" t="s">
        <v>63</v>
      </c>
      <c r="F612" s="47" t="s">
        <v>18</v>
      </c>
      <c r="G612" s="47" t="s">
        <v>38</v>
      </c>
      <c r="H612" s="47" t="s">
        <v>64</v>
      </c>
      <c r="I612" s="47" t="s">
        <v>64</v>
      </c>
      <c r="J612" s="47" t="s">
        <v>32</v>
      </c>
      <c r="K612" s="59" t="s">
        <v>23</v>
      </c>
      <c r="L612" s="47" t="s">
        <v>65</v>
      </c>
      <c r="M612" s="47" t="s">
        <v>47</v>
      </c>
    </row>
    <row r="613" customHeight="1" spans="1:13">
      <c r="A613" s="47" t="s">
        <v>1340</v>
      </c>
      <c r="B613" s="47" t="s">
        <v>1337</v>
      </c>
      <c r="C613" s="47" t="s">
        <v>1341</v>
      </c>
      <c r="D613" s="47" t="s">
        <v>16</v>
      </c>
      <c r="E613" s="47" t="s">
        <v>367</v>
      </c>
      <c r="F613" s="47" t="s">
        <v>109</v>
      </c>
      <c r="G613" s="47" t="s">
        <v>19</v>
      </c>
      <c r="H613" s="47" t="s">
        <v>110</v>
      </c>
      <c r="I613" s="47" t="s">
        <v>357</v>
      </c>
      <c r="J613" s="47" t="s">
        <v>22</v>
      </c>
      <c r="K613" s="47" t="s">
        <v>143</v>
      </c>
      <c r="L613" s="59" t="s">
        <v>23</v>
      </c>
      <c r="M613" s="47" t="s">
        <v>47</v>
      </c>
    </row>
    <row r="614" customHeight="1" spans="1:13">
      <c r="A614" s="47" t="s">
        <v>1342</v>
      </c>
      <c r="B614" s="47" t="s">
        <v>1337</v>
      </c>
      <c r="C614" s="47" t="s">
        <v>1343</v>
      </c>
      <c r="D614" s="47" t="s">
        <v>16</v>
      </c>
      <c r="E614" s="47" t="s">
        <v>81</v>
      </c>
      <c r="F614" s="47" t="s">
        <v>37</v>
      </c>
      <c r="G614" s="47" t="s">
        <v>38</v>
      </c>
      <c r="H614" s="47" t="s">
        <v>82</v>
      </c>
      <c r="I614" s="47" t="s">
        <v>1148</v>
      </c>
      <c r="J614" s="47" t="s">
        <v>32</v>
      </c>
      <c r="K614" s="47" t="s">
        <v>53</v>
      </c>
      <c r="L614" s="59" t="s">
        <v>23</v>
      </c>
      <c r="M614" s="47" t="s">
        <v>73</v>
      </c>
    </row>
    <row r="615" customHeight="1" spans="1:13">
      <c r="A615" s="47" t="s">
        <v>1344</v>
      </c>
      <c r="B615" s="47" t="s">
        <v>1337</v>
      </c>
      <c r="C615" s="47" t="s">
        <v>576</v>
      </c>
      <c r="D615" s="47" t="s">
        <v>16</v>
      </c>
      <c r="E615" s="47" t="s">
        <v>367</v>
      </c>
      <c r="F615" s="47" t="s">
        <v>109</v>
      </c>
      <c r="G615" s="47" t="s">
        <v>38</v>
      </c>
      <c r="H615" s="47" t="s">
        <v>110</v>
      </c>
      <c r="I615" s="47" t="s">
        <v>110</v>
      </c>
      <c r="J615" s="47" t="s">
        <v>22</v>
      </c>
      <c r="K615" s="59" t="s">
        <v>23</v>
      </c>
      <c r="L615" s="47" t="s">
        <v>65</v>
      </c>
      <c r="M615" s="47" t="s">
        <v>33</v>
      </c>
    </row>
    <row r="616" customHeight="1" spans="1:13">
      <c r="A616" s="47" t="s">
        <v>1345</v>
      </c>
      <c r="B616" s="47" t="s">
        <v>1346</v>
      </c>
      <c r="C616" s="47" t="s">
        <v>349</v>
      </c>
      <c r="D616" s="47" t="s">
        <v>16</v>
      </c>
      <c r="E616" s="47" t="s">
        <v>95</v>
      </c>
      <c r="F616" s="47" t="s">
        <v>45</v>
      </c>
      <c r="G616" s="47" t="s">
        <v>38</v>
      </c>
      <c r="H616" s="47" t="s">
        <v>77</v>
      </c>
      <c r="I616" s="47" t="s">
        <v>77</v>
      </c>
      <c r="J616" s="47" t="s">
        <v>22</v>
      </c>
      <c r="K616" s="59" t="s">
        <v>23</v>
      </c>
      <c r="L616" s="59" t="s">
        <v>23</v>
      </c>
      <c r="M616" s="47" t="s">
        <v>33</v>
      </c>
    </row>
    <row r="617" customHeight="1" spans="1:13">
      <c r="A617" s="47" t="s">
        <v>1347</v>
      </c>
      <c r="B617" s="47" t="s">
        <v>1348</v>
      </c>
      <c r="C617" s="47" t="s">
        <v>1192</v>
      </c>
      <c r="D617" s="47" t="s">
        <v>43</v>
      </c>
      <c r="E617" s="47" t="s">
        <v>57</v>
      </c>
      <c r="F617" s="47" t="s">
        <v>28</v>
      </c>
      <c r="G617" s="47" t="s">
        <v>19</v>
      </c>
      <c r="H617" s="47" t="s">
        <v>58</v>
      </c>
      <c r="I617" s="47" t="s">
        <v>140</v>
      </c>
      <c r="J617" s="47" t="s">
        <v>22</v>
      </c>
      <c r="K617" s="59" t="s">
        <v>23</v>
      </c>
      <c r="L617" s="59" t="s">
        <v>23</v>
      </c>
      <c r="M617" s="47" t="s">
        <v>24</v>
      </c>
    </row>
    <row r="618" customHeight="1" spans="1:13">
      <c r="A618" s="47" t="s">
        <v>1349</v>
      </c>
      <c r="B618" s="47" t="s">
        <v>1350</v>
      </c>
      <c r="C618" s="47" t="s">
        <v>1351</v>
      </c>
      <c r="D618" s="47" t="s">
        <v>16</v>
      </c>
      <c r="E618" s="47" t="s">
        <v>103</v>
      </c>
      <c r="F618" s="47" t="s">
        <v>37</v>
      </c>
      <c r="G618" s="47" t="s">
        <v>38</v>
      </c>
      <c r="H618" s="47" t="s">
        <v>77</v>
      </c>
      <c r="I618" s="47" t="s">
        <v>77</v>
      </c>
      <c r="J618" s="47" t="s">
        <v>22</v>
      </c>
      <c r="K618" s="59" t="s">
        <v>23</v>
      </c>
      <c r="L618" s="47" t="s">
        <v>54</v>
      </c>
      <c r="M618" s="47" t="s">
        <v>40</v>
      </c>
    </row>
    <row r="619" customHeight="1" spans="1:13">
      <c r="A619" s="47" t="s">
        <v>1352</v>
      </c>
      <c r="B619" s="47" t="s">
        <v>1337</v>
      </c>
      <c r="C619" s="47" t="s">
        <v>1353</v>
      </c>
      <c r="D619" s="47" t="s">
        <v>16</v>
      </c>
      <c r="E619" s="47" t="s">
        <v>17</v>
      </c>
      <c r="F619" s="47" t="s">
        <v>18</v>
      </c>
      <c r="G619" s="47" t="s">
        <v>19</v>
      </c>
      <c r="H619" s="47" t="s">
        <v>20</v>
      </c>
      <c r="I619" s="47" t="s">
        <v>21</v>
      </c>
      <c r="J619" s="47" t="s">
        <v>22</v>
      </c>
      <c r="K619" s="59" t="s">
        <v>23</v>
      </c>
      <c r="L619" s="59" t="s">
        <v>23</v>
      </c>
      <c r="M619" s="47" t="s">
        <v>99</v>
      </c>
    </row>
    <row r="620" customHeight="1" spans="1:13">
      <c r="A620" s="47" t="s">
        <v>1354</v>
      </c>
      <c r="B620" s="47" t="s">
        <v>1355</v>
      </c>
      <c r="C620" s="47" t="s">
        <v>1356</v>
      </c>
      <c r="D620" s="47" t="s">
        <v>43</v>
      </c>
      <c r="E620" s="47" t="s">
        <v>95</v>
      </c>
      <c r="F620" s="47" t="s">
        <v>45</v>
      </c>
      <c r="G620" s="59" t="s">
        <v>23</v>
      </c>
      <c r="H620" s="47" t="s">
        <v>77</v>
      </c>
      <c r="I620" s="47" t="s">
        <v>77</v>
      </c>
      <c r="J620" s="47" t="s">
        <v>22</v>
      </c>
      <c r="K620" s="59" t="s">
        <v>23</v>
      </c>
      <c r="L620" s="47" t="s">
        <v>65</v>
      </c>
      <c r="M620" s="47" t="s">
        <v>47</v>
      </c>
    </row>
    <row r="621" customHeight="1" spans="1:13">
      <c r="A621" s="47" t="s">
        <v>1357</v>
      </c>
      <c r="B621" s="47" t="s">
        <v>1358</v>
      </c>
      <c r="C621" s="47" t="s">
        <v>1359</v>
      </c>
      <c r="D621" s="47" t="s">
        <v>16</v>
      </c>
      <c r="E621" s="47" t="s">
        <v>63</v>
      </c>
      <c r="F621" s="47" t="s">
        <v>18</v>
      </c>
      <c r="G621" s="47" t="s">
        <v>38</v>
      </c>
      <c r="H621" s="47" t="s">
        <v>64</v>
      </c>
      <c r="I621" s="47" t="s">
        <v>64</v>
      </c>
      <c r="J621" s="47" t="s">
        <v>22</v>
      </c>
      <c r="K621" s="59" t="s">
        <v>23</v>
      </c>
      <c r="L621" s="59" t="s">
        <v>23</v>
      </c>
      <c r="M621" s="47" t="s">
        <v>33</v>
      </c>
    </row>
    <row r="622" customHeight="1" spans="1:13">
      <c r="A622" s="47" t="s">
        <v>1360</v>
      </c>
      <c r="B622" s="47" t="s">
        <v>1361</v>
      </c>
      <c r="C622" s="47" t="s">
        <v>1164</v>
      </c>
      <c r="D622" s="47" t="s">
        <v>16</v>
      </c>
      <c r="E622" s="47" t="s">
        <v>146</v>
      </c>
      <c r="F622" s="47" t="s">
        <v>28</v>
      </c>
      <c r="G622" s="47" t="s">
        <v>38</v>
      </c>
      <c r="H622" s="47" t="s">
        <v>147</v>
      </c>
      <c r="I622" s="47" t="s">
        <v>147</v>
      </c>
      <c r="J622" s="47" t="s">
        <v>22</v>
      </c>
      <c r="K622" s="59" t="s">
        <v>23</v>
      </c>
      <c r="L622" s="47" t="s">
        <v>54</v>
      </c>
      <c r="M622" s="47" t="s">
        <v>73</v>
      </c>
    </row>
    <row r="623" customHeight="1" spans="1:13">
      <c r="A623" s="47" t="s">
        <v>1362</v>
      </c>
      <c r="B623" s="47" t="s">
        <v>1355</v>
      </c>
      <c r="C623" s="47" t="s">
        <v>1363</v>
      </c>
      <c r="D623" s="47" t="s">
        <v>16</v>
      </c>
      <c r="E623" s="47" t="s">
        <v>63</v>
      </c>
      <c r="F623" s="47" t="s">
        <v>18</v>
      </c>
      <c r="G623" s="47" t="s">
        <v>19</v>
      </c>
      <c r="H623" s="47" t="s">
        <v>64</v>
      </c>
      <c r="I623" s="47" t="s">
        <v>39</v>
      </c>
      <c r="J623" s="47" t="s">
        <v>22</v>
      </c>
      <c r="K623" s="59" t="s">
        <v>23</v>
      </c>
      <c r="L623" s="59" t="s">
        <v>23</v>
      </c>
      <c r="M623" s="47" t="s">
        <v>490</v>
      </c>
    </row>
    <row r="624" customHeight="1" spans="1:13">
      <c r="A624" s="47" t="s">
        <v>1364</v>
      </c>
      <c r="B624" s="47" t="s">
        <v>1355</v>
      </c>
      <c r="C624" s="47" t="s">
        <v>1004</v>
      </c>
      <c r="D624" s="47" t="s">
        <v>16</v>
      </c>
      <c r="E624" s="47" t="s">
        <v>44</v>
      </c>
      <c r="F624" s="47" t="s">
        <v>45</v>
      </c>
      <c r="G624" s="47" t="s">
        <v>38</v>
      </c>
      <c r="H624" s="47" t="s">
        <v>46</v>
      </c>
      <c r="I624" s="47" t="s">
        <v>46</v>
      </c>
      <c r="J624" s="47" t="s">
        <v>22</v>
      </c>
      <c r="K624" s="59" t="s">
        <v>23</v>
      </c>
      <c r="L624" s="47" t="s">
        <v>65</v>
      </c>
      <c r="M624" s="47" t="s">
        <v>24</v>
      </c>
    </row>
    <row r="625" customHeight="1" spans="1:13">
      <c r="A625" s="47" t="s">
        <v>1365</v>
      </c>
      <c r="B625" s="47" t="s">
        <v>1355</v>
      </c>
      <c r="C625" s="47" t="s">
        <v>1366</v>
      </c>
      <c r="D625" s="47" t="s">
        <v>16</v>
      </c>
      <c r="E625" s="47" t="s">
        <v>267</v>
      </c>
      <c r="F625" s="47" t="s">
        <v>18</v>
      </c>
      <c r="G625" s="47" t="s">
        <v>38</v>
      </c>
      <c r="H625" s="47" t="s">
        <v>64</v>
      </c>
      <c r="I625" s="47" t="s">
        <v>64</v>
      </c>
      <c r="J625" s="47" t="s">
        <v>22</v>
      </c>
      <c r="K625" s="59" t="s">
        <v>23</v>
      </c>
      <c r="L625" s="59" t="s">
        <v>23</v>
      </c>
      <c r="M625" s="47" t="s">
        <v>24</v>
      </c>
    </row>
    <row r="626" customHeight="1" spans="1:13">
      <c r="A626" s="47" t="s">
        <v>1367</v>
      </c>
      <c r="B626" s="47" t="s">
        <v>1355</v>
      </c>
      <c r="C626" s="47" t="s">
        <v>1028</v>
      </c>
      <c r="D626" s="47" t="s">
        <v>107</v>
      </c>
      <c r="E626" s="47" t="s">
        <v>146</v>
      </c>
      <c r="F626" s="47" t="s">
        <v>28</v>
      </c>
      <c r="G626" s="47" t="s">
        <v>38</v>
      </c>
      <c r="H626" s="47" t="s">
        <v>147</v>
      </c>
      <c r="I626" s="47" t="s">
        <v>147</v>
      </c>
      <c r="J626" s="47" t="s">
        <v>32</v>
      </c>
      <c r="K626" s="59" t="s">
        <v>23</v>
      </c>
      <c r="L626" s="59" t="s">
        <v>23</v>
      </c>
      <c r="M626" s="47" t="s">
        <v>73</v>
      </c>
    </row>
    <row r="627" customHeight="1" spans="1:13">
      <c r="A627" s="47" t="s">
        <v>1368</v>
      </c>
      <c r="B627" s="47" t="s">
        <v>1358</v>
      </c>
      <c r="C627" s="47" t="s">
        <v>212</v>
      </c>
      <c r="D627" s="47" t="s">
        <v>1369</v>
      </c>
      <c r="E627" s="47" t="s">
        <v>57</v>
      </c>
      <c r="F627" s="47" t="s">
        <v>28</v>
      </c>
      <c r="G627" s="59" t="s">
        <v>23</v>
      </c>
      <c r="H627" s="47" t="s">
        <v>58</v>
      </c>
      <c r="I627" s="47" t="s">
        <v>1370</v>
      </c>
      <c r="J627" s="47" t="s">
        <v>32</v>
      </c>
      <c r="K627" s="47" t="s">
        <v>143</v>
      </c>
      <c r="L627" s="59" t="s">
        <v>23</v>
      </c>
      <c r="M627" s="47" t="s">
        <v>33</v>
      </c>
    </row>
    <row r="628" customHeight="1" spans="1:13">
      <c r="A628" s="47" t="s">
        <v>1371</v>
      </c>
      <c r="B628" s="47" t="s">
        <v>1361</v>
      </c>
      <c r="C628" s="47" t="s">
        <v>1127</v>
      </c>
      <c r="D628" s="47" t="s">
        <v>107</v>
      </c>
      <c r="E628" s="47" t="s">
        <v>367</v>
      </c>
      <c r="F628" s="47" t="s">
        <v>109</v>
      </c>
      <c r="G628" s="47" t="s">
        <v>38</v>
      </c>
      <c r="H628" s="47" t="s">
        <v>110</v>
      </c>
      <c r="I628" s="59" t="s">
        <v>23</v>
      </c>
      <c r="J628" s="47" t="s">
        <v>32</v>
      </c>
      <c r="K628" s="47" t="s">
        <v>53</v>
      </c>
      <c r="L628" s="47" t="s">
        <v>54</v>
      </c>
      <c r="M628" s="47" t="s">
        <v>24</v>
      </c>
    </row>
    <row r="629" customHeight="1" spans="1:13">
      <c r="A629" s="47" t="s">
        <v>1372</v>
      </c>
      <c r="B629" s="47" t="s">
        <v>1355</v>
      </c>
      <c r="C629" s="47" t="s">
        <v>1373</v>
      </c>
      <c r="D629" s="47" t="s">
        <v>16</v>
      </c>
      <c r="E629" s="47" t="s">
        <v>1082</v>
      </c>
      <c r="F629" s="47" t="s">
        <v>28</v>
      </c>
      <c r="G629" s="47" t="s">
        <v>38</v>
      </c>
      <c r="H629" s="47" t="s">
        <v>30</v>
      </c>
      <c r="I629" s="47" t="s">
        <v>30</v>
      </c>
      <c r="J629" s="47" t="s">
        <v>22</v>
      </c>
      <c r="K629" s="59" t="s">
        <v>23</v>
      </c>
      <c r="L629" s="47" t="s">
        <v>65</v>
      </c>
      <c r="M629" s="47" t="s">
        <v>47</v>
      </c>
    </row>
    <row r="630" customHeight="1" spans="1:13">
      <c r="A630" s="47" t="s">
        <v>1374</v>
      </c>
      <c r="B630" s="47" t="s">
        <v>1375</v>
      </c>
      <c r="C630" s="47" t="s">
        <v>653</v>
      </c>
      <c r="D630" s="47" t="s">
        <v>16</v>
      </c>
      <c r="E630" s="47" t="s">
        <v>36</v>
      </c>
      <c r="F630" s="59" t="s">
        <v>23</v>
      </c>
      <c r="G630" s="47" t="s">
        <v>19</v>
      </c>
      <c r="H630" s="47" t="s">
        <v>39</v>
      </c>
      <c r="I630" s="47" t="s">
        <v>82</v>
      </c>
      <c r="J630" s="47" t="s">
        <v>32</v>
      </c>
      <c r="K630" s="47" t="s">
        <v>53</v>
      </c>
      <c r="L630" s="47" t="s">
        <v>29</v>
      </c>
      <c r="M630" s="47" t="s">
        <v>33</v>
      </c>
    </row>
    <row r="631" customHeight="1" spans="1:13">
      <c r="A631" s="47" t="s">
        <v>1376</v>
      </c>
      <c r="B631" s="47" t="s">
        <v>1375</v>
      </c>
      <c r="C631" s="47" t="s">
        <v>1377</v>
      </c>
      <c r="D631" s="47" t="s">
        <v>16</v>
      </c>
      <c r="E631" s="47" t="s">
        <v>832</v>
      </c>
      <c r="F631" s="47" t="s">
        <v>37</v>
      </c>
      <c r="G631" s="47" t="s">
        <v>38</v>
      </c>
      <c r="H631" s="47" t="s">
        <v>77</v>
      </c>
      <c r="I631" s="47" t="s">
        <v>77</v>
      </c>
      <c r="J631" s="47" t="s">
        <v>22</v>
      </c>
      <c r="K631" s="59" t="s">
        <v>23</v>
      </c>
      <c r="L631" s="47" t="s">
        <v>65</v>
      </c>
      <c r="M631" s="47" t="s">
        <v>40</v>
      </c>
    </row>
    <row r="632" customHeight="1" spans="1:13">
      <c r="A632" s="47" t="s">
        <v>1378</v>
      </c>
      <c r="B632" s="47" t="s">
        <v>1375</v>
      </c>
      <c r="C632" s="47" t="s">
        <v>692</v>
      </c>
      <c r="D632" s="47" t="s">
        <v>16</v>
      </c>
      <c r="E632" s="47" t="s">
        <v>50</v>
      </c>
      <c r="F632" s="47" t="s">
        <v>28</v>
      </c>
      <c r="G632" s="47" t="s">
        <v>19</v>
      </c>
      <c r="H632" s="47" t="s">
        <v>52</v>
      </c>
      <c r="I632" s="47" t="s">
        <v>1379</v>
      </c>
      <c r="J632" s="47" t="s">
        <v>127</v>
      </c>
      <c r="K632" s="59" t="s">
        <v>23</v>
      </c>
      <c r="L632" s="47" t="s">
        <v>54</v>
      </c>
      <c r="M632" s="47" t="s">
        <v>73</v>
      </c>
    </row>
    <row r="633" customHeight="1" spans="1:13">
      <c r="A633" s="47" t="s">
        <v>1380</v>
      </c>
      <c r="B633" s="47" t="s">
        <v>1375</v>
      </c>
      <c r="C633" s="47" t="s">
        <v>1381</v>
      </c>
      <c r="D633" s="47" t="s">
        <v>107</v>
      </c>
      <c r="E633" s="47" t="s">
        <v>17</v>
      </c>
      <c r="F633" s="47" t="s">
        <v>18</v>
      </c>
      <c r="G633" s="47" t="s">
        <v>38</v>
      </c>
      <c r="H633" s="47" t="s">
        <v>20</v>
      </c>
      <c r="I633" s="47" t="s">
        <v>20</v>
      </c>
      <c r="J633" s="47" t="s">
        <v>22</v>
      </c>
      <c r="K633" s="59" t="s">
        <v>23</v>
      </c>
      <c r="L633" s="59" t="s">
        <v>23</v>
      </c>
      <c r="M633" s="47" t="s">
        <v>33</v>
      </c>
    </row>
    <row r="634" customHeight="1" spans="1:13">
      <c r="A634" s="47" t="s">
        <v>1382</v>
      </c>
      <c r="B634" s="47" t="s">
        <v>1383</v>
      </c>
      <c r="C634" s="47" t="s">
        <v>1384</v>
      </c>
      <c r="D634" s="47" t="s">
        <v>43</v>
      </c>
      <c r="E634" s="47" t="s">
        <v>1385</v>
      </c>
      <c r="F634" s="47" t="s">
        <v>28</v>
      </c>
      <c r="G634" s="47" t="s">
        <v>38</v>
      </c>
      <c r="H634" s="47" t="s">
        <v>147</v>
      </c>
      <c r="I634" s="47" t="s">
        <v>659</v>
      </c>
      <c r="J634" s="47" t="s">
        <v>22</v>
      </c>
      <c r="K634" s="59" t="s">
        <v>23</v>
      </c>
      <c r="L634" s="59" t="s">
        <v>23</v>
      </c>
      <c r="M634" s="47" t="s">
        <v>33</v>
      </c>
    </row>
    <row r="635" customHeight="1" spans="1:13">
      <c r="A635" s="47" t="s">
        <v>1386</v>
      </c>
      <c r="B635" s="47" t="s">
        <v>1375</v>
      </c>
      <c r="C635" s="47" t="s">
        <v>1366</v>
      </c>
      <c r="D635" s="47" t="s">
        <v>16</v>
      </c>
      <c r="E635" s="47" t="s">
        <v>50</v>
      </c>
      <c r="F635" s="47" t="s">
        <v>28</v>
      </c>
      <c r="G635" s="47" t="s">
        <v>38</v>
      </c>
      <c r="H635" s="47" t="s">
        <v>52</v>
      </c>
      <c r="I635" s="47" t="s">
        <v>52</v>
      </c>
      <c r="J635" s="47" t="s">
        <v>22</v>
      </c>
      <c r="K635" s="59" t="s">
        <v>23</v>
      </c>
      <c r="L635" s="47" t="s">
        <v>65</v>
      </c>
      <c r="M635" s="47" t="s">
        <v>1387</v>
      </c>
    </row>
    <row r="636" customHeight="1" spans="1:13">
      <c r="A636" s="47" t="s">
        <v>1388</v>
      </c>
      <c r="B636" s="47" t="s">
        <v>1375</v>
      </c>
      <c r="C636" s="47" t="s">
        <v>1389</v>
      </c>
      <c r="D636" s="47" t="s">
        <v>43</v>
      </c>
      <c r="E636" s="47" t="s">
        <v>63</v>
      </c>
      <c r="F636" s="47" t="s">
        <v>18</v>
      </c>
      <c r="G636" s="47" t="s">
        <v>19</v>
      </c>
      <c r="H636" s="47" t="s">
        <v>64</v>
      </c>
      <c r="I636" s="47" t="s">
        <v>39</v>
      </c>
      <c r="J636" s="47" t="s">
        <v>22</v>
      </c>
      <c r="K636" s="59" t="s">
        <v>23</v>
      </c>
      <c r="L636" s="59" t="s">
        <v>23</v>
      </c>
      <c r="M636" s="47" t="s">
        <v>33</v>
      </c>
    </row>
    <row r="637" customHeight="1" spans="1:13">
      <c r="A637" s="47" t="s">
        <v>1390</v>
      </c>
      <c r="B637" s="47" t="s">
        <v>1375</v>
      </c>
      <c r="C637" s="47" t="s">
        <v>933</v>
      </c>
      <c r="D637" s="47" t="s">
        <v>16</v>
      </c>
      <c r="E637" s="47" t="s">
        <v>63</v>
      </c>
      <c r="F637" s="59" t="s">
        <v>23</v>
      </c>
      <c r="G637" s="47" t="s">
        <v>38</v>
      </c>
      <c r="H637" s="47" t="s">
        <v>64</v>
      </c>
      <c r="I637" s="47" t="s">
        <v>64</v>
      </c>
      <c r="J637" s="47" t="s">
        <v>22</v>
      </c>
      <c r="K637" s="59" t="s">
        <v>23</v>
      </c>
      <c r="L637" s="59" t="s">
        <v>23</v>
      </c>
      <c r="M637" s="47" t="s">
        <v>40</v>
      </c>
    </row>
    <row r="638" customHeight="1" spans="1:13">
      <c r="A638" s="47" t="s">
        <v>1391</v>
      </c>
      <c r="B638" s="47" t="s">
        <v>1375</v>
      </c>
      <c r="C638" s="47" t="s">
        <v>1289</v>
      </c>
      <c r="D638" s="47" t="s">
        <v>213</v>
      </c>
      <c r="E638" s="47" t="s">
        <v>63</v>
      </c>
      <c r="F638" s="59" t="s">
        <v>23</v>
      </c>
      <c r="G638" s="47" t="s">
        <v>38</v>
      </c>
      <c r="H638" s="47" t="s">
        <v>64</v>
      </c>
      <c r="I638" s="47" t="s">
        <v>64</v>
      </c>
      <c r="J638" s="47" t="s">
        <v>22</v>
      </c>
      <c r="K638" s="59" t="s">
        <v>23</v>
      </c>
      <c r="L638" s="47" t="s">
        <v>29</v>
      </c>
      <c r="M638" s="47" t="s">
        <v>47</v>
      </c>
    </row>
    <row r="639" customHeight="1" spans="1:13">
      <c r="A639" s="47" t="s">
        <v>1392</v>
      </c>
      <c r="B639" s="47" t="s">
        <v>1375</v>
      </c>
      <c r="C639" s="47" t="s">
        <v>1393</v>
      </c>
      <c r="D639" s="47" t="s">
        <v>43</v>
      </c>
      <c r="E639" s="47" t="s">
        <v>50</v>
      </c>
      <c r="F639" s="47" t="s">
        <v>28</v>
      </c>
      <c r="G639" s="47" t="s">
        <v>38</v>
      </c>
      <c r="H639" s="47" t="s">
        <v>52</v>
      </c>
      <c r="I639" s="47" t="s">
        <v>52</v>
      </c>
      <c r="J639" s="47" t="s">
        <v>32</v>
      </c>
      <c r="K639" s="59" t="s">
        <v>23</v>
      </c>
      <c r="L639" s="59" t="s">
        <v>23</v>
      </c>
      <c r="M639" s="47" t="s">
        <v>33</v>
      </c>
    </row>
    <row r="640" customHeight="1" spans="1:13">
      <c r="A640" s="47" t="s">
        <v>1394</v>
      </c>
      <c r="B640" s="47" t="s">
        <v>1375</v>
      </c>
      <c r="C640" s="47" t="s">
        <v>349</v>
      </c>
      <c r="D640" s="47" t="s">
        <v>16</v>
      </c>
      <c r="E640" s="47" t="s">
        <v>367</v>
      </c>
      <c r="F640" s="47" t="s">
        <v>109</v>
      </c>
      <c r="G640" s="47" t="s">
        <v>38</v>
      </c>
      <c r="H640" s="47" t="s">
        <v>110</v>
      </c>
      <c r="I640" s="47" t="s">
        <v>111</v>
      </c>
      <c r="J640" s="47" t="s">
        <v>22</v>
      </c>
      <c r="K640" s="59" t="s">
        <v>23</v>
      </c>
      <c r="L640" s="47" t="s">
        <v>29</v>
      </c>
      <c r="M640" s="47" t="s">
        <v>33</v>
      </c>
    </row>
    <row r="641" customHeight="1" spans="1:13">
      <c r="A641" s="47" t="s">
        <v>1395</v>
      </c>
      <c r="B641" s="47" t="s">
        <v>1396</v>
      </c>
      <c r="C641" s="47" t="s">
        <v>1397</v>
      </c>
      <c r="D641" s="47" t="s">
        <v>43</v>
      </c>
      <c r="E641" s="47" t="s">
        <v>1244</v>
      </c>
      <c r="F641" s="47" t="s">
        <v>28</v>
      </c>
      <c r="G641" s="47" t="s">
        <v>38</v>
      </c>
      <c r="H641" s="47" t="s">
        <v>52</v>
      </c>
      <c r="I641" s="47" t="s">
        <v>281</v>
      </c>
      <c r="J641" s="47" t="s">
        <v>22</v>
      </c>
      <c r="K641" s="47" t="s">
        <v>53</v>
      </c>
      <c r="L641" s="47" t="s">
        <v>65</v>
      </c>
      <c r="M641" s="47" t="s">
        <v>33</v>
      </c>
    </row>
    <row r="642" customHeight="1" spans="1:13">
      <c r="A642" s="47" t="s">
        <v>1398</v>
      </c>
      <c r="B642" s="47" t="s">
        <v>1399</v>
      </c>
      <c r="C642" s="47" t="s">
        <v>1400</v>
      </c>
      <c r="D642" s="47" t="s">
        <v>690</v>
      </c>
      <c r="E642" s="47" t="s">
        <v>199</v>
      </c>
      <c r="F642" s="47" t="s">
        <v>18</v>
      </c>
      <c r="G642" s="47" t="s">
        <v>38</v>
      </c>
      <c r="H642" s="47" t="s">
        <v>39</v>
      </c>
      <c r="I642" s="47" t="s">
        <v>39</v>
      </c>
      <c r="J642" s="47" t="s">
        <v>22</v>
      </c>
      <c r="K642" s="59" t="s">
        <v>23</v>
      </c>
      <c r="L642" s="59" t="s">
        <v>23</v>
      </c>
      <c r="M642" s="47" t="s">
        <v>73</v>
      </c>
    </row>
    <row r="643" customHeight="1" spans="1:13">
      <c r="A643" s="47" t="s">
        <v>1401</v>
      </c>
      <c r="B643" s="47" t="s">
        <v>1399</v>
      </c>
      <c r="C643" s="47" t="s">
        <v>88</v>
      </c>
      <c r="D643" s="47" t="s">
        <v>16</v>
      </c>
      <c r="E643" s="47" t="s">
        <v>647</v>
      </c>
      <c r="F643" s="47" t="s">
        <v>45</v>
      </c>
      <c r="G643" s="47" t="s">
        <v>38</v>
      </c>
      <c r="H643" s="47" t="s">
        <v>227</v>
      </c>
      <c r="I643" s="47" t="s">
        <v>227</v>
      </c>
      <c r="J643" s="47" t="s">
        <v>22</v>
      </c>
      <c r="K643" s="59" t="s">
        <v>23</v>
      </c>
      <c r="L643" s="47" t="s">
        <v>19</v>
      </c>
      <c r="M643" s="47" t="s">
        <v>358</v>
      </c>
    </row>
    <row r="644" customHeight="1" spans="1:13">
      <c r="A644" s="47" t="s">
        <v>1402</v>
      </c>
      <c r="B644" s="47" t="s">
        <v>1399</v>
      </c>
      <c r="C644" s="47" t="s">
        <v>319</v>
      </c>
      <c r="D644" s="47" t="s">
        <v>16</v>
      </c>
      <c r="E644" s="47" t="s">
        <v>63</v>
      </c>
      <c r="F644" s="47" t="s">
        <v>18</v>
      </c>
      <c r="G644" s="47" t="s">
        <v>38</v>
      </c>
      <c r="H644" s="47" t="s">
        <v>64</v>
      </c>
      <c r="I644" s="47" t="s">
        <v>64</v>
      </c>
      <c r="J644" s="47" t="s">
        <v>22</v>
      </c>
      <c r="K644" s="59" t="s">
        <v>23</v>
      </c>
      <c r="L644" s="47" t="s">
        <v>65</v>
      </c>
      <c r="M644" s="47" t="s">
        <v>24</v>
      </c>
    </row>
    <row r="645" customHeight="1" spans="1:13">
      <c r="A645" s="47" t="s">
        <v>1403</v>
      </c>
      <c r="B645" s="47" t="s">
        <v>1404</v>
      </c>
      <c r="C645" s="47" t="s">
        <v>670</v>
      </c>
      <c r="D645" s="47" t="s">
        <v>16</v>
      </c>
      <c r="E645" s="47" t="s">
        <v>1405</v>
      </c>
      <c r="F645" s="47" t="s">
        <v>45</v>
      </c>
      <c r="G645" s="47" t="s">
        <v>38</v>
      </c>
      <c r="H645" s="59" t="s">
        <v>23</v>
      </c>
      <c r="I645" s="47" t="s">
        <v>77</v>
      </c>
      <c r="J645" s="47" t="s">
        <v>22</v>
      </c>
      <c r="K645" s="59" t="s">
        <v>23</v>
      </c>
      <c r="L645" s="59" t="s">
        <v>23</v>
      </c>
      <c r="M645" s="47" t="s">
        <v>24</v>
      </c>
    </row>
    <row r="646" customHeight="1" spans="1:13">
      <c r="A646" s="47" t="s">
        <v>1406</v>
      </c>
      <c r="B646" s="47" t="s">
        <v>1399</v>
      </c>
      <c r="C646" s="47" t="s">
        <v>349</v>
      </c>
      <c r="D646" s="47" t="s">
        <v>16</v>
      </c>
      <c r="E646" s="47" t="s">
        <v>27</v>
      </c>
      <c r="F646" s="47" t="s">
        <v>28</v>
      </c>
      <c r="G646" s="47" t="s">
        <v>38</v>
      </c>
      <c r="H646" s="47" t="s">
        <v>30</v>
      </c>
      <c r="I646" s="47" t="s">
        <v>30</v>
      </c>
      <c r="J646" s="47" t="s">
        <v>22</v>
      </c>
      <c r="K646" s="59" t="s">
        <v>23</v>
      </c>
      <c r="L646" s="59" t="s">
        <v>23</v>
      </c>
      <c r="M646" s="47" t="s">
        <v>181</v>
      </c>
    </row>
    <row r="647" customHeight="1" spans="1:13">
      <c r="A647" s="47" t="s">
        <v>1407</v>
      </c>
      <c r="B647" s="47" t="s">
        <v>1399</v>
      </c>
      <c r="C647" s="47" t="s">
        <v>356</v>
      </c>
      <c r="D647" s="47" t="s">
        <v>16</v>
      </c>
      <c r="E647" s="47" t="s">
        <v>57</v>
      </c>
      <c r="F647" s="47" t="s">
        <v>28</v>
      </c>
      <c r="G647" s="47" t="s">
        <v>38</v>
      </c>
      <c r="H647" s="47" t="s">
        <v>58</v>
      </c>
      <c r="I647" s="47" t="s">
        <v>1408</v>
      </c>
      <c r="J647" s="47" t="s">
        <v>22</v>
      </c>
      <c r="K647" s="59" t="s">
        <v>23</v>
      </c>
      <c r="L647" s="47" t="s">
        <v>54</v>
      </c>
      <c r="M647" s="47" t="s">
        <v>33</v>
      </c>
    </row>
    <row r="648" customHeight="1" spans="1:13">
      <c r="A648" s="47" t="s">
        <v>1409</v>
      </c>
      <c r="B648" s="47" t="s">
        <v>1410</v>
      </c>
      <c r="C648" s="47" t="s">
        <v>1411</v>
      </c>
      <c r="D648" s="47" t="s">
        <v>16</v>
      </c>
      <c r="E648" s="47" t="s">
        <v>63</v>
      </c>
      <c r="F648" s="47" t="s">
        <v>18</v>
      </c>
      <c r="G648" s="47" t="s">
        <v>29</v>
      </c>
      <c r="H648" s="47" t="s">
        <v>64</v>
      </c>
      <c r="I648" s="47" t="s">
        <v>227</v>
      </c>
      <c r="J648" s="47" t="s">
        <v>32</v>
      </c>
      <c r="K648" s="59" t="s">
        <v>23</v>
      </c>
      <c r="L648" s="47" t="s">
        <v>65</v>
      </c>
      <c r="M648" s="47" t="s">
        <v>99</v>
      </c>
    </row>
    <row r="649" customHeight="1" spans="1:13">
      <c r="A649" s="47" t="s">
        <v>1412</v>
      </c>
      <c r="B649" s="47" t="s">
        <v>1410</v>
      </c>
      <c r="C649" s="47" t="s">
        <v>1343</v>
      </c>
      <c r="D649" s="47" t="s">
        <v>16</v>
      </c>
      <c r="E649" s="47" t="s">
        <v>50</v>
      </c>
      <c r="F649" s="47" t="s">
        <v>28</v>
      </c>
      <c r="G649" s="47" t="s">
        <v>38</v>
      </c>
      <c r="H649" s="47" t="s">
        <v>52</v>
      </c>
      <c r="I649" s="47" t="s">
        <v>52</v>
      </c>
      <c r="J649" s="47" t="s">
        <v>22</v>
      </c>
      <c r="K649" s="59" t="s">
        <v>23</v>
      </c>
      <c r="L649" s="47" t="s">
        <v>65</v>
      </c>
      <c r="M649" s="47" t="s">
        <v>47</v>
      </c>
    </row>
    <row r="650" customHeight="1" spans="1:13">
      <c r="A650" s="47" t="s">
        <v>1413</v>
      </c>
      <c r="B650" s="47" t="s">
        <v>1410</v>
      </c>
      <c r="C650" s="47" t="s">
        <v>905</v>
      </c>
      <c r="D650" s="47" t="s">
        <v>207</v>
      </c>
      <c r="E650" s="47" t="s">
        <v>103</v>
      </c>
      <c r="F650" s="47" t="s">
        <v>37</v>
      </c>
      <c r="G650" s="47" t="s">
        <v>38</v>
      </c>
      <c r="H650" s="47" t="s">
        <v>77</v>
      </c>
      <c r="I650" s="47" t="s">
        <v>77</v>
      </c>
      <c r="J650" s="47" t="s">
        <v>22</v>
      </c>
      <c r="K650" s="59" t="s">
        <v>23</v>
      </c>
      <c r="L650" s="59" t="s">
        <v>23</v>
      </c>
      <c r="M650" s="47" t="s">
        <v>33</v>
      </c>
    </row>
    <row r="651" customHeight="1" spans="1:13">
      <c r="A651" s="47" t="s">
        <v>1414</v>
      </c>
      <c r="B651" s="47" t="s">
        <v>1410</v>
      </c>
      <c r="C651" s="47" t="s">
        <v>1415</v>
      </c>
      <c r="D651" s="47" t="s">
        <v>16</v>
      </c>
      <c r="E651" s="47" t="s">
        <v>27</v>
      </c>
      <c r="F651" s="47" t="s">
        <v>28</v>
      </c>
      <c r="G651" s="47" t="s">
        <v>19</v>
      </c>
      <c r="H651" s="47" t="s">
        <v>30</v>
      </c>
      <c r="I651" s="47" t="s">
        <v>258</v>
      </c>
      <c r="J651" s="47" t="s">
        <v>22</v>
      </c>
      <c r="K651" s="59" t="s">
        <v>23</v>
      </c>
      <c r="L651" s="59" t="s">
        <v>23</v>
      </c>
      <c r="M651" s="47" t="s">
        <v>24</v>
      </c>
    </row>
    <row r="652" customHeight="1" spans="1:13">
      <c r="A652" s="47" t="s">
        <v>1416</v>
      </c>
      <c r="B652" s="47" t="s">
        <v>1417</v>
      </c>
      <c r="C652" s="47" t="s">
        <v>1036</v>
      </c>
      <c r="D652" s="47" t="s">
        <v>16</v>
      </c>
      <c r="E652" s="47" t="s">
        <v>95</v>
      </c>
      <c r="F652" s="47" t="s">
        <v>45</v>
      </c>
      <c r="G652" s="47" t="s">
        <v>38</v>
      </c>
      <c r="H652" s="47" t="s">
        <v>77</v>
      </c>
      <c r="I652" s="47" t="s">
        <v>77</v>
      </c>
      <c r="J652" s="47" t="s">
        <v>22</v>
      </c>
      <c r="K652" s="59" t="s">
        <v>23</v>
      </c>
      <c r="L652" s="59" t="s">
        <v>23</v>
      </c>
      <c r="M652" s="47" t="s">
        <v>33</v>
      </c>
    </row>
    <row r="653" customHeight="1" spans="1:13">
      <c r="A653" s="47" t="s">
        <v>1418</v>
      </c>
      <c r="B653" s="47" t="s">
        <v>1419</v>
      </c>
      <c r="C653" s="47" t="s">
        <v>1164</v>
      </c>
      <c r="D653" s="47" t="s">
        <v>16</v>
      </c>
      <c r="E653" s="47" t="s">
        <v>367</v>
      </c>
      <c r="F653" s="47" t="s">
        <v>109</v>
      </c>
      <c r="G653" s="47" t="s">
        <v>19</v>
      </c>
      <c r="H653" s="47" t="s">
        <v>110</v>
      </c>
      <c r="I653" s="47" t="s">
        <v>357</v>
      </c>
      <c r="J653" s="47" t="s">
        <v>22</v>
      </c>
      <c r="K653" s="59" t="s">
        <v>23</v>
      </c>
      <c r="L653" s="47" t="s">
        <v>65</v>
      </c>
      <c r="M653" s="47" t="s">
        <v>33</v>
      </c>
    </row>
    <row r="654" customHeight="1" spans="1:13">
      <c r="A654" s="47" t="s">
        <v>1420</v>
      </c>
      <c r="B654" s="47" t="s">
        <v>1419</v>
      </c>
      <c r="C654" s="47" t="s">
        <v>1421</v>
      </c>
      <c r="D654" s="47" t="s">
        <v>207</v>
      </c>
      <c r="E654" s="47" t="s">
        <v>95</v>
      </c>
      <c r="F654" s="47" t="s">
        <v>45</v>
      </c>
      <c r="G654" s="47" t="s">
        <v>38</v>
      </c>
      <c r="H654" s="59" t="s">
        <v>23</v>
      </c>
      <c r="I654" s="47" t="s">
        <v>77</v>
      </c>
      <c r="J654" s="47" t="s">
        <v>22</v>
      </c>
      <c r="K654" s="59" t="s">
        <v>23</v>
      </c>
      <c r="L654" s="59" t="s">
        <v>23</v>
      </c>
      <c r="M654" s="47" t="s">
        <v>47</v>
      </c>
    </row>
    <row r="655" customHeight="1" spans="1:13">
      <c r="A655" s="47" t="s">
        <v>1422</v>
      </c>
      <c r="B655" s="47" t="s">
        <v>1419</v>
      </c>
      <c r="C655" s="47" t="s">
        <v>943</v>
      </c>
      <c r="D655" s="47" t="s">
        <v>43</v>
      </c>
      <c r="E655" s="47" t="s">
        <v>36</v>
      </c>
      <c r="F655" s="47" t="s">
        <v>37</v>
      </c>
      <c r="G655" s="47" t="s">
        <v>38</v>
      </c>
      <c r="H655" s="47" t="s">
        <v>1423</v>
      </c>
      <c r="I655" s="47" t="s">
        <v>39</v>
      </c>
      <c r="J655" s="47" t="s">
        <v>22</v>
      </c>
      <c r="K655" s="59" t="s">
        <v>23</v>
      </c>
      <c r="L655" s="59" t="s">
        <v>23</v>
      </c>
      <c r="M655" s="47" t="s">
        <v>24</v>
      </c>
    </row>
    <row r="656" customHeight="1" spans="1:13">
      <c r="A656" s="47" t="s">
        <v>1424</v>
      </c>
      <c r="B656" s="47" t="s">
        <v>1425</v>
      </c>
      <c r="C656" s="47" t="s">
        <v>1426</v>
      </c>
      <c r="D656" s="47" t="s">
        <v>16</v>
      </c>
      <c r="E656" s="47" t="s">
        <v>647</v>
      </c>
      <c r="F656" s="47" t="s">
        <v>45</v>
      </c>
      <c r="G656" s="59" t="s">
        <v>23</v>
      </c>
      <c r="H656" s="47" t="s">
        <v>227</v>
      </c>
      <c r="I656" s="47" t="s">
        <v>1427</v>
      </c>
      <c r="J656" s="47" t="s">
        <v>22</v>
      </c>
      <c r="K656" s="59" t="s">
        <v>23</v>
      </c>
      <c r="L656" s="47" t="s">
        <v>29</v>
      </c>
      <c r="M656" s="47" t="s">
        <v>40</v>
      </c>
    </row>
    <row r="657" customHeight="1" spans="1:13">
      <c r="A657" s="47" t="s">
        <v>1428</v>
      </c>
      <c r="B657" s="47" t="s">
        <v>1425</v>
      </c>
      <c r="C657" s="47" t="s">
        <v>1429</v>
      </c>
      <c r="D657" s="47" t="s">
        <v>107</v>
      </c>
      <c r="E657" s="47" t="s">
        <v>17</v>
      </c>
      <c r="F657" s="47" t="s">
        <v>18</v>
      </c>
      <c r="G657" s="47" t="s">
        <v>38</v>
      </c>
      <c r="H657" s="47" t="s">
        <v>20</v>
      </c>
      <c r="I657" s="47" t="s">
        <v>797</v>
      </c>
      <c r="J657" s="47" t="s">
        <v>22</v>
      </c>
      <c r="K657" s="47" t="s">
        <v>119</v>
      </c>
      <c r="L657" s="47" t="s">
        <v>54</v>
      </c>
      <c r="M657" s="47" t="s">
        <v>1100</v>
      </c>
    </row>
    <row r="658" customHeight="1" spans="1:13">
      <c r="A658" s="47" t="s">
        <v>1430</v>
      </c>
      <c r="B658" s="47" t="s">
        <v>1425</v>
      </c>
      <c r="C658" s="47" t="s">
        <v>1431</v>
      </c>
      <c r="D658" s="47" t="s">
        <v>16</v>
      </c>
      <c r="E658" s="47" t="s">
        <v>367</v>
      </c>
      <c r="F658" s="47" t="s">
        <v>109</v>
      </c>
      <c r="G658" s="59" t="s">
        <v>23</v>
      </c>
      <c r="H658" s="47" t="s">
        <v>110</v>
      </c>
      <c r="I658" s="47" t="s">
        <v>110</v>
      </c>
      <c r="J658" s="47" t="s">
        <v>22</v>
      </c>
      <c r="K658" s="59" t="s">
        <v>23</v>
      </c>
      <c r="L658" s="47" t="s">
        <v>29</v>
      </c>
      <c r="M658" s="47" t="s">
        <v>33</v>
      </c>
    </row>
    <row r="659" customHeight="1" spans="1:13">
      <c r="A659" s="47" t="s">
        <v>1432</v>
      </c>
      <c r="B659" s="47" t="s">
        <v>1425</v>
      </c>
      <c r="C659" s="47" t="s">
        <v>229</v>
      </c>
      <c r="D659" s="47" t="s">
        <v>16</v>
      </c>
      <c r="E659" s="47" t="s">
        <v>63</v>
      </c>
      <c r="F659" s="47" t="s">
        <v>18</v>
      </c>
      <c r="G659" s="47" t="s">
        <v>38</v>
      </c>
      <c r="H659" s="47" t="s">
        <v>64</v>
      </c>
      <c r="I659" s="47" t="s">
        <v>64</v>
      </c>
      <c r="J659" s="47" t="s">
        <v>22</v>
      </c>
      <c r="K659" s="59" t="s">
        <v>23</v>
      </c>
      <c r="L659" s="59" t="s">
        <v>23</v>
      </c>
      <c r="M659" s="47" t="s">
        <v>24</v>
      </c>
    </row>
    <row r="660" customHeight="1" spans="1:13">
      <c r="A660" s="47" t="s">
        <v>1433</v>
      </c>
      <c r="B660" s="47" t="s">
        <v>1434</v>
      </c>
      <c r="C660" s="47" t="s">
        <v>1310</v>
      </c>
      <c r="D660" s="47" t="s">
        <v>107</v>
      </c>
      <c r="E660" s="47" t="s">
        <v>17</v>
      </c>
      <c r="F660" s="47" t="s">
        <v>18</v>
      </c>
      <c r="G660" s="59" t="s">
        <v>23</v>
      </c>
      <c r="H660" s="47" t="s">
        <v>20</v>
      </c>
      <c r="I660" s="47" t="s">
        <v>39</v>
      </c>
      <c r="J660" s="47" t="s">
        <v>22</v>
      </c>
      <c r="K660" s="59" t="s">
        <v>23</v>
      </c>
      <c r="L660" s="47" t="s">
        <v>54</v>
      </c>
      <c r="M660" s="47" t="s">
        <v>24</v>
      </c>
    </row>
    <row r="661" customHeight="1" spans="1:13">
      <c r="A661" s="47" t="s">
        <v>1433</v>
      </c>
      <c r="B661" s="47" t="s">
        <v>1425</v>
      </c>
      <c r="C661" s="47" t="s">
        <v>1310</v>
      </c>
      <c r="D661" s="47" t="s">
        <v>107</v>
      </c>
      <c r="E661" s="47" t="s">
        <v>17</v>
      </c>
      <c r="F661" s="47" t="s">
        <v>18</v>
      </c>
      <c r="G661" s="47" t="s">
        <v>29</v>
      </c>
      <c r="H661" s="47" t="s">
        <v>20</v>
      </c>
      <c r="I661" s="47" t="s">
        <v>39</v>
      </c>
      <c r="J661" s="47" t="s">
        <v>22</v>
      </c>
      <c r="K661" s="59" t="s">
        <v>23</v>
      </c>
      <c r="L661" s="47" t="s">
        <v>54</v>
      </c>
      <c r="M661" s="47" t="s">
        <v>24</v>
      </c>
    </row>
    <row r="662" customHeight="1" spans="1:13">
      <c r="A662" s="47" t="s">
        <v>1435</v>
      </c>
      <c r="B662" s="47" t="s">
        <v>1434</v>
      </c>
      <c r="C662" s="47" t="s">
        <v>98</v>
      </c>
      <c r="D662" s="47" t="s">
        <v>16</v>
      </c>
      <c r="E662" s="47" t="s">
        <v>50</v>
      </c>
      <c r="F662" s="47" t="s">
        <v>28</v>
      </c>
      <c r="G662" s="47" t="s">
        <v>19</v>
      </c>
      <c r="H662" s="47" t="s">
        <v>52</v>
      </c>
      <c r="I662" s="47" t="s">
        <v>425</v>
      </c>
      <c r="J662" s="47" t="s">
        <v>22</v>
      </c>
      <c r="K662" s="59" t="s">
        <v>23</v>
      </c>
      <c r="L662" s="59" t="s">
        <v>23</v>
      </c>
      <c r="M662" s="47" t="s">
        <v>24</v>
      </c>
    </row>
    <row r="663" customHeight="1" spans="1:13">
      <c r="A663" s="47" t="s">
        <v>1436</v>
      </c>
      <c r="B663" s="47" t="s">
        <v>1425</v>
      </c>
      <c r="C663" s="47" t="s">
        <v>442</v>
      </c>
      <c r="D663" s="47" t="s">
        <v>16</v>
      </c>
      <c r="E663" s="47" t="s">
        <v>36</v>
      </c>
      <c r="F663" s="47" t="s">
        <v>37</v>
      </c>
      <c r="G663" s="47" t="s">
        <v>19</v>
      </c>
      <c r="H663" s="47" t="s">
        <v>39</v>
      </c>
      <c r="I663" s="47" t="s">
        <v>82</v>
      </c>
      <c r="J663" s="47" t="s">
        <v>22</v>
      </c>
      <c r="K663" s="59" t="s">
        <v>23</v>
      </c>
      <c r="L663" s="47" t="s">
        <v>54</v>
      </c>
      <c r="M663" s="47" t="s">
        <v>24</v>
      </c>
    </row>
    <row r="664" customHeight="1" spans="1:13">
      <c r="A664" s="47" t="s">
        <v>1437</v>
      </c>
      <c r="B664" s="47" t="s">
        <v>1438</v>
      </c>
      <c r="C664" s="47" t="s">
        <v>1439</v>
      </c>
      <c r="D664" s="47" t="s">
        <v>107</v>
      </c>
      <c r="E664" s="47" t="s">
        <v>17</v>
      </c>
      <c r="F664" s="59" t="s">
        <v>23</v>
      </c>
      <c r="G664" s="47" t="s">
        <v>38</v>
      </c>
      <c r="H664" s="47" t="s">
        <v>20</v>
      </c>
      <c r="I664" s="47" t="s">
        <v>20</v>
      </c>
      <c r="J664" s="47" t="s">
        <v>22</v>
      </c>
      <c r="K664" s="59" t="s">
        <v>23</v>
      </c>
      <c r="L664" s="59" t="s">
        <v>23</v>
      </c>
      <c r="M664" s="47" t="s">
        <v>40</v>
      </c>
    </row>
    <row r="665" customHeight="1" spans="1:13">
      <c r="A665" s="47" t="s">
        <v>1440</v>
      </c>
      <c r="B665" s="47" t="s">
        <v>1438</v>
      </c>
      <c r="C665" s="47" t="s">
        <v>629</v>
      </c>
      <c r="D665" s="47" t="s">
        <v>107</v>
      </c>
      <c r="E665" s="47" t="s">
        <v>17</v>
      </c>
      <c r="F665" s="47" t="s">
        <v>18</v>
      </c>
      <c r="G665" s="47" t="s">
        <v>38</v>
      </c>
      <c r="H665" s="47" t="s">
        <v>20</v>
      </c>
      <c r="I665" s="47" t="s">
        <v>20</v>
      </c>
      <c r="J665" s="47" t="s">
        <v>22</v>
      </c>
      <c r="K665" s="59" t="s">
        <v>23</v>
      </c>
      <c r="L665" s="59" t="s">
        <v>23</v>
      </c>
      <c r="M665" s="47" t="s">
        <v>73</v>
      </c>
    </row>
    <row r="666" customHeight="1" spans="1:13">
      <c r="A666" s="47" t="s">
        <v>1441</v>
      </c>
      <c r="B666" s="47" t="s">
        <v>1438</v>
      </c>
      <c r="C666" s="47" t="s">
        <v>212</v>
      </c>
      <c r="D666" s="47" t="s">
        <v>43</v>
      </c>
      <c r="E666" s="47" t="s">
        <v>103</v>
      </c>
      <c r="F666" s="47" t="s">
        <v>37</v>
      </c>
      <c r="G666" s="47" t="s">
        <v>19</v>
      </c>
      <c r="H666" s="47" t="s">
        <v>77</v>
      </c>
      <c r="I666" s="47" t="s">
        <v>96</v>
      </c>
      <c r="J666" s="47" t="s">
        <v>22</v>
      </c>
      <c r="K666" s="59" t="s">
        <v>23</v>
      </c>
      <c r="L666" s="59" t="s">
        <v>23</v>
      </c>
      <c r="M666" s="47" t="s">
        <v>24</v>
      </c>
    </row>
    <row r="667" customHeight="1" spans="1:13">
      <c r="A667" s="47" t="s">
        <v>1442</v>
      </c>
      <c r="B667" s="47" t="s">
        <v>1438</v>
      </c>
      <c r="C667" s="47" t="s">
        <v>1443</v>
      </c>
      <c r="D667" s="47" t="s">
        <v>107</v>
      </c>
      <c r="E667" s="47" t="s">
        <v>146</v>
      </c>
      <c r="F667" s="47" t="s">
        <v>28</v>
      </c>
      <c r="G667" s="47" t="s">
        <v>38</v>
      </c>
      <c r="H667" s="47" t="s">
        <v>147</v>
      </c>
      <c r="I667" s="47" t="s">
        <v>147</v>
      </c>
      <c r="J667" s="47" t="s">
        <v>22</v>
      </c>
      <c r="K667" s="59" t="s">
        <v>23</v>
      </c>
      <c r="L667" s="47" t="s">
        <v>65</v>
      </c>
      <c r="M667" s="47" t="s">
        <v>24</v>
      </c>
    </row>
    <row r="668" customHeight="1" spans="1:13">
      <c r="A668" s="47" t="s">
        <v>1444</v>
      </c>
      <c r="B668" s="47" t="s">
        <v>1438</v>
      </c>
      <c r="C668" s="47" t="s">
        <v>826</v>
      </c>
      <c r="D668" s="47" t="s">
        <v>16</v>
      </c>
      <c r="E668" s="47" t="s">
        <v>199</v>
      </c>
      <c r="F668" s="47" t="s">
        <v>18</v>
      </c>
      <c r="G668" s="47" t="s">
        <v>38</v>
      </c>
      <c r="H668" s="47" t="s">
        <v>39</v>
      </c>
      <c r="I668" s="47" t="s">
        <v>39</v>
      </c>
      <c r="J668" s="47" t="s">
        <v>32</v>
      </c>
      <c r="K668" s="59" t="s">
        <v>23</v>
      </c>
      <c r="L668" s="59" t="s">
        <v>23</v>
      </c>
      <c r="M668" s="47" t="s">
        <v>24</v>
      </c>
    </row>
    <row r="669" customHeight="1" spans="1:13">
      <c r="A669" s="47" t="s">
        <v>1445</v>
      </c>
      <c r="B669" s="47" t="s">
        <v>1438</v>
      </c>
      <c r="C669" s="47" t="s">
        <v>61</v>
      </c>
      <c r="D669" s="47" t="s">
        <v>16</v>
      </c>
      <c r="E669" s="47" t="s">
        <v>367</v>
      </c>
      <c r="F669" s="47" t="s">
        <v>109</v>
      </c>
      <c r="G669" s="47" t="s">
        <v>38</v>
      </c>
      <c r="H669" s="47" t="s">
        <v>110</v>
      </c>
      <c r="I669" s="47" t="s">
        <v>110</v>
      </c>
      <c r="J669" s="47" t="s">
        <v>22</v>
      </c>
      <c r="K669" s="59" t="s">
        <v>23</v>
      </c>
      <c r="L669" s="47" t="s">
        <v>54</v>
      </c>
      <c r="M669" s="47" t="s">
        <v>47</v>
      </c>
    </row>
    <row r="670" customHeight="1" spans="1:13">
      <c r="A670" s="47" t="s">
        <v>1446</v>
      </c>
      <c r="B670" s="47" t="s">
        <v>1447</v>
      </c>
      <c r="C670" s="47" t="s">
        <v>807</v>
      </c>
      <c r="D670" s="47" t="s">
        <v>16</v>
      </c>
      <c r="E670" s="47" t="s">
        <v>103</v>
      </c>
      <c r="F670" s="47" t="s">
        <v>37</v>
      </c>
      <c r="G670" s="47" t="s">
        <v>29</v>
      </c>
      <c r="H670" s="47" t="s">
        <v>77</v>
      </c>
      <c r="I670" s="47" t="s">
        <v>30</v>
      </c>
      <c r="J670" s="47" t="s">
        <v>32</v>
      </c>
      <c r="K670" s="59" t="s">
        <v>23</v>
      </c>
      <c r="L670" s="47" t="s">
        <v>54</v>
      </c>
      <c r="M670" s="47" t="s">
        <v>24</v>
      </c>
    </row>
    <row r="671" customHeight="1" spans="1:13">
      <c r="A671" s="47" t="s">
        <v>1448</v>
      </c>
      <c r="B671" s="47" t="s">
        <v>1438</v>
      </c>
      <c r="C671" s="47" t="s">
        <v>331</v>
      </c>
      <c r="D671" s="47" t="s">
        <v>107</v>
      </c>
      <c r="E671" s="47" t="s">
        <v>27</v>
      </c>
      <c r="F671" s="47" t="s">
        <v>28</v>
      </c>
      <c r="G671" s="47" t="s">
        <v>38</v>
      </c>
      <c r="H671" s="47" t="s">
        <v>30</v>
      </c>
      <c r="I671" s="47" t="s">
        <v>30</v>
      </c>
      <c r="J671" s="47" t="s">
        <v>32</v>
      </c>
      <c r="K671" s="59" t="s">
        <v>23</v>
      </c>
      <c r="L671" s="59" t="s">
        <v>23</v>
      </c>
      <c r="M671" s="47" t="s">
        <v>33</v>
      </c>
    </row>
    <row r="672" customHeight="1" spans="1:13">
      <c r="A672" s="47" t="s">
        <v>1449</v>
      </c>
      <c r="B672" s="47" t="s">
        <v>1450</v>
      </c>
      <c r="C672" s="47" t="s">
        <v>49</v>
      </c>
      <c r="D672" s="47" t="s">
        <v>43</v>
      </c>
      <c r="E672" s="47" t="s">
        <v>63</v>
      </c>
      <c r="F672" s="47" t="s">
        <v>18</v>
      </c>
      <c r="G672" s="47" t="s">
        <v>29</v>
      </c>
      <c r="H672" s="47" t="s">
        <v>64</v>
      </c>
      <c r="I672" s="47" t="s">
        <v>227</v>
      </c>
      <c r="J672" s="47" t="s">
        <v>22</v>
      </c>
      <c r="K672" s="59" t="s">
        <v>23</v>
      </c>
      <c r="L672" s="59" t="s">
        <v>23</v>
      </c>
      <c r="M672" s="47" t="s">
        <v>24</v>
      </c>
    </row>
    <row r="673" customHeight="1" spans="1:13">
      <c r="A673" s="47" t="s">
        <v>1451</v>
      </c>
      <c r="B673" s="47" t="s">
        <v>1438</v>
      </c>
      <c r="C673" s="47" t="s">
        <v>1158</v>
      </c>
      <c r="D673" s="47" t="s">
        <v>43</v>
      </c>
      <c r="E673" s="47" t="s">
        <v>95</v>
      </c>
      <c r="F673" s="59" t="s">
        <v>23</v>
      </c>
      <c r="G673" s="47" t="s">
        <v>38</v>
      </c>
      <c r="H673" s="47" t="s">
        <v>77</v>
      </c>
      <c r="I673" s="47" t="s">
        <v>77</v>
      </c>
      <c r="J673" s="47" t="s">
        <v>22</v>
      </c>
      <c r="K673" s="59" t="s">
        <v>23</v>
      </c>
      <c r="L673" s="59" t="s">
        <v>23</v>
      </c>
      <c r="M673" s="47" t="s">
        <v>24</v>
      </c>
    </row>
    <row r="674" customHeight="1" spans="1:13">
      <c r="A674" s="47" t="s">
        <v>1452</v>
      </c>
      <c r="B674" s="47" t="s">
        <v>1438</v>
      </c>
      <c r="C674" s="47" t="s">
        <v>1453</v>
      </c>
      <c r="D674" s="47" t="s">
        <v>16</v>
      </c>
      <c r="E674" s="47" t="s">
        <v>17</v>
      </c>
      <c r="F674" s="47" t="s">
        <v>18</v>
      </c>
      <c r="G674" s="47" t="s">
        <v>38</v>
      </c>
      <c r="H674" s="47" t="s">
        <v>20</v>
      </c>
      <c r="I674" s="47" t="s">
        <v>20</v>
      </c>
      <c r="J674" s="47" t="s">
        <v>22</v>
      </c>
      <c r="K674" s="59" t="s">
        <v>23</v>
      </c>
      <c r="L674" s="59" t="s">
        <v>23</v>
      </c>
      <c r="M674" s="47" t="s">
        <v>73</v>
      </c>
    </row>
    <row r="675" customHeight="1" spans="1:13">
      <c r="A675" s="47" t="s">
        <v>1454</v>
      </c>
      <c r="B675" s="47" t="s">
        <v>1455</v>
      </c>
      <c r="C675" s="47" t="s">
        <v>1456</v>
      </c>
      <c r="D675" s="47" t="s">
        <v>62</v>
      </c>
      <c r="E675" s="47" t="s">
        <v>647</v>
      </c>
      <c r="F675" s="47" t="s">
        <v>45</v>
      </c>
      <c r="G675" s="47" t="s">
        <v>38</v>
      </c>
      <c r="H675" s="47" t="s">
        <v>1457</v>
      </c>
      <c r="I675" s="47" t="s">
        <v>227</v>
      </c>
      <c r="J675" s="47" t="s">
        <v>22</v>
      </c>
      <c r="K675" s="59" t="s">
        <v>23</v>
      </c>
      <c r="L675" s="59" t="s">
        <v>23</v>
      </c>
      <c r="M675" s="47" t="s">
        <v>24</v>
      </c>
    </row>
    <row r="676" customHeight="1" spans="1:13">
      <c r="A676" s="47" t="s">
        <v>1458</v>
      </c>
      <c r="B676" s="47" t="s">
        <v>1455</v>
      </c>
      <c r="C676" s="47" t="s">
        <v>1459</v>
      </c>
      <c r="D676" s="47" t="s">
        <v>16</v>
      </c>
      <c r="E676" s="47" t="s">
        <v>63</v>
      </c>
      <c r="F676" s="47" t="s">
        <v>18</v>
      </c>
      <c r="G676" s="47" t="s">
        <v>38</v>
      </c>
      <c r="H676" s="47" t="s">
        <v>64</v>
      </c>
      <c r="I676" s="47" t="s">
        <v>64</v>
      </c>
      <c r="J676" s="47" t="s">
        <v>32</v>
      </c>
      <c r="K676" s="59" t="s">
        <v>23</v>
      </c>
      <c r="L676" s="47" t="s">
        <v>65</v>
      </c>
      <c r="M676" s="47" t="s">
        <v>47</v>
      </c>
    </row>
    <row r="677" customHeight="1" spans="1:13">
      <c r="A677" s="47" t="s">
        <v>1460</v>
      </c>
      <c r="B677" s="47" t="s">
        <v>1455</v>
      </c>
      <c r="C677" s="47" t="s">
        <v>1461</v>
      </c>
      <c r="D677" s="47" t="s">
        <v>16</v>
      </c>
      <c r="E677" s="47" t="s">
        <v>146</v>
      </c>
      <c r="F677" s="47" t="s">
        <v>28</v>
      </c>
      <c r="G677" s="47" t="s">
        <v>38</v>
      </c>
      <c r="H677" s="47" t="s">
        <v>147</v>
      </c>
      <c r="I677" s="47" t="s">
        <v>147</v>
      </c>
      <c r="J677" s="47" t="s">
        <v>32</v>
      </c>
      <c r="K677" s="59" t="s">
        <v>23</v>
      </c>
      <c r="L677" s="59" t="s">
        <v>23</v>
      </c>
      <c r="M677" s="47" t="s">
        <v>73</v>
      </c>
    </row>
    <row r="678" customHeight="1" spans="1:13">
      <c r="A678" s="47" t="s">
        <v>1462</v>
      </c>
      <c r="B678" s="47" t="s">
        <v>1455</v>
      </c>
      <c r="C678" s="47" t="s">
        <v>1366</v>
      </c>
      <c r="D678" s="47" t="s">
        <v>107</v>
      </c>
      <c r="E678" s="47" t="s">
        <v>36</v>
      </c>
      <c r="F678" s="47" t="s">
        <v>37</v>
      </c>
      <c r="G678" s="47" t="s">
        <v>38</v>
      </c>
      <c r="H678" s="47" t="s">
        <v>39</v>
      </c>
      <c r="I678" s="47" t="s">
        <v>332</v>
      </c>
      <c r="J678" s="47" t="s">
        <v>22</v>
      </c>
      <c r="K678" s="47" t="s">
        <v>53</v>
      </c>
      <c r="L678" s="59" t="s">
        <v>23</v>
      </c>
      <c r="M678" s="47" t="s">
        <v>40</v>
      </c>
    </row>
    <row r="679" customHeight="1" spans="1:13">
      <c r="A679" s="47" t="s">
        <v>1463</v>
      </c>
      <c r="B679" s="47" t="s">
        <v>1455</v>
      </c>
      <c r="C679" s="47" t="s">
        <v>1246</v>
      </c>
      <c r="D679" s="47" t="s">
        <v>16</v>
      </c>
      <c r="E679" s="47" t="s">
        <v>63</v>
      </c>
      <c r="F679" s="47" t="s">
        <v>18</v>
      </c>
      <c r="G679" s="47" t="s">
        <v>38</v>
      </c>
      <c r="H679" s="47" t="s">
        <v>64</v>
      </c>
      <c r="I679" s="47" t="s">
        <v>64</v>
      </c>
      <c r="J679" s="47" t="s">
        <v>22</v>
      </c>
      <c r="K679" s="59" t="s">
        <v>23</v>
      </c>
      <c r="L679" s="47" t="s">
        <v>29</v>
      </c>
      <c r="M679" s="47" t="s">
        <v>47</v>
      </c>
    </row>
    <row r="680" customHeight="1" spans="1:13">
      <c r="A680" s="47" t="s">
        <v>1464</v>
      </c>
      <c r="B680" s="47" t="s">
        <v>1455</v>
      </c>
      <c r="C680" s="47" t="s">
        <v>459</v>
      </c>
      <c r="D680" s="47" t="s">
        <v>43</v>
      </c>
      <c r="E680" s="47" t="s">
        <v>63</v>
      </c>
      <c r="F680" s="47" t="s">
        <v>18</v>
      </c>
      <c r="G680" s="47" t="s">
        <v>19</v>
      </c>
      <c r="H680" s="47" t="s">
        <v>64</v>
      </c>
      <c r="I680" s="47" t="s">
        <v>987</v>
      </c>
      <c r="J680" s="47" t="s">
        <v>22</v>
      </c>
      <c r="K680" s="47" t="s">
        <v>119</v>
      </c>
      <c r="L680" s="47" t="s">
        <v>29</v>
      </c>
      <c r="M680" s="47" t="s">
        <v>24</v>
      </c>
    </row>
    <row r="681" customHeight="1" spans="1:13">
      <c r="A681" s="47" t="s">
        <v>1465</v>
      </c>
      <c r="B681" s="47" t="s">
        <v>1455</v>
      </c>
      <c r="C681" s="47" t="s">
        <v>986</v>
      </c>
      <c r="D681" s="47" t="s">
        <v>16</v>
      </c>
      <c r="E681" s="47" t="s">
        <v>103</v>
      </c>
      <c r="F681" s="47" t="s">
        <v>1286</v>
      </c>
      <c r="G681" s="47" t="s">
        <v>38</v>
      </c>
      <c r="H681" s="47" t="s">
        <v>77</v>
      </c>
      <c r="I681" s="47" t="s">
        <v>77</v>
      </c>
      <c r="J681" s="47" t="s">
        <v>753</v>
      </c>
      <c r="K681" s="59" t="s">
        <v>23</v>
      </c>
      <c r="L681" s="47" t="s">
        <v>65</v>
      </c>
      <c r="M681" s="47" t="s">
        <v>490</v>
      </c>
    </row>
    <row r="682" customHeight="1" spans="1:13">
      <c r="A682" s="47" t="s">
        <v>1466</v>
      </c>
      <c r="B682" s="47" t="s">
        <v>1455</v>
      </c>
      <c r="C682" s="47" t="s">
        <v>346</v>
      </c>
      <c r="D682" s="47" t="s">
        <v>16</v>
      </c>
      <c r="E682" s="47" t="s">
        <v>367</v>
      </c>
      <c r="F682" s="47" t="s">
        <v>109</v>
      </c>
      <c r="G682" s="47" t="s">
        <v>19</v>
      </c>
      <c r="H682" s="47" t="s">
        <v>110</v>
      </c>
      <c r="I682" s="47" t="s">
        <v>357</v>
      </c>
      <c r="J682" s="47" t="s">
        <v>32</v>
      </c>
      <c r="K682" s="59" t="s">
        <v>23</v>
      </c>
      <c r="L682" s="59" t="s">
        <v>23</v>
      </c>
      <c r="M682" s="47" t="s">
        <v>40</v>
      </c>
    </row>
    <row r="683" customHeight="1" spans="1:13">
      <c r="A683" s="47" t="s">
        <v>1467</v>
      </c>
      <c r="B683" s="47" t="s">
        <v>1455</v>
      </c>
      <c r="C683" s="47" t="s">
        <v>222</v>
      </c>
      <c r="D683" s="47" t="s">
        <v>16</v>
      </c>
      <c r="E683" s="47" t="s">
        <v>63</v>
      </c>
      <c r="F683" s="47" t="s">
        <v>18</v>
      </c>
      <c r="G683" s="47" t="s">
        <v>38</v>
      </c>
      <c r="H683" s="47" t="s">
        <v>64</v>
      </c>
      <c r="I683" s="47" t="s">
        <v>64</v>
      </c>
      <c r="J683" s="47" t="s">
        <v>22</v>
      </c>
      <c r="K683" s="59" t="s">
        <v>23</v>
      </c>
      <c r="L683" s="59" t="s">
        <v>23</v>
      </c>
      <c r="M683" s="47" t="s">
        <v>73</v>
      </c>
    </row>
    <row r="684" customHeight="1" spans="1:13">
      <c r="A684" s="47" t="s">
        <v>1468</v>
      </c>
      <c r="B684" s="47" t="s">
        <v>1469</v>
      </c>
      <c r="C684" s="47" t="s">
        <v>363</v>
      </c>
      <c r="D684" s="47" t="s">
        <v>107</v>
      </c>
      <c r="E684" s="47" t="s">
        <v>199</v>
      </c>
      <c r="F684" s="47" t="s">
        <v>18</v>
      </c>
      <c r="G684" s="47" t="s">
        <v>38</v>
      </c>
      <c r="H684" s="47" t="s">
        <v>39</v>
      </c>
      <c r="I684" s="47" t="s">
        <v>39</v>
      </c>
      <c r="J684" s="47" t="s">
        <v>22</v>
      </c>
      <c r="K684" s="59" t="s">
        <v>23</v>
      </c>
      <c r="L684" s="47" t="s">
        <v>65</v>
      </c>
      <c r="M684" s="47" t="s">
        <v>33</v>
      </c>
    </row>
    <row r="685" customHeight="1" spans="1:13">
      <c r="A685" s="47" t="s">
        <v>1470</v>
      </c>
      <c r="B685" s="47" t="s">
        <v>1455</v>
      </c>
      <c r="C685" s="47" t="s">
        <v>1192</v>
      </c>
      <c r="D685" s="47" t="s">
        <v>16</v>
      </c>
      <c r="E685" s="47" t="s">
        <v>367</v>
      </c>
      <c r="F685" s="47" t="s">
        <v>109</v>
      </c>
      <c r="G685" s="47" t="s">
        <v>38</v>
      </c>
      <c r="H685" s="47" t="s">
        <v>110</v>
      </c>
      <c r="I685" s="47" t="s">
        <v>110</v>
      </c>
      <c r="J685" s="47" t="s">
        <v>32</v>
      </c>
      <c r="K685" s="59" t="s">
        <v>23</v>
      </c>
      <c r="L685" s="59" t="s">
        <v>23</v>
      </c>
      <c r="M685" s="47" t="s">
        <v>24</v>
      </c>
    </row>
    <row r="686" customHeight="1" spans="1:13">
      <c r="A686" s="47" t="s">
        <v>1471</v>
      </c>
      <c r="B686" s="47" t="s">
        <v>1455</v>
      </c>
      <c r="C686" s="47" t="s">
        <v>366</v>
      </c>
      <c r="D686" s="47" t="s">
        <v>16</v>
      </c>
      <c r="E686" s="47" t="s">
        <v>146</v>
      </c>
      <c r="F686" s="47" t="s">
        <v>28</v>
      </c>
      <c r="G686" s="47" t="s">
        <v>38</v>
      </c>
      <c r="H686" s="47" t="s">
        <v>147</v>
      </c>
      <c r="I686" s="47" t="s">
        <v>147</v>
      </c>
      <c r="J686" s="47" t="s">
        <v>22</v>
      </c>
      <c r="K686" s="59" t="s">
        <v>23</v>
      </c>
      <c r="L686" s="47" t="s">
        <v>65</v>
      </c>
      <c r="M686" s="47" t="s">
        <v>40</v>
      </c>
    </row>
    <row r="687" customHeight="1" spans="1:13">
      <c r="A687" s="47" t="s">
        <v>1472</v>
      </c>
      <c r="B687" s="47" t="s">
        <v>1455</v>
      </c>
      <c r="C687" s="47" t="s">
        <v>255</v>
      </c>
      <c r="D687" s="47" t="s">
        <v>43</v>
      </c>
      <c r="E687" s="47" t="s">
        <v>367</v>
      </c>
      <c r="F687" s="47" t="s">
        <v>109</v>
      </c>
      <c r="G687" s="47" t="s">
        <v>38</v>
      </c>
      <c r="H687" s="47" t="s">
        <v>110</v>
      </c>
      <c r="I687" s="47" t="s">
        <v>110</v>
      </c>
      <c r="J687" s="47" t="s">
        <v>32</v>
      </c>
      <c r="K687" s="59" t="s">
        <v>23</v>
      </c>
      <c r="L687" s="59" t="s">
        <v>23</v>
      </c>
      <c r="M687" s="47" t="s">
        <v>24</v>
      </c>
    </row>
    <row r="688" customHeight="1" spans="1:13">
      <c r="A688" s="47" t="s">
        <v>1473</v>
      </c>
      <c r="B688" s="47" t="s">
        <v>1474</v>
      </c>
      <c r="C688" s="47" t="s">
        <v>1475</v>
      </c>
      <c r="D688" s="47" t="s">
        <v>16</v>
      </c>
      <c r="E688" s="47" t="s">
        <v>44</v>
      </c>
      <c r="F688" s="47" t="s">
        <v>263</v>
      </c>
      <c r="G688" s="47" t="s">
        <v>38</v>
      </c>
      <c r="H688" s="47" t="s">
        <v>46</v>
      </c>
      <c r="I688" s="47" t="s">
        <v>1026</v>
      </c>
      <c r="J688" s="47" t="s">
        <v>32</v>
      </c>
      <c r="K688" s="47" t="s">
        <v>143</v>
      </c>
      <c r="L688" s="59" t="s">
        <v>23</v>
      </c>
      <c r="M688" s="47" t="s">
        <v>1066</v>
      </c>
    </row>
    <row r="689" customHeight="1" spans="1:13">
      <c r="A689" s="47" t="s">
        <v>1476</v>
      </c>
      <c r="B689" s="47" t="s">
        <v>1477</v>
      </c>
      <c r="C689" s="47" t="s">
        <v>273</v>
      </c>
      <c r="D689" s="47" t="s">
        <v>16</v>
      </c>
      <c r="E689" s="47" t="s">
        <v>103</v>
      </c>
      <c r="F689" s="47" t="s">
        <v>37</v>
      </c>
      <c r="G689" s="47" t="s">
        <v>38</v>
      </c>
      <c r="H689" s="59" t="s">
        <v>23</v>
      </c>
      <c r="I689" s="47" t="s">
        <v>77</v>
      </c>
      <c r="J689" s="47" t="s">
        <v>32</v>
      </c>
      <c r="K689" s="59" t="s">
        <v>23</v>
      </c>
      <c r="L689" s="47" t="s">
        <v>65</v>
      </c>
      <c r="M689" s="47" t="s">
        <v>33</v>
      </c>
    </row>
    <row r="690" customHeight="1" spans="1:13">
      <c r="A690" s="47" t="s">
        <v>1478</v>
      </c>
      <c r="B690" s="47" t="s">
        <v>1474</v>
      </c>
      <c r="C690" s="47" t="s">
        <v>212</v>
      </c>
      <c r="D690" s="47" t="s">
        <v>934</v>
      </c>
      <c r="E690" s="47" t="s">
        <v>103</v>
      </c>
      <c r="F690" s="47" t="s">
        <v>454</v>
      </c>
      <c r="G690" s="47" t="s">
        <v>38</v>
      </c>
      <c r="H690" s="47" t="s">
        <v>77</v>
      </c>
      <c r="I690" s="47" t="s">
        <v>77</v>
      </c>
      <c r="J690" s="47" t="s">
        <v>22</v>
      </c>
      <c r="K690" s="59" t="s">
        <v>23</v>
      </c>
      <c r="L690" s="59" t="s">
        <v>23</v>
      </c>
      <c r="M690" s="47" t="s">
        <v>157</v>
      </c>
    </row>
    <row r="691" customHeight="1" spans="1:13">
      <c r="A691" s="47" t="s">
        <v>1479</v>
      </c>
      <c r="B691" s="47" t="s">
        <v>1474</v>
      </c>
      <c r="C691" s="47" t="s">
        <v>672</v>
      </c>
      <c r="D691" s="47" t="s">
        <v>107</v>
      </c>
      <c r="E691" s="47" t="s">
        <v>44</v>
      </c>
      <c r="F691" s="47" t="s">
        <v>45</v>
      </c>
      <c r="G691" s="47" t="s">
        <v>19</v>
      </c>
      <c r="H691" s="47" t="s">
        <v>46</v>
      </c>
      <c r="I691" s="47" t="s">
        <v>1480</v>
      </c>
      <c r="J691" s="47" t="s">
        <v>22</v>
      </c>
      <c r="K691" s="47" t="s">
        <v>143</v>
      </c>
      <c r="L691" s="59" t="s">
        <v>23</v>
      </c>
      <c r="M691" s="47" t="s">
        <v>40</v>
      </c>
    </row>
    <row r="692" customHeight="1" spans="1:13">
      <c r="A692" s="47" t="s">
        <v>1481</v>
      </c>
      <c r="B692" s="47" t="s">
        <v>1482</v>
      </c>
      <c r="C692" s="47" t="s">
        <v>1483</v>
      </c>
      <c r="D692" s="47" t="s">
        <v>16</v>
      </c>
      <c r="E692" s="47" t="s">
        <v>81</v>
      </c>
      <c r="F692" s="47" t="s">
        <v>37</v>
      </c>
      <c r="G692" s="47" t="s">
        <v>19</v>
      </c>
      <c r="H692" s="47" t="s">
        <v>82</v>
      </c>
      <c r="I692" s="47" t="s">
        <v>184</v>
      </c>
      <c r="J692" s="47" t="s">
        <v>22</v>
      </c>
      <c r="K692" s="59" t="s">
        <v>23</v>
      </c>
      <c r="L692" s="47" t="s">
        <v>54</v>
      </c>
      <c r="M692" s="47" t="s">
        <v>24</v>
      </c>
    </row>
    <row r="693" customHeight="1" spans="1:13">
      <c r="A693" s="47" t="s">
        <v>1484</v>
      </c>
      <c r="B693" s="47" t="s">
        <v>1485</v>
      </c>
      <c r="C693" s="47" t="s">
        <v>1486</v>
      </c>
      <c r="D693" s="47" t="s">
        <v>16</v>
      </c>
      <c r="E693" s="47" t="s">
        <v>81</v>
      </c>
      <c r="F693" s="47" t="s">
        <v>37</v>
      </c>
      <c r="G693" s="47" t="s">
        <v>38</v>
      </c>
      <c r="H693" s="47" t="s">
        <v>82</v>
      </c>
      <c r="I693" s="47" t="s">
        <v>82</v>
      </c>
      <c r="J693" s="47" t="s">
        <v>22</v>
      </c>
      <c r="K693" s="59" t="s">
        <v>23</v>
      </c>
      <c r="L693" s="59" t="s">
        <v>23</v>
      </c>
      <c r="M693" s="47" t="s">
        <v>24</v>
      </c>
    </row>
    <row r="694" customHeight="1" spans="1:13">
      <c r="A694" s="47" t="s">
        <v>1487</v>
      </c>
      <c r="B694" s="47" t="s">
        <v>1488</v>
      </c>
      <c r="C694" s="47" t="s">
        <v>1489</v>
      </c>
      <c r="D694" s="47" t="s">
        <v>107</v>
      </c>
      <c r="E694" s="47" t="s">
        <v>17</v>
      </c>
      <c r="F694" s="47" t="s">
        <v>18</v>
      </c>
      <c r="G694" s="47" t="s">
        <v>19</v>
      </c>
      <c r="H694" s="47" t="s">
        <v>20</v>
      </c>
      <c r="I694" s="47" t="s">
        <v>21</v>
      </c>
      <c r="J694" s="47" t="s">
        <v>753</v>
      </c>
      <c r="K694" s="59" t="s">
        <v>23</v>
      </c>
      <c r="L694" s="47" t="s">
        <v>65</v>
      </c>
      <c r="M694" s="47" t="s">
        <v>24</v>
      </c>
    </row>
    <row r="695" customHeight="1" spans="1:13">
      <c r="A695" s="47" t="s">
        <v>1490</v>
      </c>
      <c r="B695" s="47" t="s">
        <v>1488</v>
      </c>
      <c r="C695" s="47" t="s">
        <v>1491</v>
      </c>
      <c r="D695" s="47" t="s">
        <v>16</v>
      </c>
      <c r="E695" s="47" t="s">
        <v>63</v>
      </c>
      <c r="F695" s="47" t="s">
        <v>18</v>
      </c>
      <c r="G695" s="47" t="s">
        <v>19</v>
      </c>
      <c r="H695" s="59" t="s">
        <v>23</v>
      </c>
      <c r="I695" s="47" t="s">
        <v>987</v>
      </c>
      <c r="J695" s="47" t="s">
        <v>22</v>
      </c>
      <c r="K695" s="47" t="s">
        <v>119</v>
      </c>
      <c r="L695" s="47" t="s">
        <v>65</v>
      </c>
      <c r="M695" s="47" t="s">
        <v>40</v>
      </c>
    </row>
    <row r="696" customHeight="1" spans="1:13">
      <c r="A696" s="47" t="s">
        <v>1492</v>
      </c>
      <c r="B696" s="47" t="s">
        <v>1493</v>
      </c>
      <c r="C696" s="47" t="s">
        <v>1494</v>
      </c>
      <c r="D696" s="47" t="s">
        <v>16</v>
      </c>
      <c r="E696" s="47" t="s">
        <v>17</v>
      </c>
      <c r="F696" s="47" t="s">
        <v>18</v>
      </c>
      <c r="G696" s="47" t="s">
        <v>38</v>
      </c>
      <c r="H696" s="47" t="s">
        <v>20</v>
      </c>
      <c r="I696" s="47" t="s">
        <v>20</v>
      </c>
      <c r="J696" s="47" t="s">
        <v>32</v>
      </c>
      <c r="K696" s="59" t="s">
        <v>23</v>
      </c>
      <c r="L696" s="47" t="s">
        <v>54</v>
      </c>
      <c r="M696" s="47" t="s">
        <v>1387</v>
      </c>
    </row>
    <row r="697" customHeight="1" spans="1:13">
      <c r="A697" s="47" t="s">
        <v>1495</v>
      </c>
      <c r="B697" s="47" t="s">
        <v>1493</v>
      </c>
      <c r="C697" s="47" t="s">
        <v>1166</v>
      </c>
      <c r="D697" s="47" t="s">
        <v>16</v>
      </c>
      <c r="E697" s="47" t="s">
        <v>27</v>
      </c>
      <c r="F697" s="47" t="s">
        <v>28</v>
      </c>
      <c r="G697" s="47" t="s">
        <v>19</v>
      </c>
      <c r="H697" s="47" t="s">
        <v>30</v>
      </c>
      <c r="I697" s="47" t="s">
        <v>258</v>
      </c>
      <c r="J697" s="47" t="s">
        <v>22</v>
      </c>
      <c r="K697" s="59" t="s">
        <v>23</v>
      </c>
      <c r="L697" s="59" t="s">
        <v>23</v>
      </c>
      <c r="M697" s="47" t="s">
        <v>24</v>
      </c>
    </row>
    <row r="698" customHeight="1" spans="1:13">
      <c r="A698" s="47" t="s">
        <v>1496</v>
      </c>
      <c r="B698" s="47" t="s">
        <v>1493</v>
      </c>
      <c r="C698" s="47" t="s">
        <v>311</v>
      </c>
      <c r="D698" s="47" t="s">
        <v>16</v>
      </c>
      <c r="E698" s="47" t="s">
        <v>103</v>
      </c>
      <c r="F698" s="47" t="s">
        <v>37</v>
      </c>
      <c r="G698" s="47" t="s">
        <v>38</v>
      </c>
      <c r="H698" s="47" t="s">
        <v>77</v>
      </c>
      <c r="I698" s="47" t="s">
        <v>77</v>
      </c>
      <c r="J698" s="47" t="s">
        <v>715</v>
      </c>
      <c r="K698" s="59" t="s">
        <v>23</v>
      </c>
      <c r="L698" s="47" t="s">
        <v>65</v>
      </c>
      <c r="M698" s="47" t="s">
        <v>24</v>
      </c>
    </row>
    <row r="699" customHeight="1" spans="1:13">
      <c r="A699" s="47" t="s">
        <v>1497</v>
      </c>
      <c r="B699" s="47" t="s">
        <v>1493</v>
      </c>
      <c r="C699" s="47" t="s">
        <v>1384</v>
      </c>
      <c r="D699" s="47" t="s">
        <v>16</v>
      </c>
      <c r="E699" s="47" t="s">
        <v>647</v>
      </c>
      <c r="F699" s="47" t="s">
        <v>45</v>
      </c>
      <c r="G699" s="47" t="s">
        <v>38</v>
      </c>
      <c r="H699" s="47" t="s">
        <v>227</v>
      </c>
      <c r="I699" s="47" t="s">
        <v>1498</v>
      </c>
      <c r="J699" s="47" t="s">
        <v>22</v>
      </c>
      <c r="K699" s="47" t="s">
        <v>53</v>
      </c>
      <c r="L699" s="47" t="s">
        <v>19</v>
      </c>
      <c r="M699" s="47" t="s">
        <v>47</v>
      </c>
    </row>
    <row r="700" customHeight="1" spans="1:13">
      <c r="A700" s="47" t="s">
        <v>1499</v>
      </c>
      <c r="B700" s="47" t="s">
        <v>1493</v>
      </c>
      <c r="C700" s="47" t="s">
        <v>1230</v>
      </c>
      <c r="D700" s="47" t="s">
        <v>393</v>
      </c>
      <c r="E700" s="47" t="s">
        <v>103</v>
      </c>
      <c r="F700" s="47" t="s">
        <v>37</v>
      </c>
      <c r="G700" s="47" t="s">
        <v>38</v>
      </c>
      <c r="H700" s="47" t="s">
        <v>77</v>
      </c>
      <c r="I700" s="47" t="s">
        <v>77</v>
      </c>
      <c r="J700" s="47" t="s">
        <v>22</v>
      </c>
      <c r="K700" s="59" t="s">
        <v>23</v>
      </c>
      <c r="L700" s="47" t="s">
        <v>29</v>
      </c>
      <c r="M700" s="47" t="s">
        <v>40</v>
      </c>
    </row>
    <row r="701" customHeight="1" spans="1:13">
      <c r="A701" s="47" t="s">
        <v>1500</v>
      </c>
      <c r="B701" s="47" t="s">
        <v>1501</v>
      </c>
      <c r="C701" s="47" t="s">
        <v>92</v>
      </c>
      <c r="D701" s="47" t="s">
        <v>16</v>
      </c>
      <c r="E701" s="47" t="s">
        <v>63</v>
      </c>
      <c r="F701" s="47" t="s">
        <v>18</v>
      </c>
      <c r="G701" s="47" t="s">
        <v>38</v>
      </c>
      <c r="H701" s="47" t="s">
        <v>64</v>
      </c>
      <c r="I701" s="47" t="s">
        <v>64</v>
      </c>
      <c r="J701" s="47" t="s">
        <v>22</v>
      </c>
      <c r="K701" s="59" t="s">
        <v>23</v>
      </c>
      <c r="L701" s="47" t="s">
        <v>65</v>
      </c>
      <c r="M701" s="47" t="s">
        <v>47</v>
      </c>
    </row>
    <row r="702" customHeight="1" spans="1:13">
      <c r="A702" s="47" t="s">
        <v>1502</v>
      </c>
      <c r="B702" s="47" t="s">
        <v>1493</v>
      </c>
      <c r="C702" s="47" t="s">
        <v>967</v>
      </c>
      <c r="D702" s="47" t="s">
        <v>16</v>
      </c>
      <c r="E702" s="47" t="s">
        <v>44</v>
      </c>
      <c r="F702" s="47" t="s">
        <v>45</v>
      </c>
      <c r="G702" s="47" t="s">
        <v>38</v>
      </c>
      <c r="H702" s="47" t="s">
        <v>46</v>
      </c>
      <c r="I702" s="47" t="s">
        <v>46</v>
      </c>
      <c r="J702" s="47" t="s">
        <v>22</v>
      </c>
      <c r="K702" s="59" t="s">
        <v>23</v>
      </c>
      <c r="L702" s="59" t="s">
        <v>23</v>
      </c>
      <c r="M702" s="47" t="s">
        <v>40</v>
      </c>
    </row>
    <row r="703" customHeight="1" spans="1:13">
      <c r="A703" s="47" t="s">
        <v>1503</v>
      </c>
      <c r="B703" s="47" t="s">
        <v>1504</v>
      </c>
      <c r="C703" s="47" t="s">
        <v>540</v>
      </c>
      <c r="D703" s="47" t="s">
        <v>107</v>
      </c>
      <c r="E703" s="47" t="s">
        <v>103</v>
      </c>
      <c r="F703" s="47" t="s">
        <v>37</v>
      </c>
      <c r="G703" s="47" t="s">
        <v>38</v>
      </c>
      <c r="H703" s="47" t="s">
        <v>77</v>
      </c>
      <c r="I703" s="47" t="s">
        <v>77</v>
      </c>
      <c r="J703" s="47" t="s">
        <v>32</v>
      </c>
      <c r="K703" s="59" t="s">
        <v>23</v>
      </c>
      <c r="L703" s="47" t="s">
        <v>65</v>
      </c>
      <c r="M703" s="47" t="s">
        <v>24</v>
      </c>
    </row>
    <row r="704" customHeight="1" spans="1:13">
      <c r="A704" s="47" t="s">
        <v>1505</v>
      </c>
      <c r="B704" s="47" t="s">
        <v>1504</v>
      </c>
      <c r="C704" s="47" t="s">
        <v>436</v>
      </c>
      <c r="D704" s="47" t="s">
        <v>16</v>
      </c>
      <c r="E704" s="47" t="s">
        <v>63</v>
      </c>
      <c r="F704" s="47" t="s">
        <v>18</v>
      </c>
      <c r="G704" s="47" t="s">
        <v>38</v>
      </c>
      <c r="H704" s="47" t="s">
        <v>64</v>
      </c>
      <c r="I704" s="47" t="s">
        <v>64</v>
      </c>
      <c r="J704" s="47" t="s">
        <v>32</v>
      </c>
      <c r="K704" s="59" t="s">
        <v>23</v>
      </c>
      <c r="L704" s="47" t="s">
        <v>29</v>
      </c>
      <c r="M704" s="47" t="s">
        <v>574</v>
      </c>
    </row>
    <row r="705" customHeight="1" spans="1:13">
      <c r="A705" s="47" t="s">
        <v>1505</v>
      </c>
      <c r="B705" s="47" t="s">
        <v>1504</v>
      </c>
      <c r="C705" s="47" t="s">
        <v>436</v>
      </c>
      <c r="D705" s="47" t="s">
        <v>134</v>
      </c>
      <c r="E705" s="47" t="s">
        <v>63</v>
      </c>
      <c r="F705" s="47" t="s">
        <v>18</v>
      </c>
      <c r="G705" s="47" t="s">
        <v>38</v>
      </c>
      <c r="H705" s="47" t="s">
        <v>64</v>
      </c>
      <c r="I705" s="47" t="s">
        <v>64</v>
      </c>
      <c r="J705" s="47" t="s">
        <v>32</v>
      </c>
      <c r="K705" s="59" t="s">
        <v>23</v>
      </c>
      <c r="L705" s="47" t="s">
        <v>29</v>
      </c>
      <c r="M705" s="47" t="s">
        <v>40</v>
      </c>
    </row>
    <row r="706" customHeight="1" spans="1:13">
      <c r="A706" s="47" t="s">
        <v>1506</v>
      </c>
      <c r="B706" s="47" t="s">
        <v>1504</v>
      </c>
      <c r="C706" s="47" t="s">
        <v>1507</v>
      </c>
      <c r="D706" s="47" t="s">
        <v>16</v>
      </c>
      <c r="E706" s="47" t="s">
        <v>1508</v>
      </c>
      <c r="F706" s="59" t="s">
        <v>23</v>
      </c>
      <c r="G706" s="47" t="s">
        <v>38</v>
      </c>
      <c r="H706" s="47" t="s">
        <v>147</v>
      </c>
      <c r="I706" s="47" t="s">
        <v>590</v>
      </c>
      <c r="J706" s="47" t="s">
        <v>22</v>
      </c>
      <c r="K706" s="47" t="s">
        <v>53</v>
      </c>
      <c r="L706" s="59" t="s">
        <v>23</v>
      </c>
      <c r="M706" s="47" t="s">
        <v>47</v>
      </c>
    </row>
    <row r="707" customHeight="1" spans="1:13">
      <c r="A707" s="47" t="s">
        <v>1509</v>
      </c>
      <c r="B707" s="47" t="s">
        <v>1510</v>
      </c>
      <c r="C707" s="47" t="s">
        <v>1511</v>
      </c>
      <c r="D707" s="47" t="s">
        <v>16</v>
      </c>
      <c r="E707" s="47" t="s">
        <v>27</v>
      </c>
      <c r="F707" s="59" t="s">
        <v>23</v>
      </c>
      <c r="G707" s="47" t="s">
        <v>19</v>
      </c>
      <c r="H707" s="47" t="s">
        <v>30</v>
      </c>
      <c r="I707" s="47" t="s">
        <v>258</v>
      </c>
      <c r="J707" s="47" t="s">
        <v>22</v>
      </c>
      <c r="K707" s="59" t="s">
        <v>23</v>
      </c>
      <c r="L707" s="47" t="s">
        <v>65</v>
      </c>
      <c r="M707" s="47" t="s">
        <v>33</v>
      </c>
    </row>
    <row r="708" customHeight="1" spans="1:13">
      <c r="A708" s="47" t="s">
        <v>1512</v>
      </c>
      <c r="B708" s="47" t="s">
        <v>1510</v>
      </c>
      <c r="C708" s="47" t="s">
        <v>139</v>
      </c>
      <c r="D708" s="47" t="s">
        <v>16</v>
      </c>
      <c r="E708" s="47" t="s">
        <v>17</v>
      </c>
      <c r="F708" s="59" t="s">
        <v>23</v>
      </c>
      <c r="G708" s="47" t="s">
        <v>19</v>
      </c>
      <c r="H708" s="47" t="s">
        <v>20</v>
      </c>
      <c r="I708" s="47" t="s">
        <v>21</v>
      </c>
      <c r="J708" s="47" t="s">
        <v>32</v>
      </c>
      <c r="K708" s="59" t="s">
        <v>23</v>
      </c>
      <c r="L708" s="59" t="s">
        <v>23</v>
      </c>
      <c r="M708" s="47" t="s">
        <v>33</v>
      </c>
    </row>
    <row r="709" customHeight="1" spans="1:13">
      <c r="A709" s="47" t="s">
        <v>1513</v>
      </c>
      <c r="B709" s="47" t="s">
        <v>1510</v>
      </c>
      <c r="C709" s="47" t="s">
        <v>1514</v>
      </c>
      <c r="D709" s="47" t="s">
        <v>16</v>
      </c>
      <c r="E709" s="47" t="s">
        <v>103</v>
      </c>
      <c r="F709" s="47" t="s">
        <v>454</v>
      </c>
      <c r="G709" s="47" t="s">
        <v>38</v>
      </c>
      <c r="H709" s="47" t="s">
        <v>77</v>
      </c>
      <c r="I709" s="47" t="s">
        <v>77</v>
      </c>
      <c r="J709" s="47" t="s">
        <v>22</v>
      </c>
      <c r="K709" s="59" t="s">
        <v>23</v>
      </c>
      <c r="L709" s="59" t="s">
        <v>23</v>
      </c>
      <c r="M709" s="47" t="s">
        <v>47</v>
      </c>
    </row>
    <row r="710" customHeight="1" spans="1:13">
      <c r="A710" s="47" t="s">
        <v>1515</v>
      </c>
      <c r="B710" s="47" t="s">
        <v>1510</v>
      </c>
      <c r="C710" s="47" t="s">
        <v>834</v>
      </c>
      <c r="D710" s="47" t="s">
        <v>16</v>
      </c>
      <c r="E710" s="47" t="s">
        <v>103</v>
      </c>
      <c r="F710" s="47" t="s">
        <v>37</v>
      </c>
      <c r="G710" s="47" t="s">
        <v>38</v>
      </c>
      <c r="H710" s="47" t="s">
        <v>77</v>
      </c>
      <c r="I710" s="47" t="s">
        <v>77</v>
      </c>
      <c r="J710" s="47" t="s">
        <v>22</v>
      </c>
      <c r="K710" s="59" t="s">
        <v>23</v>
      </c>
      <c r="L710" s="59" t="s">
        <v>23</v>
      </c>
      <c r="M710" s="47" t="s">
        <v>24</v>
      </c>
    </row>
    <row r="711" customHeight="1" spans="1:13">
      <c r="A711" s="47" t="s">
        <v>1516</v>
      </c>
      <c r="B711" s="47" t="s">
        <v>1510</v>
      </c>
      <c r="C711" s="47" t="s">
        <v>283</v>
      </c>
      <c r="D711" s="47" t="s">
        <v>107</v>
      </c>
      <c r="E711" s="47" t="s">
        <v>95</v>
      </c>
      <c r="F711" s="47" t="s">
        <v>45</v>
      </c>
      <c r="G711" s="47" t="s">
        <v>38</v>
      </c>
      <c r="H711" s="47" t="s">
        <v>77</v>
      </c>
      <c r="I711" s="47" t="s">
        <v>77</v>
      </c>
      <c r="J711" s="47" t="s">
        <v>32</v>
      </c>
      <c r="K711" s="59" t="s">
        <v>23</v>
      </c>
      <c r="L711" s="59" t="s">
        <v>23</v>
      </c>
      <c r="M711" s="47" t="s">
        <v>40</v>
      </c>
    </row>
    <row r="712" customHeight="1" spans="1:13">
      <c r="A712" s="47" t="s">
        <v>1516</v>
      </c>
      <c r="B712" s="47" t="s">
        <v>1517</v>
      </c>
      <c r="C712" s="47" t="s">
        <v>283</v>
      </c>
      <c r="D712" s="47" t="s">
        <v>71</v>
      </c>
      <c r="E712" s="47" t="s">
        <v>95</v>
      </c>
      <c r="F712" s="47" t="s">
        <v>45</v>
      </c>
      <c r="G712" s="47" t="s">
        <v>38</v>
      </c>
      <c r="H712" s="47" t="s">
        <v>77</v>
      </c>
      <c r="I712" s="47" t="s">
        <v>77</v>
      </c>
      <c r="J712" s="47" t="s">
        <v>32</v>
      </c>
      <c r="K712" s="59" t="s">
        <v>23</v>
      </c>
      <c r="L712" s="59" t="s">
        <v>23</v>
      </c>
      <c r="M712" s="47" t="s">
        <v>40</v>
      </c>
    </row>
    <row r="713" customHeight="1" spans="1:13">
      <c r="A713" s="47" t="s">
        <v>1518</v>
      </c>
      <c r="B713" s="47" t="s">
        <v>1510</v>
      </c>
      <c r="C713" s="47" t="s">
        <v>837</v>
      </c>
      <c r="D713" s="47" t="s">
        <v>16</v>
      </c>
      <c r="E713" s="47" t="s">
        <v>81</v>
      </c>
      <c r="F713" s="47" t="s">
        <v>37</v>
      </c>
      <c r="G713" s="47" t="s">
        <v>19</v>
      </c>
      <c r="H713" s="47" t="s">
        <v>82</v>
      </c>
      <c r="I713" s="47" t="s">
        <v>184</v>
      </c>
      <c r="J713" s="47" t="s">
        <v>32</v>
      </c>
      <c r="K713" s="59" t="s">
        <v>23</v>
      </c>
      <c r="L713" s="47" t="s">
        <v>29</v>
      </c>
      <c r="M713" s="47" t="s">
        <v>40</v>
      </c>
    </row>
    <row r="714" customHeight="1" spans="1:13">
      <c r="A714" s="47" t="s">
        <v>1519</v>
      </c>
      <c r="B714" s="47" t="s">
        <v>1477</v>
      </c>
      <c r="C714" s="47" t="s">
        <v>1520</v>
      </c>
      <c r="D714" s="47" t="s">
        <v>16</v>
      </c>
      <c r="E714" s="47" t="s">
        <v>267</v>
      </c>
      <c r="F714" s="47" t="s">
        <v>18</v>
      </c>
      <c r="G714" s="47" t="s">
        <v>38</v>
      </c>
      <c r="H714" s="47" t="s">
        <v>64</v>
      </c>
      <c r="I714" s="47" t="s">
        <v>64</v>
      </c>
      <c r="J714" s="47" t="s">
        <v>22</v>
      </c>
      <c r="K714" s="59" t="s">
        <v>23</v>
      </c>
      <c r="L714" s="59" t="s">
        <v>23</v>
      </c>
      <c r="M714" s="47" t="s">
        <v>40</v>
      </c>
    </row>
    <row r="715" customHeight="1" spans="1:13">
      <c r="A715" s="47" t="s">
        <v>1521</v>
      </c>
      <c r="B715" s="47" t="s">
        <v>1522</v>
      </c>
      <c r="C715" s="47" t="s">
        <v>983</v>
      </c>
      <c r="D715" s="47" t="s">
        <v>43</v>
      </c>
      <c r="E715" s="47" t="s">
        <v>1523</v>
      </c>
      <c r="F715" s="47" t="s">
        <v>45</v>
      </c>
      <c r="G715" s="47" t="s">
        <v>19</v>
      </c>
      <c r="H715" s="47" t="s">
        <v>46</v>
      </c>
      <c r="I715" s="47" t="s">
        <v>114</v>
      </c>
      <c r="J715" s="47" t="s">
        <v>22</v>
      </c>
      <c r="K715" s="59" t="s">
        <v>23</v>
      </c>
      <c r="L715" s="47" t="s">
        <v>29</v>
      </c>
      <c r="M715" s="47" t="s">
        <v>574</v>
      </c>
    </row>
    <row r="716" customHeight="1" spans="1:13">
      <c r="A716" s="47" t="s">
        <v>1524</v>
      </c>
      <c r="B716" s="47" t="s">
        <v>1477</v>
      </c>
      <c r="C716" s="47" t="s">
        <v>1525</v>
      </c>
      <c r="D716" s="47" t="s">
        <v>16</v>
      </c>
      <c r="E716" s="47" t="s">
        <v>81</v>
      </c>
      <c r="F716" s="47" t="s">
        <v>1286</v>
      </c>
      <c r="G716" s="47" t="s">
        <v>38</v>
      </c>
      <c r="H716" s="47" t="s">
        <v>82</v>
      </c>
      <c r="I716" s="47" t="s">
        <v>82</v>
      </c>
      <c r="J716" s="47" t="s">
        <v>22</v>
      </c>
      <c r="K716" s="59" t="s">
        <v>23</v>
      </c>
      <c r="L716" s="59" t="s">
        <v>23</v>
      </c>
      <c r="M716" s="47" t="s">
        <v>40</v>
      </c>
    </row>
    <row r="717" customHeight="1" spans="1:13">
      <c r="A717" s="47" t="s">
        <v>1524</v>
      </c>
      <c r="B717" s="47" t="s">
        <v>1477</v>
      </c>
      <c r="C717" s="47" t="s">
        <v>1525</v>
      </c>
      <c r="D717" s="47" t="s">
        <v>16</v>
      </c>
      <c r="E717" s="47" t="s">
        <v>81</v>
      </c>
      <c r="F717" s="47" t="s">
        <v>37</v>
      </c>
      <c r="G717" s="47" t="s">
        <v>38</v>
      </c>
      <c r="H717" s="47" t="s">
        <v>82</v>
      </c>
      <c r="I717" s="47" t="s">
        <v>82</v>
      </c>
      <c r="J717" s="47" t="s">
        <v>22</v>
      </c>
      <c r="K717" s="59" t="s">
        <v>23</v>
      </c>
      <c r="L717" s="59" t="s">
        <v>23</v>
      </c>
      <c r="M717" s="47" t="s">
        <v>574</v>
      </c>
    </row>
    <row r="718" customHeight="1" spans="1:13">
      <c r="A718" s="47" t="s">
        <v>1526</v>
      </c>
      <c r="B718" s="47" t="s">
        <v>1477</v>
      </c>
      <c r="C718" s="47" t="s">
        <v>1197</v>
      </c>
      <c r="D718" s="47" t="s">
        <v>16</v>
      </c>
      <c r="E718" s="47" t="s">
        <v>44</v>
      </c>
      <c r="F718" s="47" t="s">
        <v>45</v>
      </c>
      <c r="G718" s="47" t="s">
        <v>38</v>
      </c>
      <c r="H718" s="47" t="s">
        <v>1208</v>
      </c>
      <c r="I718" s="47" t="s">
        <v>46</v>
      </c>
      <c r="J718" s="47" t="s">
        <v>22</v>
      </c>
      <c r="K718" s="59" t="s">
        <v>23</v>
      </c>
      <c r="L718" s="59" t="s">
        <v>23</v>
      </c>
      <c r="M718" s="47" t="s">
        <v>24</v>
      </c>
    </row>
    <row r="719" customHeight="1" spans="1:13">
      <c r="A719" s="47" t="s">
        <v>1527</v>
      </c>
      <c r="B719" s="47" t="s">
        <v>1477</v>
      </c>
      <c r="C719" s="47" t="s">
        <v>1528</v>
      </c>
      <c r="D719" s="47" t="s">
        <v>16</v>
      </c>
      <c r="E719" s="47" t="s">
        <v>199</v>
      </c>
      <c r="F719" s="47" t="s">
        <v>18</v>
      </c>
      <c r="G719" s="47" t="s">
        <v>38</v>
      </c>
      <c r="H719" s="47" t="s">
        <v>39</v>
      </c>
      <c r="I719" s="47" t="s">
        <v>39</v>
      </c>
      <c r="J719" s="47" t="s">
        <v>22</v>
      </c>
      <c r="K719" s="59" t="s">
        <v>23</v>
      </c>
      <c r="L719" s="47" t="s">
        <v>65</v>
      </c>
      <c r="M719" s="47" t="s">
        <v>40</v>
      </c>
    </row>
    <row r="720" customHeight="1" spans="1:13">
      <c r="A720" s="47" t="s">
        <v>1529</v>
      </c>
      <c r="B720" s="47" t="s">
        <v>1474</v>
      </c>
      <c r="C720" s="47" t="s">
        <v>1530</v>
      </c>
      <c r="D720" s="47" t="s">
        <v>107</v>
      </c>
      <c r="E720" s="47" t="s">
        <v>36</v>
      </c>
      <c r="F720" s="47" t="s">
        <v>37</v>
      </c>
      <c r="G720" s="47" t="s">
        <v>38</v>
      </c>
      <c r="H720" s="47" t="s">
        <v>39</v>
      </c>
      <c r="I720" s="47" t="s">
        <v>987</v>
      </c>
      <c r="J720" s="47" t="s">
        <v>22</v>
      </c>
      <c r="K720" s="47" t="s">
        <v>119</v>
      </c>
      <c r="L720" s="59" t="s">
        <v>23</v>
      </c>
      <c r="M720" s="47" t="s">
        <v>33</v>
      </c>
    </row>
    <row r="721" customHeight="1" spans="1:13">
      <c r="A721" s="47" t="s">
        <v>1531</v>
      </c>
      <c r="B721" s="47" t="s">
        <v>1477</v>
      </c>
      <c r="C721" s="47" t="s">
        <v>853</v>
      </c>
      <c r="D721" s="47" t="s">
        <v>43</v>
      </c>
      <c r="E721" s="47" t="s">
        <v>36</v>
      </c>
      <c r="F721" s="47" t="s">
        <v>37</v>
      </c>
      <c r="G721" s="47" t="s">
        <v>29</v>
      </c>
      <c r="H721" s="47" t="s">
        <v>39</v>
      </c>
      <c r="I721" s="47" t="s">
        <v>845</v>
      </c>
      <c r="J721" s="47" t="s">
        <v>22</v>
      </c>
      <c r="K721" s="47" t="s">
        <v>53</v>
      </c>
      <c r="L721" s="59" t="s">
        <v>23</v>
      </c>
      <c r="M721" s="47" t="s">
        <v>33</v>
      </c>
    </row>
    <row r="722" customHeight="1" spans="1:13">
      <c r="A722" s="47" t="s">
        <v>1532</v>
      </c>
      <c r="B722" s="47" t="s">
        <v>1477</v>
      </c>
      <c r="C722" s="47" t="s">
        <v>967</v>
      </c>
      <c r="D722" s="47" t="s">
        <v>16</v>
      </c>
      <c r="E722" s="47" t="s">
        <v>103</v>
      </c>
      <c r="F722" s="47" t="s">
        <v>37</v>
      </c>
      <c r="G722" s="47" t="s">
        <v>38</v>
      </c>
      <c r="H722" s="47" t="s">
        <v>77</v>
      </c>
      <c r="I722" s="47" t="s">
        <v>46</v>
      </c>
      <c r="J722" s="47" t="s">
        <v>22</v>
      </c>
      <c r="K722" s="47" t="s">
        <v>119</v>
      </c>
      <c r="L722" s="59" t="s">
        <v>23</v>
      </c>
      <c r="M722" s="47" t="s">
        <v>99</v>
      </c>
    </row>
    <row r="723" customHeight="1" spans="1:13">
      <c r="A723" s="47" t="s">
        <v>1533</v>
      </c>
      <c r="B723" s="47" t="s">
        <v>1477</v>
      </c>
      <c r="C723" s="47" t="s">
        <v>765</v>
      </c>
      <c r="D723" s="47" t="s">
        <v>16</v>
      </c>
      <c r="E723" s="47" t="s">
        <v>165</v>
      </c>
      <c r="F723" s="47" t="s">
        <v>109</v>
      </c>
      <c r="G723" s="47" t="s">
        <v>19</v>
      </c>
      <c r="H723" s="47" t="s">
        <v>82</v>
      </c>
      <c r="I723" s="47" t="s">
        <v>184</v>
      </c>
      <c r="J723" s="47" t="s">
        <v>22</v>
      </c>
      <c r="K723" s="47" t="s">
        <v>53</v>
      </c>
      <c r="L723" s="47" t="s">
        <v>29</v>
      </c>
      <c r="M723" s="47" t="s">
        <v>40</v>
      </c>
    </row>
    <row r="724" customHeight="1" spans="1:13">
      <c r="A724" s="47" t="s">
        <v>1534</v>
      </c>
      <c r="B724" s="47" t="s">
        <v>1535</v>
      </c>
      <c r="C724" s="47" t="s">
        <v>255</v>
      </c>
      <c r="D724" s="47" t="s">
        <v>1536</v>
      </c>
      <c r="E724" s="47" t="s">
        <v>95</v>
      </c>
      <c r="F724" s="47" t="s">
        <v>45</v>
      </c>
      <c r="G724" s="47" t="s">
        <v>19</v>
      </c>
      <c r="H724" s="47" t="s">
        <v>77</v>
      </c>
      <c r="I724" s="47" t="s">
        <v>96</v>
      </c>
      <c r="J724" s="47" t="s">
        <v>22</v>
      </c>
      <c r="K724" s="59" t="s">
        <v>23</v>
      </c>
      <c r="L724" s="59" t="s">
        <v>23</v>
      </c>
      <c r="M724" s="47" t="s">
        <v>73</v>
      </c>
    </row>
    <row r="725" customHeight="1" spans="1:13">
      <c r="A725" s="47" t="s">
        <v>1537</v>
      </c>
      <c r="B725" s="47" t="s">
        <v>1538</v>
      </c>
      <c r="C725" s="47" t="s">
        <v>1539</v>
      </c>
      <c r="D725" s="47" t="s">
        <v>107</v>
      </c>
      <c r="E725" s="47" t="s">
        <v>36</v>
      </c>
      <c r="F725" s="47" t="s">
        <v>37</v>
      </c>
      <c r="G725" s="47" t="s">
        <v>38</v>
      </c>
      <c r="H725" s="47" t="s">
        <v>39</v>
      </c>
      <c r="I725" s="47" t="s">
        <v>39</v>
      </c>
      <c r="J725" s="47" t="s">
        <v>22</v>
      </c>
      <c r="K725" s="59" t="s">
        <v>23</v>
      </c>
      <c r="L725" s="59" t="s">
        <v>23</v>
      </c>
      <c r="M725" s="47" t="s">
        <v>73</v>
      </c>
    </row>
    <row r="726" customHeight="1" spans="1:13">
      <c r="A726" s="47" t="s">
        <v>1540</v>
      </c>
      <c r="B726" s="47" t="s">
        <v>1538</v>
      </c>
      <c r="C726" s="47" t="s">
        <v>1541</v>
      </c>
      <c r="D726" s="47" t="s">
        <v>16</v>
      </c>
      <c r="E726" s="47" t="s">
        <v>27</v>
      </c>
      <c r="F726" s="47" t="s">
        <v>28</v>
      </c>
      <c r="G726" s="47" t="s">
        <v>38</v>
      </c>
      <c r="H726" s="47" t="s">
        <v>30</v>
      </c>
      <c r="I726" s="47" t="s">
        <v>90</v>
      </c>
      <c r="J726" s="47" t="s">
        <v>32</v>
      </c>
      <c r="K726" s="47" t="s">
        <v>53</v>
      </c>
      <c r="L726" s="47" t="s">
        <v>65</v>
      </c>
      <c r="M726" s="47" t="s">
        <v>47</v>
      </c>
    </row>
    <row r="727" customHeight="1" spans="1:13">
      <c r="A727" s="47" t="s">
        <v>1542</v>
      </c>
      <c r="B727" s="47" t="s">
        <v>1543</v>
      </c>
      <c r="C727" s="47" t="s">
        <v>1544</v>
      </c>
      <c r="D727" s="47" t="s">
        <v>16</v>
      </c>
      <c r="E727" s="47" t="s">
        <v>103</v>
      </c>
      <c r="F727" s="47" t="s">
        <v>37</v>
      </c>
      <c r="G727" s="47" t="s">
        <v>38</v>
      </c>
      <c r="H727" s="47" t="s">
        <v>77</v>
      </c>
      <c r="I727" s="47" t="s">
        <v>77</v>
      </c>
      <c r="J727" s="47" t="s">
        <v>22</v>
      </c>
      <c r="K727" s="59" t="s">
        <v>23</v>
      </c>
      <c r="L727" s="59" t="s">
        <v>23</v>
      </c>
      <c r="M727" s="47" t="s">
        <v>574</v>
      </c>
    </row>
    <row r="728" customHeight="1" spans="1:13">
      <c r="A728" s="47" t="s">
        <v>1545</v>
      </c>
      <c r="B728" s="47" t="s">
        <v>1538</v>
      </c>
      <c r="C728" s="47" t="s">
        <v>1546</v>
      </c>
      <c r="D728" s="47" t="s">
        <v>107</v>
      </c>
      <c r="E728" s="47" t="s">
        <v>27</v>
      </c>
      <c r="F728" s="47" t="s">
        <v>28</v>
      </c>
      <c r="G728" s="47" t="s">
        <v>38</v>
      </c>
      <c r="H728" s="47" t="s">
        <v>30</v>
      </c>
      <c r="I728" s="47" t="s">
        <v>30</v>
      </c>
      <c r="J728" s="47" t="s">
        <v>22</v>
      </c>
      <c r="K728" s="59" t="s">
        <v>23</v>
      </c>
      <c r="L728" s="59" t="s">
        <v>23</v>
      </c>
      <c r="M728" s="47" t="s">
        <v>24</v>
      </c>
    </row>
    <row r="729" customHeight="1" spans="1:13">
      <c r="A729" s="47" t="s">
        <v>1547</v>
      </c>
      <c r="B729" s="47" t="s">
        <v>1538</v>
      </c>
      <c r="C729" s="47" t="s">
        <v>729</v>
      </c>
      <c r="D729" s="47" t="s">
        <v>16</v>
      </c>
      <c r="E729" s="47" t="s">
        <v>57</v>
      </c>
      <c r="F729" s="47" t="s">
        <v>28</v>
      </c>
      <c r="G729" s="47" t="s">
        <v>19</v>
      </c>
      <c r="H729" s="47" t="s">
        <v>58</v>
      </c>
      <c r="I729" s="47" t="s">
        <v>140</v>
      </c>
      <c r="J729" s="47" t="s">
        <v>22</v>
      </c>
      <c r="K729" s="59" t="s">
        <v>23</v>
      </c>
      <c r="L729" s="59" t="s">
        <v>23</v>
      </c>
      <c r="M729" s="47" t="s">
        <v>33</v>
      </c>
    </row>
    <row r="730" customHeight="1" spans="1:13">
      <c r="A730" s="47" t="s">
        <v>1548</v>
      </c>
      <c r="B730" s="47" t="s">
        <v>1538</v>
      </c>
      <c r="C730" s="47" t="s">
        <v>1302</v>
      </c>
      <c r="D730" s="47" t="s">
        <v>1549</v>
      </c>
      <c r="E730" s="47" t="s">
        <v>57</v>
      </c>
      <c r="F730" s="47" t="s">
        <v>28</v>
      </c>
      <c r="G730" s="47" t="s">
        <v>38</v>
      </c>
      <c r="H730" s="47" t="s">
        <v>58</v>
      </c>
      <c r="I730" s="47" t="s">
        <v>58</v>
      </c>
      <c r="J730" s="47" t="s">
        <v>32</v>
      </c>
      <c r="K730" s="59" t="s">
        <v>23</v>
      </c>
      <c r="L730" s="59" t="s">
        <v>23</v>
      </c>
      <c r="M730" s="47" t="s">
        <v>73</v>
      </c>
    </row>
    <row r="731" customHeight="1" spans="1:13">
      <c r="A731" s="47" t="s">
        <v>1550</v>
      </c>
      <c r="B731" s="47" t="s">
        <v>1551</v>
      </c>
      <c r="C731" s="47" t="s">
        <v>229</v>
      </c>
      <c r="D731" s="47" t="s">
        <v>86</v>
      </c>
      <c r="E731" s="47" t="s">
        <v>81</v>
      </c>
      <c r="F731" s="47" t="s">
        <v>37</v>
      </c>
      <c r="G731" s="47" t="s">
        <v>19</v>
      </c>
      <c r="H731" s="47" t="s">
        <v>82</v>
      </c>
      <c r="I731" s="47" t="s">
        <v>184</v>
      </c>
      <c r="J731" s="47" t="s">
        <v>22</v>
      </c>
      <c r="K731" s="59" t="s">
        <v>23</v>
      </c>
      <c r="L731" s="47" t="s">
        <v>65</v>
      </c>
      <c r="M731" s="47" t="s">
        <v>327</v>
      </c>
    </row>
    <row r="732" customHeight="1" spans="1:13">
      <c r="A732" s="47" t="s">
        <v>1552</v>
      </c>
      <c r="B732" s="47" t="s">
        <v>1538</v>
      </c>
      <c r="C732" s="47" t="s">
        <v>116</v>
      </c>
      <c r="D732" s="47" t="s">
        <v>16</v>
      </c>
      <c r="E732" s="47" t="s">
        <v>103</v>
      </c>
      <c r="F732" s="47" t="s">
        <v>37</v>
      </c>
      <c r="G732" s="47" t="s">
        <v>38</v>
      </c>
      <c r="H732" s="47" t="s">
        <v>77</v>
      </c>
      <c r="I732" s="47" t="s">
        <v>77</v>
      </c>
      <c r="J732" s="47" t="s">
        <v>32</v>
      </c>
      <c r="K732" s="47" t="s">
        <v>53</v>
      </c>
      <c r="L732" s="59" t="s">
        <v>23</v>
      </c>
      <c r="M732" s="47" t="s">
        <v>47</v>
      </c>
    </row>
    <row r="733" customHeight="1" spans="1:13">
      <c r="A733" s="47" t="s">
        <v>1553</v>
      </c>
      <c r="B733" s="47" t="s">
        <v>1538</v>
      </c>
      <c r="C733" s="47" t="s">
        <v>363</v>
      </c>
      <c r="D733" s="47" t="s">
        <v>1032</v>
      </c>
      <c r="E733" s="47" t="s">
        <v>146</v>
      </c>
      <c r="F733" s="47" t="s">
        <v>28</v>
      </c>
      <c r="G733" s="47" t="s">
        <v>19</v>
      </c>
      <c r="H733" s="47" t="s">
        <v>659</v>
      </c>
      <c r="I733" s="47" t="s">
        <v>474</v>
      </c>
      <c r="J733" s="47" t="s">
        <v>32</v>
      </c>
      <c r="K733" s="59" t="s">
        <v>23</v>
      </c>
      <c r="L733" s="47" t="s">
        <v>54</v>
      </c>
      <c r="M733" s="47" t="s">
        <v>47</v>
      </c>
    </row>
    <row r="734" customHeight="1" spans="1:13">
      <c r="A734" s="47" t="s">
        <v>1554</v>
      </c>
      <c r="B734" s="47" t="s">
        <v>1538</v>
      </c>
      <c r="C734" s="47" t="s">
        <v>1555</v>
      </c>
      <c r="D734" s="47" t="s">
        <v>16</v>
      </c>
      <c r="E734" s="47" t="s">
        <v>103</v>
      </c>
      <c r="F734" s="47" t="s">
        <v>37</v>
      </c>
      <c r="G734" s="47" t="s">
        <v>38</v>
      </c>
      <c r="H734" s="47" t="s">
        <v>77</v>
      </c>
      <c r="I734" s="47" t="s">
        <v>77</v>
      </c>
      <c r="J734" s="47" t="s">
        <v>22</v>
      </c>
      <c r="K734" s="59" t="s">
        <v>23</v>
      </c>
      <c r="L734" s="59" t="s">
        <v>23</v>
      </c>
      <c r="M734" s="47" t="s">
        <v>24</v>
      </c>
    </row>
    <row r="735" customHeight="1" spans="1:13">
      <c r="A735" s="47" t="s">
        <v>1556</v>
      </c>
      <c r="B735" s="47" t="s">
        <v>1538</v>
      </c>
      <c r="C735" s="47" t="s">
        <v>489</v>
      </c>
      <c r="D735" s="47" t="s">
        <v>43</v>
      </c>
      <c r="E735" s="47" t="s">
        <v>367</v>
      </c>
      <c r="F735" s="47" t="s">
        <v>1557</v>
      </c>
      <c r="G735" s="47" t="s">
        <v>38</v>
      </c>
      <c r="H735" s="47" t="s">
        <v>110</v>
      </c>
      <c r="I735" s="47" t="s">
        <v>110</v>
      </c>
      <c r="J735" s="47" t="s">
        <v>32</v>
      </c>
      <c r="K735" s="59" t="s">
        <v>23</v>
      </c>
      <c r="L735" s="59" t="s">
        <v>23</v>
      </c>
      <c r="M735" s="47" t="s">
        <v>47</v>
      </c>
    </row>
    <row r="736" customHeight="1" spans="1:13">
      <c r="A736" s="47" t="s">
        <v>1558</v>
      </c>
      <c r="B736" s="47" t="s">
        <v>1559</v>
      </c>
      <c r="C736" s="47" t="s">
        <v>903</v>
      </c>
      <c r="D736" s="47" t="s">
        <v>16</v>
      </c>
      <c r="E736" s="47" t="s">
        <v>81</v>
      </c>
      <c r="F736" s="47" t="s">
        <v>37</v>
      </c>
      <c r="G736" s="47" t="s">
        <v>38</v>
      </c>
      <c r="H736" s="47" t="s">
        <v>82</v>
      </c>
      <c r="I736" s="47" t="s">
        <v>82</v>
      </c>
      <c r="J736" s="47" t="s">
        <v>22</v>
      </c>
      <c r="K736" s="59" t="s">
        <v>23</v>
      </c>
      <c r="L736" s="59" t="s">
        <v>23</v>
      </c>
      <c r="M736" s="47" t="s">
        <v>73</v>
      </c>
    </row>
    <row r="737" customHeight="1" spans="1:13">
      <c r="A737" s="47" t="s">
        <v>1560</v>
      </c>
      <c r="B737" s="47" t="s">
        <v>1561</v>
      </c>
      <c r="C737" s="47" t="s">
        <v>1562</v>
      </c>
      <c r="D737" s="47" t="s">
        <v>107</v>
      </c>
      <c r="E737" s="47" t="s">
        <v>17</v>
      </c>
      <c r="F737" s="47" t="s">
        <v>18</v>
      </c>
      <c r="G737" s="47" t="s">
        <v>38</v>
      </c>
      <c r="H737" s="47" t="s">
        <v>20</v>
      </c>
      <c r="I737" s="47" t="s">
        <v>20</v>
      </c>
      <c r="J737" s="47" t="s">
        <v>32</v>
      </c>
      <c r="K737" s="59" t="s">
        <v>23</v>
      </c>
      <c r="L737" s="47" t="s">
        <v>65</v>
      </c>
      <c r="M737" s="47" t="s">
        <v>24</v>
      </c>
    </row>
    <row r="738" customHeight="1" spans="1:13">
      <c r="A738" s="47" t="s">
        <v>1560</v>
      </c>
      <c r="B738" s="47" t="s">
        <v>1561</v>
      </c>
      <c r="C738" s="47" t="s">
        <v>1562</v>
      </c>
      <c r="D738" s="47" t="s">
        <v>107</v>
      </c>
      <c r="E738" s="47" t="s">
        <v>17</v>
      </c>
      <c r="F738" s="47" t="s">
        <v>18</v>
      </c>
      <c r="G738" s="47" t="s">
        <v>38</v>
      </c>
      <c r="H738" s="47" t="s">
        <v>20</v>
      </c>
      <c r="I738" s="47" t="s">
        <v>20</v>
      </c>
      <c r="J738" s="47" t="s">
        <v>32</v>
      </c>
      <c r="K738" s="59" t="s">
        <v>23</v>
      </c>
      <c r="L738" s="47" t="s">
        <v>65</v>
      </c>
      <c r="M738" s="47" t="s">
        <v>24</v>
      </c>
    </row>
    <row r="739" customHeight="1" spans="1:13">
      <c r="A739" s="47" t="s">
        <v>1563</v>
      </c>
      <c r="B739" s="47" t="s">
        <v>1561</v>
      </c>
      <c r="C739" s="47" t="s">
        <v>1099</v>
      </c>
      <c r="D739" s="47" t="s">
        <v>16</v>
      </c>
      <c r="E739" s="47" t="s">
        <v>103</v>
      </c>
      <c r="F739" s="47" t="s">
        <v>37</v>
      </c>
      <c r="G739" s="47" t="s">
        <v>38</v>
      </c>
      <c r="H739" s="47" t="s">
        <v>77</v>
      </c>
      <c r="I739" s="47" t="s">
        <v>77</v>
      </c>
      <c r="J739" s="47" t="s">
        <v>22</v>
      </c>
      <c r="K739" s="59" t="s">
        <v>23</v>
      </c>
      <c r="L739" s="47" t="s">
        <v>65</v>
      </c>
      <c r="M739" s="47" t="s">
        <v>47</v>
      </c>
    </row>
    <row r="740" customHeight="1" spans="1:13">
      <c r="A740" s="47" t="s">
        <v>1564</v>
      </c>
      <c r="B740" s="47" t="s">
        <v>1561</v>
      </c>
      <c r="C740" s="47" t="s">
        <v>796</v>
      </c>
      <c r="D740" s="47" t="s">
        <v>16</v>
      </c>
      <c r="E740" s="47" t="s">
        <v>103</v>
      </c>
      <c r="F740" s="47" t="s">
        <v>37</v>
      </c>
      <c r="G740" s="47" t="s">
        <v>19</v>
      </c>
      <c r="H740" s="47" t="s">
        <v>77</v>
      </c>
      <c r="I740" s="47" t="s">
        <v>96</v>
      </c>
      <c r="J740" s="47" t="s">
        <v>22</v>
      </c>
      <c r="K740" s="59" t="s">
        <v>23</v>
      </c>
      <c r="L740" s="59" t="s">
        <v>23</v>
      </c>
      <c r="M740" s="47" t="s">
        <v>33</v>
      </c>
    </row>
    <row r="741" customHeight="1" spans="1:13">
      <c r="A741" s="47" t="s">
        <v>1565</v>
      </c>
      <c r="B741" s="47" t="s">
        <v>1561</v>
      </c>
      <c r="C741" s="47" t="s">
        <v>88</v>
      </c>
      <c r="D741" s="47" t="s">
        <v>16</v>
      </c>
      <c r="E741" s="47" t="s">
        <v>57</v>
      </c>
      <c r="F741" s="47" t="s">
        <v>28</v>
      </c>
      <c r="G741" s="47" t="s">
        <v>19</v>
      </c>
      <c r="H741" s="47" t="s">
        <v>58</v>
      </c>
      <c r="I741" s="47" t="s">
        <v>140</v>
      </c>
      <c r="J741" s="47" t="s">
        <v>22</v>
      </c>
      <c r="K741" s="59" t="s">
        <v>23</v>
      </c>
      <c r="L741" s="47" t="s">
        <v>65</v>
      </c>
      <c r="M741" s="47" t="s">
        <v>157</v>
      </c>
    </row>
    <row r="742" customHeight="1" spans="1:13">
      <c r="A742" s="47" t="s">
        <v>1566</v>
      </c>
      <c r="B742" s="47" t="s">
        <v>1559</v>
      </c>
      <c r="C742" s="47" t="s">
        <v>430</v>
      </c>
      <c r="D742" s="47" t="s">
        <v>43</v>
      </c>
      <c r="E742" s="47" t="s">
        <v>36</v>
      </c>
      <c r="F742" s="47" t="s">
        <v>37</v>
      </c>
      <c r="G742" s="47" t="s">
        <v>19</v>
      </c>
      <c r="H742" s="47" t="s">
        <v>39</v>
      </c>
      <c r="I742" s="47" t="s">
        <v>82</v>
      </c>
      <c r="J742" s="47" t="s">
        <v>22</v>
      </c>
      <c r="K742" s="59" t="s">
        <v>23</v>
      </c>
      <c r="L742" s="47" t="s">
        <v>65</v>
      </c>
      <c r="M742" s="47" t="s">
        <v>33</v>
      </c>
    </row>
    <row r="743" customHeight="1" spans="1:13">
      <c r="A743" s="47" t="s">
        <v>1567</v>
      </c>
      <c r="B743" s="47" t="s">
        <v>1561</v>
      </c>
      <c r="C743" s="47" t="s">
        <v>643</v>
      </c>
      <c r="D743" s="47" t="s">
        <v>107</v>
      </c>
      <c r="E743" s="47" t="s">
        <v>50</v>
      </c>
      <c r="F743" s="47" t="s">
        <v>28</v>
      </c>
      <c r="G743" s="47" t="s">
        <v>38</v>
      </c>
      <c r="H743" s="47" t="s">
        <v>52</v>
      </c>
      <c r="I743" s="47" t="s">
        <v>281</v>
      </c>
      <c r="J743" s="47" t="s">
        <v>22</v>
      </c>
      <c r="K743" s="47" t="s">
        <v>53</v>
      </c>
      <c r="L743" s="59" t="s">
        <v>23</v>
      </c>
      <c r="M743" s="47" t="s">
        <v>33</v>
      </c>
    </row>
    <row r="744" customHeight="1" spans="1:13">
      <c r="A744" s="47" t="s">
        <v>1568</v>
      </c>
      <c r="B744" s="47" t="s">
        <v>1561</v>
      </c>
      <c r="C744" s="47" t="s">
        <v>643</v>
      </c>
      <c r="D744" s="47" t="s">
        <v>107</v>
      </c>
      <c r="E744" s="47" t="s">
        <v>1385</v>
      </c>
      <c r="F744" s="47" t="s">
        <v>28</v>
      </c>
      <c r="G744" s="47" t="s">
        <v>29</v>
      </c>
      <c r="H744" s="47" t="s">
        <v>147</v>
      </c>
      <c r="I744" s="47" t="s">
        <v>148</v>
      </c>
      <c r="J744" s="47" t="s">
        <v>22</v>
      </c>
      <c r="K744" s="59" t="s">
        <v>23</v>
      </c>
      <c r="L744" s="59" t="s">
        <v>23</v>
      </c>
      <c r="M744" s="47" t="s">
        <v>358</v>
      </c>
    </row>
    <row r="745" customHeight="1" spans="1:13">
      <c r="A745" s="47" t="s">
        <v>1569</v>
      </c>
      <c r="B745" s="47" t="s">
        <v>1559</v>
      </c>
      <c r="C745" s="47" t="s">
        <v>432</v>
      </c>
      <c r="D745" s="47" t="s">
        <v>43</v>
      </c>
      <c r="E745" s="47" t="s">
        <v>103</v>
      </c>
      <c r="F745" s="47" t="s">
        <v>37</v>
      </c>
      <c r="G745" s="47" t="s">
        <v>38</v>
      </c>
      <c r="H745" s="47" t="s">
        <v>77</v>
      </c>
      <c r="I745" s="47" t="s">
        <v>77</v>
      </c>
      <c r="J745" s="47" t="s">
        <v>22</v>
      </c>
      <c r="K745" s="59" t="s">
        <v>23</v>
      </c>
      <c r="L745" s="59" t="s">
        <v>23</v>
      </c>
      <c r="M745" s="47" t="s">
        <v>47</v>
      </c>
    </row>
    <row r="746" customHeight="1" spans="1:13">
      <c r="A746" s="47" t="s">
        <v>1570</v>
      </c>
      <c r="B746" s="47" t="s">
        <v>1561</v>
      </c>
      <c r="C746" s="47" t="s">
        <v>70</v>
      </c>
      <c r="D746" s="47" t="s">
        <v>43</v>
      </c>
      <c r="E746" s="47" t="s">
        <v>647</v>
      </c>
      <c r="F746" s="47" t="s">
        <v>45</v>
      </c>
      <c r="G746" s="47" t="s">
        <v>38</v>
      </c>
      <c r="H746" s="47" t="s">
        <v>227</v>
      </c>
      <c r="I746" s="47" t="s">
        <v>1457</v>
      </c>
      <c r="J746" s="47" t="s">
        <v>22</v>
      </c>
      <c r="K746" s="59" t="s">
        <v>23</v>
      </c>
      <c r="L746" s="59" t="s">
        <v>23</v>
      </c>
      <c r="M746" s="47" t="s">
        <v>33</v>
      </c>
    </row>
    <row r="747" customHeight="1" spans="1:13">
      <c r="A747" s="47" t="s">
        <v>1571</v>
      </c>
      <c r="B747" s="47" t="s">
        <v>1561</v>
      </c>
      <c r="C747" s="47" t="s">
        <v>116</v>
      </c>
      <c r="D747" s="47" t="s">
        <v>107</v>
      </c>
      <c r="E747" s="47" t="s">
        <v>36</v>
      </c>
      <c r="F747" s="47" t="s">
        <v>37</v>
      </c>
      <c r="G747" s="47" t="s">
        <v>38</v>
      </c>
      <c r="H747" s="47" t="s">
        <v>39</v>
      </c>
      <c r="I747" s="47" t="s">
        <v>39</v>
      </c>
      <c r="J747" s="47" t="s">
        <v>22</v>
      </c>
      <c r="K747" s="59" t="s">
        <v>23</v>
      </c>
      <c r="L747" s="47" t="s">
        <v>65</v>
      </c>
      <c r="M747" s="47" t="s">
        <v>437</v>
      </c>
    </row>
    <row r="748" customHeight="1" spans="1:13">
      <c r="A748" s="47" t="s">
        <v>1572</v>
      </c>
      <c r="B748" s="47" t="s">
        <v>1561</v>
      </c>
      <c r="C748" s="47" t="s">
        <v>1573</v>
      </c>
      <c r="D748" s="47" t="s">
        <v>107</v>
      </c>
      <c r="E748" s="47" t="s">
        <v>17</v>
      </c>
      <c r="F748" s="47" t="s">
        <v>18</v>
      </c>
      <c r="G748" s="47" t="s">
        <v>38</v>
      </c>
      <c r="H748" s="47" t="s">
        <v>20</v>
      </c>
      <c r="I748" s="47" t="s">
        <v>20</v>
      </c>
      <c r="J748" s="47" t="s">
        <v>32</v>
      </c>
      <c r="K748" s="59" t="s">
        <v>23</v>
      </c>
      <c r="L748" s="59" t="s">
        <v>23</v>
      </c>
      <c r="M748" s="47" t="s">
        <v>47</v>
      </c>
    </row>
    <row r="749" customHeight="1" spans="1:13">
      <c r="A749" s="47" t="s">
        <v>1574</v>
      </c>
      <c r="B749" s="47" t="s">
        <v>1561</v>
      </c>
      <c r="C749" s="47" t="s">
        <v>231</v>
      </c>
      <c r="D749" s="47" t="s">
        <v>1032</v>
      </c>
      <c r="E749" s="47" t="s">
        <v>1087</v>
      </c>
      <c r="F749" s="47" t="s">
        <v>28</v>
      </c>
      <c r="G749" s="47" t="s">
        <v>38</v>
      </c>
      <c r="H749" s="47" t="s">
        <v>52</v>
      </c>
      <c r="I749" s="47" t="s">
        <v>52</v>
      </c>
      <c r="J749" s="47" t="s">
        <v>22</v>
      </c>
      <c r="K749" s="59" t="s">
        <v>23</v>
      </c>
      <c r="L749" s="59" t="s">
        <v>23</v>
      </c>
      <c r="M749" s="47" t="s">
        <v>47</v>
      </c>
    </row>
    <row r="750" customHeight="1" spans="1:13">
      <c r="A750" s="47" t="s">
        <v>1575</v>
      </c>
      <c r="B750" s="47" t="s">
        <v>1561</v>
      </c>
      <c r="C750" s="47" t="s">
        <v>1576</v>
      </c>
      <c r="D750" s="47" t="s">
        <v>43</v>
      </c>
      <c r="E750" s="47" t="s">
        <v>36</v>
      </c>
      <c r="F750" s="47" t="s">
        <v>37</v>
      </c>
      <c r="G750" s="47" t="s">
        <v>38</v>
      </c>
      <c r="H750" s="47" t="s">
        <v>39</v>
      </c>
      <c r="I750" s="47" t="s">
        <v>39</v>
      </c>
      <c r="J750" s="47" t="s">
        <v>22</v>
      </c>
      <c r="K750" s="59" t="s">
        <v>23</v>
      </c>
      <c r="L750" s="59" t="s">
        <v>23</v>
      </c>
      <c r="M750" s="47" t="s">
        <v>47</v>
      </c>
    </row>
    <row r="751" customHeight="1" spans="1:13">
      <c r="A751" s="47" t="s">
        <v>1577</v>
      </c>
      <c r="B751" s="47" t="s">
        <v>1561</v>
      </c>
      <c r="C751" s="47" t="s">
        <v>637</v>
      </c>
      <c r="D751" s="47" t="s">
        <v>43</v>
      </c>
      <c r="E751" s="47" t="s">
        <v>17</v>
      </c>
      <c r="F751" s="47" t="s">
        <v>18</v>
      </c>
      <c r="G751" s="47" t="s">
        <v>19</v>
      </c>
      <c r="H751" s="59" t="s">
        <v>23</v>
      </c>
      <c r="I751" s="47" t="s">
        <v>21</v>
      </c>
      <c r="J751" s="47" t="s">
        <v>22</v>
      </c>
      <c r="K751" s="59" t="s">
        <v>23</v>
      </c>
      <c r="L751" s="47" t="s">
        <v>65</v>
      </c>
      <c r="M751" s="47" t="s">
        <v>73</v>
      </c>
    </row>
    <row r="752" customHeight="1" spans="1:13">
      <c r="A752" s="47" t="s">
        <v>1578</v>
      </c>
      <c r="B752" s="47" t="s">
        <v>1561</v>
      </c>
      <c r="C752" s="47" t="s">
        <v>937</v>
      </c>
      <c r="D752" s="47" t="s">
        <v>16</v>
      </c>
      <c r="E752" s="47" t="s">
        <v>44</v>
      </c>
      <c r="F752" s="47" t="s">
        <v>45</v>
      </c>
      <c r="G752" s="47" t="s">
        <v>38</v>
      </c>
      <c r="H752" s="47" t="s">
        <v>46</v>
      </c>
      <c r="I752" s="47" t="s">
        <v>46</v>
      </c>
      <c r="J752" s="47" t="s">
        <v>22</v>
      </c>
      <c r="K752" s="59" t="s">
        <v>23</v>
      </c>
      <c r="L752" s="59" t="s">
        <v>23</v>
      </c>
      <c r="M752" s="47" t="s">
        <v>1066</v>
      </c>
    </row>
    <row r="753" customHeight="1" spans="1:13">
      <c r="A753" s="47" t="s">
        <v>1579</v>
      </c>
      <c r="B753" s="47" t="s">
        <v>1561</v>
      </c>
      <c r="C753" s="47" t="s">
        <v>837</v>
      </c>
      <c r="D753" s="47" t="s">
        <v>107</v>
      </c>
      <c r="E753" s="47" t="s">
        <v>1087</v>
      </c>
      <c r="F753" s="59" t="s">
        <v>23</v>
      </c>
      <c r="G753" s="47" t="s">
        <v>38</v>
      </c>
      <c r="H753" s="47" t="s">
        <v>52</v>
      </c>
      <c r="I753" s="47" t="s">
        <v>52</v>
      </c>
      <c r="J753" s="47" t="s">
        <v>32</v>
      </c>
      <c r="K753" s="59" t="s">
        <v>23</v>
      </c>
      <c r="L753" s="47" t="s">
        <v>65</v>
      </c>
      <c r="M753" s="47" t="s">
        <v>73</v>
      </c>
    </row>
    <row r="754" customHeight="1" spans="1:13">
      <c r="A754" s="47" t="s">
        <v>1580</v>
      </c>
      <c r="B754" s="47" t="s">
        <v>1561</v>
      </c>
      <c r="C754" s="47" t="s">
        <v>970</v>
      </c>
      <c r="D754" s="47" t="s">
        <v>16</v>
      </c>
      <c r="E754" s="47" t="s">
        <v>146</v>
      </c>
      <c r="F754" s="47" t="s">
        <v>28</v>
      </c>
      <c r="G754" s="47" t="s">
        <v>19</v>
      </c>
      <c r="H754" s="47" t="s">
        <v>147</v>
      </c>
      <c r="I754" s="47" t="s">
        <v>474</v>
      </c>
      <c r="J754" s="47" t="s">
        <v>22</v>
      </c>
      <c r="K754" s="59" t="s">
        <v>23</v>
      </c>
      <c r="L754" s="59" t="s">
        <v>23</v>
      </c>
      <c r="M754" s="47" t="s">
        <v>47</v>
      </c>
    </row>
    <row r="755" customHeight="1" spans="1:13">
      <c r="A755" s="47" t="s">
        <v>1581</v>
      </c>
      <c r="B755" s="47" t="s">
        <v>1561</v>
      </c>
      <c r="C755" s="47" t="s">
        <v>757</v>
      </c>
      <c r="D755" s="47" t="s">
        <v>107</v>
      </c>
      <c r="E755" s="47" t="s">
        <v>81</v>
      </c>
      <c r="F755" s="47" t="s">
        <v>37</v>
      </c>
      <c r="G755" s="47" t="s">
        <v>38</v>
      </c>
      <c r="H755" s="47" t="s">
        <v>82</v>
      </c>
      <c r="I755" s="59" t="s">
        <v>23</v>
      </c>
      <c r="J755" s="47" t="s">
        <v>22</v>
      </c>
      <c r="K755" s="59" t="s">
        <v>23</v>
      </c>
      <c r="L755" s="59" t="s">
        <v>23</v>
      </c>
      <c r="M755" s="47" t="s">
        <v>24</v>
      </c>
    </row>
    <row r="756" customHeight="1" spans="1:13">
      <c r="A756" s="47" t="s">
        <v>1582</v>
      </c>
      <c r="B756" s="47" t="s">
        <v>1583</v>
      </c>
      <c r="C756" s="47" t="s">
        <v>952</v>
      </c>
      <c r="D756" s="47" t="s">
        <v>107</v>
      </c>
      <c r="E756" s="47" t="s">
        <v>267</v>
      </c>
      <c r="F756" s="47" t="s">
        <v>18</v>
      </c>
      <c r="G756" s="47" t="s">
        <v>19</v>
      </c>
      <c r="H756" s="47" t="s">
        <v>64</v>
      </c>
      <c r="I756" s="47" t="s">
        <v>39</v>
      </c>
      <c r="J756" s="47" t="s">
        <v>22</v>
      </c>
      <c r="K756" s="59" t="s">
        <v>23</v>
      </c>
      <c r="L756" s="59" t="s">
        <v>23</v>
      </c>
      <c r="M756" s="47" t="s">
        <v>40</v>
      </c>
    </row>
    <row r="757" customHeight="1" spans="1:13">
      <c r="A757" s="47" t="s">
        <v>1584</v>
      </c>
      <c r="B757" s="47" t="s">
        <v>1585</v>
      </c>
      <c r="C757" s="47" t="s">
        <v>1586</v>
      </c>
      <c r="D757" s="47" t="s">
        <v>16</v>
      </c>
      <c r="E757" s="47" t="s">
        <v>63</v>
      </c>
      <c r="F757" s="47" t="s">
        <v>18</v>
      </c>
      <c r="G757" s="47" t="s">
        <v>19</v>
      </c>
      <c r="H757" s="47" t="s">
        <v>64</v>
      </c>
      <c r="I757" s="47" t="s">
        <v>39</v>
      </c>
      <c r="J757" s="47" t="s">
        <v>68</v>
      </c>
      <c r="K757" s="59" t="s">
        <v>23</v>
      </c>
      <c r="L757" s="47" t="s">
        <v>29</v>
      </c>
      <c r="M757" s="47" t="s">
        <v>33</v>
      </c>
    </row>
    <row r="758" customHeight="1" spans="1:13">
      <c r="A758" s="47" t="s">
        <v>1587</v>
      </c>
      <c r="B758" s="47" t="s">
        <v>1583</v>
      </c>
      <c r="C758" s="47" t="s">
        <v>1588</v>
      </c>
      <c r="D758" s="47" t="s">
        <v>43</v>
      </c>
      <c r="E758" s="47" t="s">
        <v>199</v>
      </c>
      <c r="F758" s="47" t="s">
        <v>18</v>
      </c>
      <c r="G758" s="47" t="s">
        <v>38</v>
      </c>
      <c r="H758" s="47" t="s">
        <v>39</v>
      </c>
      <c r="I758" s="47" t="s">
        <v>39</v>
      </c>
      <c r="J758" s="47" t="s">
        <v>22</v>
      </c>
      <c r="K758" s="59" t="s">
        <v>23</v>
      </c>
      <c r="L758" s="47" t="s">
        <v>54</v>
      </c>
      <c r="M758" s="47" t="s">
        <v>73</v>
      </c>
    </row>
    <row r="759" customHeight="1" spans="1:13">
      <c r="A759" s="47" t="s">
        <v>1589</v>
      </c>
      <c r="B759" s="47" t="s">
        <v>1590</v>
      </c>
      <c r="C759" s="47" t="s">
        <v>1591</v>
      </c>
      <c r="D759" s="47" t="s">
        <v>16</v>
      </c>
      <c r="E759" s="47" t="s">
        <v>63</v>
      </c>
      <c r="F759" s="47" t="s">
        <v>18</v>
      </c>
      <c r="G759" s="47" t="s">
        <v>38</v>
      </c>
      <c r="H759" s="47" t="s">
        <v>64</v>
      </c>
      <c r="I759" s="47" t="s">
        <v>64</v>
      </c>
      <c r="J759" s="47" t="s">
        <v>22</v>
      </c>
      <c r="K759" s="59" t="s">
        <v>23</v>
      </c>
      <c r="L759" s="59" t="s">
        <v>23</v>
      </c>
      <c r="M759" s="47" t="s">
        <v>40</v>
      </c>
    </row>
    <row r="760" customHeight="1" spans="1:13">
      <c r="A760" s="47" t="s">
        <v>1592</v>
      </c>
      <c r="B760" s="47" t="s">
        <v>1583</v>
      </c>
      <c r="C760" s="47" t="s">
        <v>1593</v>
      </c>
      <c r="D760" s="47" t="s">
        <v>16</v>
      </c>
      <c r="E760" s="47" t="s">
        <v>146</v>
      </c>
      <c r="F760" s="47" t="s">
        <v>28</v>
      </c>
      <c r="G760" s="47" t="s">
        <v>38</v>
      </c>
      <c r="H760" s="47" t="s">
        <v>147</v>
      </c>
      <c r="I760" s="47" t="s">
        <v>147</v>
      </c>
      <c r="J760" s="47" t="s">
        <v>22</v>
      </c>
      <c r="K760" s="59" t="s">
        <v>23</v>
      </c>
      <c r="L760" s="47" t="s">
        <v>29</v>
      </c>
      <c r="M760" s="47" t="s">
        <v>47</v>
      </c>
    </row>
    <row r="761" customHeight="1" spans="1:13">
      <c r="A761" s="47" t="s">
        <v>1594</v>
      </c>
      <c r="B761" s="47" t="s">
        <v>1585</v>
      </c>
      <c r="C761" s="47" t="s">
        <v>580</v>
      </c>
      <c r="D761" s="47" t="s">
        <v>16</v>
      </c>
      <c r="E761" s="47" t="s">
        <v>81</v>
      </c>
      <c r="F761" s="47" t="s">
        <v>37</v>
      </c>
      <c r="G761" s="47" t="s">
        <v>38</v>
      </c>
      <c r="H761" s="47" t="s">
        <v>82</v>
      </c>
      <c r="I761" s="47" t="s">
        <v>82</v>
      </c>
      <c r="J761" s="47" t="s">
        <v>22</v>
      </c>
      <c r="K761" s="59" t="s">
        <v>23</v>
      </c>
      <c r="L761" s="47" t="s">
        <v>29</v>
      </c>
      <c r="M761" s="47" t="s">
        <v>47</v>
      </c>
    </row>
    <row r="762" customHeight="1" spans="1:13">
      <c r="A762" s="47" t="s">
        <v>1595</v>
      </c>
      <c r="B762" s="47" t="s">
        <v>1590</v>
      </c>
      <c r="C762" s="47" t="s">
        <v>807</v>
      </c>
      <c r="D762" s="47" t="s">
        <v>43</v>
      </c>
      <c r="E762" s="47" t="s">
        <v>81</v>
      </c>
      <c r="F762" s="47" t="s">
        <v>37</v>
      </c>
      <c r="G762" s="47" t="s">
        <v>38</v>
      </c>
      <c r="H762" s="47" t="s">
        <v>769</v>
      </c>
      <c r="I762" s="47" t="s">
        <v>82</v>
      </c>
      <c r="J762" s="47" t="s">
        <v>32</v>
      </c>
      <c r="K762" s="59" t="s">
        <v>23</v>
      </c>
      <c r="L762" s="59" t="s">
        <v>23</v>
      </c>
      <c r="M762" s="47" t="s">
        <v>24</v>
      </c>
    </row>
    <row r="763" customHeight="1" spans="1:13">
      <c r="A763" s="47" t="s">
        <v>1596</v>
      </c>
      <c r="B763" s="47" t="s">
        <v>1597</v>
      </c>
      <c r="C763" s="47" t="s">
        <v>869</v>
      </c>
      <c r="D763" s="47" t="s">
        <v>107</v>
      </c>
      <c r="E763" s="47" t="s">
        <v>36</v>
      </c>
      <c r="F763" s="47" t="s">
        <v>37</v>
      </c>
      <c r="G763" s="47" t="s">
        <v>38</v>
      </c>
      <c r="H763" s="47" t="s">
        <v>39</v>
      </c>
      <c r="I763" s="47" t="s">
        <v>39</v>
      </c>
      <c r="J763" s="47" t="s">
        <v>22</v>
      </c>
      <c r="K763" s="59" t="s">
        <v>23</v>
      </c>
      <c r="L763" s="47" t="s">
        <v>29</v>
      </c>
      <c r="M763" s="47" t="s">
        <v>686</v>
      </c>
    </row>
    <row r="764" customHeight="1" spans="1:13">
      <c r="A764" s="47" t="s">
        <v>1598</v>
      </c>
      <c r="B764" s="47" t="s">
        <v>1599</v>
      </c>
      <c r="C764" s="47" t="s">
        <v>864</v>
      </c>
      <c r="D764" s="47" t="s">
        <v>213</v>
      </c>
      <c r="E764" s="47" t="s">
        <v>103</v>
      </c>
      <c r="F764" s="47" t="s">
        <v>37</v>
      </c>
      <c r="G764" s="47" t="s">
        <v>29</v>
      </c>
      <c r="H764" s="47" t="s">
        <v>77</v>
      </c>
      <c r="I764" s="47" t="s">
        <v>30</v>
      </c>
      <c r="J764" s="47" t="s">
        <v>32</v>
      </c>
      <c r="K764" s="59" t="s">
        <v>23</v>
      </c>
      <c r="L764" s="59" t="s">
        <v>23</v>
      </c>
      <c r="M764" s="47" t="s">
        <v>33</v>
      </c>
    </row>
    <row r="765" customHeight="1" spans="1:13">
      <c r="A765" s="47" t="s">
        <v>1600</v>
      </c>
      <c r="B765" s="47" t="s">
        <v>1601</v>
      </c>
      <c r="C765" s="47" t="s">
        <v>1602</v>
      </c>
      <c r="D765" s="47" t="s">
        <v>43</v>
      </c>
      <c r="E765" s="47" t="s">
        <v>50</v>
      </c>
      <c r="F765" s="47" t="s">
        <v>28</v>
      </c>
      <c r="G765" s="47" t="s">
        <v>38</v>
      </c>
      <c r="H765" s="47" t="s">
        <v>52</v>
      </c>
      <c r="I765" s="47" t="s">
        <v>1603</v>
      </c>
      <c r="J765" s="47" t="s">
        <v>22</v>
      </c>
      <c r="K765" s="59" t="s">
        <v>23</v>
      </c>
      <c r="L765" s="59" t="s">
        <v>23</v>
      </c>
      <c r="M765" s="47" t="s">
        <v>40</v>
      </c>
    </row>
    <row r="766" customHeight="1" spans="1:13">
      <c r="A766" s="47" t="s">
        <v>1604</v>
      </c>
      <c r="B766" s="47" t="s">
        <v>1601</v>
      </c>
      <c r="C766" s="47" t="s">
        <v>1605</v>
      </c>
      <c r="D766" s="47" t="s">
        <v>43</v>
      </c>
      <c r="E766" s="47" t="s">
        <v>63</v>
      </c>
      <c r="F766" s="47" t="s">
        <v>18</v>
      </c>
      <c r="G766" s="47" t="s">
        <v>38</v>
      </c>
      <c r="H766" s="47" t="s">
        <v>64</v>
      </c>
      <c r="I766" s="47" t="s">
        <v>64</v>
      </c>
      <c r="J766" s="47" t="s">
        <v>22</v>
      </c>
      <c r="K766" s="59" t="s">
        <v>23</v>
      </c>
      <c r="L766" s="59" t="s">
        <v>23</v>
      </c>
      <c r="M766" s="47" t="s">
        <v>40</v>
      </c>
    </row>
    <row r="767" customHeight="1" spans="1:13">
      <c r="A767" s="47" t="s">
        <v>1606</v>
      </c>
      <c r="B767" s="47" t="s">
        <v>1607</v>
      </c>
      <c r="C767" s="47" t="s">
        <v>1389</v>
      </c>
      <c r="D767" s="47" t="s">
        <v>16</v>
      </c>
      <c r="E767" s="47" t="s">
        <v>63</v>
      </c>
      <c r="F767" s="47" t="s">
        <v>18</v>
      </c>
      <c r="G767" s="47" t="s">
        <v>38</v>
      </c>
      <c r="H767" s="47" t="s">
        <v>64</v>
      </c>
      <c r="I767" s="47" t="s">
        <v>64</v>
      </c>
      <c r="J767" s="47" t="s">
        <v>22</v>
      </c>
      <c r="K767" s="59" t="s">
        <v>23</v>
      </c>
      <c r="L767" s="47" t="s">
        <v>65</v>
      </c>
      <c r="M767" s="47" t="s">
        <v>73</v>
      </c>
    </row>
    <row r="768" customHeight="1" spans="1:13">
      <c r="A768" s="47" t="s">
        <v>1608</v>
      </c>
      <c r="B768" s="47" t="s">
        <v>1601</v>
      </c>
      <c r="C768" s="47" t="s">
        <v>1343</v>
      </c>
      <c r="D768" s="47" t="s">
        <v>16</v>
      </c>
      <c r="E768" s="47" t="s">
        <v>103</v>
      </c>
      <c r="F768" s="47" t="s">
        <v>37</v>
      </c>
      <c r="G768" s="47" t="s">
        <v>38</v>
      </c>
      <c r="H768" s="47" t="s">
        <v>77</v>
      </c>
      <c r="I768" s="59" t="s">
        <v>23</v>
      </c>
      <c r="J768" s="47" t="s">
        <v>32</v>
      </c>
      <c r="K768" s="59" t="s">
        <v>23</v>
      </c>
      <c r="L768" s="59" t="s">
        <v>23</v>
      </c>
      <c r="M768" s="47" t="s">
        <v>47</v>
      </c>
    </row>
    <row r="769" customHeight="1" spans="1:13">
      <c r="A769" s="47" t="s">
        <v>1609</v>
      </c>
      <c r="B769" s="47" t="s">
        <v>1610</v>
      </c>
      <c r="C769" s="47" t="s">
        <v>1142</v>
      </c>
      <c r="D769" s="47" t="s">
        <v>43</v>
      </c>
      <c r="E769" s="47" t="s">
        <v>103</v>
      </c>
      <c r="F769" s="47" t="s">
        <v>37</v>
      </c>
      <c r="G769" s="47" t="s">
        <v>19</v>
      </c>
      <c r="H769" s="47" t="s">
        <v>77</v>
      </c>
      <c r="I769" s="47" t="s">
        <v>96</v>
      </c>
      <c r="J769" s="47" t="s">
        <v>22</v>
      </c>
      <c r="K769" s="59" t="s">
        <v>23</v>
      </c>
      <c r="L769" s="47" t="s">
        <v>54</v>
      </c>
      <c r="M769" s="47" t="s">
        <v>40</v>
      </c>
    </row>
    <row r="770" customHeight="1" spans="1:13">
      <c r="A770" s="47" t="s">
        <v>1611</v>
      </c>
      <c r="B770" s="47" t="s">
        <v>1601</v>
      </c>
      <c r="C770" s="47" t="s">
        <v>893</v>
      </c>
      <c r="D770" s="47" t="s">
        <v>16</v>
      </c>
      <c r="E770" s="47" t="s">
        <v>832</v>
      </c>
      <c r="F770" s="47" t="s">
        <v>37</v>
      </c>
      <c r="G770" s="47" t="s">
        <v>38</v>
      </c>
      <c r="H770" s="47" t="s">
        <v>77</v>
      </c>
      <c r="I770" s="47" t="s">
        <v>77</v>
      </c>
      <c r="J770" s="47" t="s">
        <v>32</v>
      </c>
      <c r="K770" s="59" t="s">
        <v>23</v>
      </c>
      <c r="L770" s="47" t="s">
        <v>65</v>
      </c>
      <c r="M770" s="47" t="s">
        <v>47</v>
      </c>
    </row>
    <row r="771" customHeight="1" spans="1:13">
      <c r="A771" s="47" t="s">
        <v>1612</v>
      </c>
      <c r="B771" s="47" t="s">
        <v>1613</v>
      </c>
      <c r="C771" s="47" t="s">
        <v>1279</v>
      </c>
      <c r="D771" s="47" t="s">
        <v>43</v>
      </c>
      <c r="E771" s="47" t="s">
        <v>63</v>
      </c>
      <c r="F771" s="47" t="s">
        <v>18</v>
      </c>
      <c r="G771" s="47" t="s">
        <v>38</v>
      </c>
      <c r="H771" s="47" t="s">
        <v>724</v>
      </c>
      <c r="I771" s="47" t="s">
        <v>64</v>
      </c>
      <c r="J771" s="47" t="s">
        <v>22</v>
      </c>
      <c r="K771" s="59" t="s">
        <v>23</v>
      </c>
      <c r="L771" s="59" t="s">
        <v>23</v>
      </c>
      <c r="M771" s="47" t="s">
        <v>47</v>
      </c>
    </row>
    <row r="772" customHeight="1" spans="1:13">
      <c r="A772" s="47" t="s">
        <v>1614</v>
      </c>
      <c r="B772" s="47" t="s">
        <v>1613</v>
      </c>
      <c r="C772" s="47" t="s">
        <v>1615</v>
      </c>
      <c r="D772" s="47" t="s">
        <v>43</v>
      </c>
      <c r="E772" s="47" t="s">
        <v>36</v>
      </c>
      <c r="F772" s="47" t="s">
        <v>37</v>
      </c>
      <c r="G772" s="47" t="s">
        <v>38</v>
      </c>
      <c r="H772" s="47" t="s">
        <v>39</v>
      </c>
      <c r="I772" s="47" t="s">
        <v>39</v>
      </c>
      <c r="J772" s="47" t="s">
        <v>22</v>
      </c>
      <c r="K772" s="59" t="s">
        <v>23</v>
      </c>
      <c r="L772" s="59" t="s">
        <v>23</v>
      </c>
      <c r="M772" s="47" t="s">
        <v>73</v>
      </c>
    </row>
    <row r="773" customHeight="1" spans="1:13">
      <c r="A773" s="47" t="s">
        <v>1616</v>
      </c>
      <c r="B773" s="47" t="s">
        <v>1613</v>
      </c>
      <c r="C773" s="47" t="s">
        <v>1443</v>
      </c>
      <c r="D773" s="47" t="s">
        <v>43</v>
      </c>
      <c r="E773" s="47" t="s">
        <v>44</v>
      </c>
      <c r="F773" s="47" t="s">
        <v>45</v>
      </c>
      <c r="G773" s="47" t="s">
        <v>19</v>
      </c>
      <c r="H773" s="47" t="s">
        <v>46</v>
      </c>
      <c r="I773" s="47" t="s">
        <v>114</v>
      </c>
      <c r="J773" s="47" t="s">
        <v>32</v>
      </c>
      <c r="K773" s="59" t="s">
        <v>23</v>
      </c>
      <c r="L773" s="59" t="s">
        <v>23</v>
      </c>
      <c r="M773" s="47" t="s">
        <v>33</v>
      </c>
    </row>
    <row r="774" customHeight="1" spans="1:13">
      <c r="A774" s="47" t="s">
        <v>1617</v>
      </c>
      <c r="B774" s="47" t="s">
        <v>1613</v>
      </c>
      <c r="C774" s="47" t="s">
        <v>67</v>
      </c>
      <c r="D774" s="47" t="s">
        <v>16</v>
      </c>
      <c r="E774" s="47" t="s">
        <v>165</v>
      </c>
      <c r="F774" s="47" t="s">
        <v>109</v>
      </c>
      <c r="G774" s="47" t="s">
        <v>38</v>
      </c>
      <c r="H774" s="47" t="s">
        <v>82</v>
      </c>
      <c r="I774" s="47" t="s">
        <v>82</v>
      </c>
      <c r="J774" s="47" t="s">
        <v>22</v>
      </c>
      <c r="K774" s="59" t="s">
        <v>23</v>
      </c>
      <c r="L774" s="59" t="s">
        <v>23</v>
      </c>
      <c r="M774" s="47" t="s">
        <v>24</v>
      </c>
    </row>
    <row r="775" customHeight="1" spans="1:13">
      <c r="A775" s="47" t="s">
        <v>1618</v>
      </c>
      <c r="B775" s="47" t="s">
        <v>1613</v>
      </c>
      <c r="C775" s="47" t="s">
        <v>283</v>
      </c>
      <c r="D775" s="47" t="s">
        <v>16</v>
      </c>
      <c r="E775" s="47" t="s">
        <v>199</v>
      </c>
      <c r="F775" s="59" t="s">
        <v>23</v>
      </c>
      <c r="G775" s="47" t="s">
        <v>38</v>
      </c>
      <c r="H775" s="47" t="s">
        <v>39</v>
      </c>
      <c r="I775" s="47" t="s">
        <v>39</v>
      </c>
      <c r="J775" s="47" t="s">
        <v>22</v>
      </c>
      <c r="K775" s="59" t="s">
        <v>23</v>
      </c>
      <c r="L775" s="59" t="s">
        <v>23</v>
      </c>
      <c r="M775" s="47" t="s">
        <v>47</v>
      </c>
    </row>
    <row r="776" customHeight="1" spans="1:13">
      <c r="A776" s="47" t="s">
        <v>1619</v>
      </c>
      <c r="B776" s="47" t="s">
        <v>1613</v>
      </c>
      <c r="C776" s="47" t="s">
        <v>1620</v>
      </c>
      <c r="D776" s="47" t="s">
        <v>43</v>
      </c>
      <c r="E776" s="47" t="s">
        <v>36</v>
      </c>
      <c r="F776" s="47" t="s">
        <v>37</v>
      </c>
      <c r="G776" s="47" t="s">
        <v>19</v>
      </c>
      <c r="H776" s="59" t="s">
        <v>23</v>
      </c>
      <c r="I776" s="47" t="s">
        <v>82</v>
      </c>
      <c r="J776" s="47" t="s">
        <v>22</v>
      </c>
      <c r="K776" s="59" t="s">
        <v>23</v>
      </c>
      <c r="L776" s="59" t="s">
        <v>23</v>
      </c>
      <c r="M776" s="47" t="s">
        <v>24</v>
      </c>
    </row>
    <row r="777" customHeight="1" spans="1:13">
      <c r="A777" s="47" t="s">
        <v>1621</v>
      </c>
      <c r="B777" s="47" t="s">
        <v>1613</v>
      </c>
      <c r="C777" s="47" t="s">
        <v>1622</v>
      </c>
      <c r="D777" s="47" t="s">
        <v>16</v>
      </c>
      <c r="E777" s="47" t="s">
        <v>199</v>
      </c>
      <c r="F777" s="47" t="s">
        <v>18</v>
      </c>
      <c r="G777" s="47" t="s">
        <v>38</v>
      </c>
      <c r="H777" s="47" t="s">
        <v>39</v>
      </c>
      <c r="I777" s="47" t="s">
        <v>39</v>
      </c>
      <c r="J777" s="47" t="s">
        <v>22</v>
      </c>
      <c r="K777" s="59" t="s">
        <v>23</v>
      </c>
      <c r="L777" s="59" t="s">
        <v>23</v>
      </c>
      <c r="M777" s="47" t="s">
        <v>47</v>
      </c>
    </row>
    <row r="778" customHeight="1" spans="1:13">
      <c r="A778" s="47" t="s">
        <v>1623</v>
      </c>
      <c r="B778" s="47" t="s">
        <v>1613</v>
      </c>
      <c r="C778" s="47" t="s">
        <v>1415</v>
      </c>
      <c r="D778" s="47" t="s">
        <v>16</v>
      </c>
      <c r="E778" s="47" t="s">
        <v>44</v>
      </c>
      <c r="F778" s="47" t="s">
        <v>45</v>
      </c>
      <c r="G778" s="47" t="s">
        <v>38</v>
      </c>
      <c r="H778" s="47" t="s">
        <v>46</v>
      </c>
      <c r="I778" s="47" t="s">
        <v>214</v>
      </c>
      <c r="J778" s="47" t="s">
        <v>22</v>
      </c>
      <c r="K778" s="47" t="s">
        <v>53</v>
      </c>
      <c r="L778" s="47" t="s">
        <v>54</v>
      </c>
      <c r="M778" s="47" t="s">
        <v>99</v>
      </c>
    </row>
    <row r="779" customHeight="1" spans="1:13">
      <c r="A779" s="47" t="s">
        <v>1624</v>
      </c>
      <c r="B779" s="47" t="s">
        <v>1613</v>
      </c>
      <c r="C779" s="47" t="s">
        <v>201</v>
      </c>
      <c r="D779" s="47" t="s">
        <v>62</v>
      </c>
      <c r="E779" s="47" t="s">
        <v>63</v>
      </c>
      <c r="F779" s="47" t="s">
        <v>18</v>
      </c>
      <c r="G779" s="47" t="s">
        <v>19</v>
      </c>
      <c r="H779" s="47" t="s">
        <v>64</v>
      </c>
      <c r="I779" s="47" t="s">
        <v>39</v>
      </c>
      <c r="J779" s="47" t="s">
        <v>32</v>
      </c>
      <c r="K779" s="59" t="s">
        <v>23</v>
      </c>
      <c r="L779" s="59" t="s">
        <v>23</v>
      </c>
      <c r="M779" s="47" t="s">
        <v>73</v>
      </c>
    </row>
    <row r="780" customHeight="1" spans="1:13">
      <c r="A780" s="47" t="s">
        <v>1625</v>
      </c>
      <c r="B780" s="47" t="s">
        <v>1626</v>
      </c>
      <c r="C780" s="47" t="s">
        <v>837</v>
      </c>
      <c r="D780" s="47" t="s">
        <v>1275</v>
      </c>
      <c r="E780" s="47" t="s">
        <v>57</v>
      </c>
      <c r="F780" s="47" t="s">
        <v>28</v>
      </c>
      <c r="G780" s="47" t="s">
        <v>38</v>
      </c>
      <c r="H780" s="47" t="s">
        <v>58</v>
      </c>
      <c r="I780" s="47" t="s">
        <v>1627</v>
      </c>
      <c r="J780" s="47" t="s">
        <v>22</v>
      </c>
      <c r="K780" s="47" t="s">
        <v>53</v>
      </c>
      <c r="L780" s="59" t="s">
        <v>23</v>
      </c>
      <c r="M780" s="47" t="s">
        <v>33</v>
      </c>
    </row>
    <row r="781" customHeight="1" spans="1:13">
      <c r="A781" s="47" t="s">
        <v>1625</v>
      </c>
      <c r="B781" s="47" t="s">
        <v>1613</v>
      </c>
      <c r="C781" s="47" t="s">
        <v>837</v>
      </c>
      <c r="D781" s="47" t="s">
        <v>43</v>
      </c>
      <c r="E781" s="47" t="s">
        <v>57</v>
      </c>
      <c r="F781" s="47" t="s">
        <v>28</v>
      </c>
      <c r="G781" s="59" t="s">
        <v>23</v>
      </c>
      <c r="H781" s="47" t="s">
        <v>58</v>
      </c>
      <c r="I781" s="47" t="s">
        <v>1627</v>
      </c>
      <c r="J781" s="47" t="s">
        <v>22</v>
      </c>
      <c r="K781" s="47" t="s">
        <v>53</v>
      </c>
      <c r="L781" s="59" t="s">
        <v>23</v>
      </c>
      <c r="M781" s="47" t="s">
        <v>33</v>
      </c>
    </row>
    <row r="782" customHeight="1" spans="1:13">
      <c r="A782" s="47" t="s">
        <v>1628</v>
      </c>
      <c r="B782" s="47" t="s">
        <v>1613</v>
      </c>
      <c r="C782" s="47" t="s">
        <v>160</v>
      </c>
      <c r="D782" s="47" t="s">
        <v>43</v>
      </c>
      <c r="E782" s="47" t="s">
        <v>57</v>
      </c>
      <c r="F782" s="47" t="s">
        <v>28</v>
      </c>
      <c r="G782" s="47" t="s">
        <v>38</v>
      </c>
      <c r="H782" s="47" t="s">
        <v>58</v>
      </c>
      <c r="I782" s="47" t="s">
        <v>58</v>
      </c>
      <c r="J782" s="47" t="s">
        <v>22</v>
      </c>
      <c r="K782" s="59" t="s">
        <v>23</v>
      </c>
      <c r="L782" s="59" t="s">
        <v>23</v>
      </c>
      <c r="M782" s="47" t="s">
        <v>24</v>
      </c>
    </row>
    <row r="783" customHeight="1" spans="1:13">
      <c r="A783" s="47" t="s">
        <v>1629</v>
      </c>
      <c r="B783" s="47" t="s">
        <v>1626</v>
      </c>
      <c r="C783" s="47" t="s">
        <v>241</v>
      </c>
      <c r="D783" s="47" t="s">
        <v>43</v>
      </c>
      <c r="E783" s="47" t="s">
        <v>27</v>
      </c>
      <c r="F783" s="47" t="s">
        <v>28</v>
      </c>
      <c r="G783" s="47" t="s">
        <v>38</v>
      </c>
      <c r="H783" s="47" t="s">
        <v>30</v>
      </c>
      <c r="I783" s="47" t="s">
        <v>30</v>
      </c>
      <c r="J783" s="47" t="s">
        <v>22</v>
      </c>
      <c r="K783" s="59" t="s">
        <v>23</v>
      </c>
      <c r="L783" s="59" t="s">
        <v>23</v>
      </c>
      <c r="M783" s="47" t="s">
        <v>24</v>
      </c>
    </row>
    <row r="784" customHeight="1" spans="1:13">
      <c r="A784" s="47" t="s">
        <v>1630</v>
      </c>
      <c r="B784" s="47" t="s">
        <v>1631</v>
      </c>
      <c r="C784" s="47" t="s">
        <v>1429</v>
      </c>
      <c r="D784" s="47" t="s">
        <v>107</v>
      </c>
      <c r="E784" s="47" t="s">
        <v>95</v>
      </c>
      <c r="F784" s="47" t="s">
        <v>45</v>
      </c>
      <c r="G784" s="47" t="s">
        <v>38</v>
      </c>
      <c r="H784" s="47" t="s">
        <v>77</v>
      </c>
      <c r="I784" s="47" t="s">
        <v>77</v>
      </c>
      <c r="J784" s="47" t="s">
        <v>32</v>
      </c>
      <c r="K784" s="59" t="s">
        <v>23</v>
      </c>
      <c r="L784" s="59" t="s">
        <v>23</v>
      </c>
      <c r="M784" s="47" t="s">
        <v>73</v>
      </c>
    </row>
    <row r="785" customHeight="1" spans="1:13">
      <c r="A785" s="47" t="s">
        <v>1632</v>
      </c>
      <c r="B785" s="47" t="s">
        <v>1631</v>
      </c>
      <c r="C785" s="47" t="s">
        <v>909</v>
      </c>
      <c r="D785" s="47" t="s">
        <v>43</v>
      </c>
      <c r="E785" s="47" t="s">
        <v>95</v>
      </c>
      <c r="F785" s="59" t="s">
        <v>23</v>
      </c>
      <c r="G785" s="47" t="s">
        <v>19</v>
      </c>
      <c r="H785" s="47" t="s">
        <v>77</v>
      </c>
      <c r="I785" s="47" t="s">
        <v>1633</v>
      </c>
      <c r="J785" s="47" t="s">
        <v>22</v>
      </c>
      <c r="K785" s="59" t="s">
        <v>23</v>
      </c>
      <c r="L785" s="59" t="s">
        <v>23</v>
      </c>
      <c r="M785" s="47" t="s">
        <v>40</v>
      </c>
    </row>
    <row r="786" customHeight="1" spans="1:13">
      <c r="A786" s="47" t="s">
        <v>1634</v>
      </c>
      <c r="B786" s="47" t="s">
        <v>1635</v>
      </c>
      <c r="C786" s="47" t="s">
        <v>1415</v>
      </c>
      <c r="D786" s="47" t="s">
        <v>16</v>
      </c>
      <c r="E786" s="47" t="s">
        <v>17</v>
      </c>
      <c r="F786" s="47" t="s">
        <v>18</v>
      </c>
      <c r="G786" s="47" t="s">
        <v>38</v>
      </c>
      <c r="H786" s="47" t="s">
        <v>20</v>
      </c>
      <c r="I786" s="47" t="s">
        <v>20</v>
      </c>
      <c r="J786" s="47" t="s">
        <v>22</v>
      </c>
      <c r="K786" s="59" t="s">
        <v>23</v>
      </c>
      <c r="L786" s="59" t="s">
        <v>23</v>
      </c>
      <c r="M786" s="47" t="s">
        <v>24</v>
      </c>
    </row>
    <row r="787" customHeight="1" spans="1:13">
      <c r="A787" s="47" t="s">
        <v>1636</v>
      </c>
      <c r="B787" s="47" t="s">
        <v>1635</v>
      </c>
      <c r="C787" s="47" t="s">
        <v>1637</v>
      </c>
      <c r="D787" s="47" t="s">
        <v>107</v>
      </c>
      <c r="E787" s="47" t="s">
        <v>146</v>
      </c>
      <c r="F787" s="47" t="s">
        <v>28</v>
      </c>
      <c r="G787" s="47" t="s">
        <v>38</v>
      </c>
      <c r="H787" s="47" t="s">
        <v>147</v>
      </c>
      <c r="I787" s="47" t="s">
        <v>147</v>
      </c>
      <c r="J787" s="47" t="s">
        <v>32</v>
      </c>
      <c r="K787" s="59" t="s">
        <v>23</v>
      </c>
      <c r="L787" s="47" t="s">
        <v>65</v>
      </c>
      <c r="M787" s="47" t="s">
        <v>33</v>
      </c>
    </row>
    <row r="788" customHeight="1" spans="1:13">
      <c r="A788" s="47" t="s">
        <v>1638</v>
      </c>
      <c r="B788" s="47" t="s">
        <v>1631</v>
      </c>
      <c r="C788" s="47" t="s">
        <v>607</v>
      </c>
      <c r="D788" s="47" t="s">
        <v>16</v>
      </c>
      <c r="E788" s="47" t="s">
        <v>36</v>
      </c>
      <c r="F788" s="47" t="s">
        <v>37</v>
      </c>
      <c r="G788" s="47" t="s">
        <v>38</v>
      </c>
      <c r="H788" s="47" t="s">
        <v>39</v>
      </c>
      <c r="I788" s="47" t="s">
        <v>39</v>
      </c>
      <c r="J788" s="47" t="s">
        <v>22</v>
      </c>
      <c r="K788" s="59" t="s">
        <v>23</v>
      </c>
      <c r="L788" s="59" t="s">
        <v>23</v>
      </c>
      <c r="M788" s="47" t="s">
        <v>24</v>
      </c>
    </row>
    <row r="789" customHeight="1" spans="1:13">
      <c r="A789" s="47" t="s">
        <v>1639</v>
      </c>
      <c r="B789" s="47" t="s">
        <v>1635</v>
      </c>
      <c r="C789" s="47" t="s">
        <v>1491</v>
      </c>
      <c r="D789" s="47" t="s">
        <v>43</v>
      </c>
      <c r="E789" s="47" t="s">
        <v>108</v>
      </c>
      <c r="F789" s="47" t="s">
        <v>109</v>
      </c>
      <c r="G789" s="47" t="s">
        <v>38</v>
      </c>
      <c r="H789" s="47" t="s">
        <v>110</v>
      </c>
      <c r="I789" s="47" t="s">
        <v>110</v>
      </c>
      <c r="J789" s="47" t="s">
        <v>22</v>
      </c>
      <c r="K789" s="59" t="s">
        <v>23</v>
      </c>
      <c r="L789" s="59" t="s">
        <v>23</v>
      </c>
      <c r="M789" s="47" t="s">
        <v>33</v>
      </c>
    </row>
    <row r="790" customHeight="1" spans="1:13">
      <c r="A790" s="47" t="s">
        <v>1640</v>
      </c>
      <c r="B790" s="47" t="s">
        <v>1631</v>
      </c>
      <c r="C790" s="47" t="s">
        <v>1641</v>
      </c>
      <c r="D790" s="47" t="s">
        <v>43</v>
      </c>
      <c r="E790" s="47" t="s">
        <v>199</v>
      </c>
      <c r="F790" s="47" t="s">
        <v>18</v>
      </c>
      <c r="G790" s="47" t="s">
        <v>38</v>
      </c>
      <c r="H790" s="47" t="s">
        <v>39</v>
      </c>
      <c r="I790" s="47" t="s">
        <v>39</v>
      </c>
      <c r="J790" s="47" t="s">
        <v>22</v>
      </c>
      <c r="K790" s="59" t="s">
        <v>23</v>
      </c>
      <c r="L790" s="59" t="s">
        <v>23</v>
      </c>
      <c r="M790" s="47" t="s">
        <v>47</v>
      </c>
    </row>
    <row r="791" customHeight="1" spans="1:13">
      <c r="A791" s="47" t="s">
        <v>1642</v>
      </c>
      <c r="B791" s="47" t="s">
        <v>1643</v>
      </c>
      <c r="C791" s="47" t="s">
        <v>1644</v>
      </c>
      <c r="D791" s="47" t="s">
        <v>213</v>
      </c>
      <c r="E791" s="47" t="s">
        <v>1645</v>
      </c>
      <c r="F791" s="59" t="s">
        <v>23</v>
      </c>
      <c r="G791" s="47" t="s">
        <v>29</v>
      </c>
      <c r="H791" s="47" t="s">
        <v>147</v>
      </c>
      <c r="I791" s="47" t="s">
        <v>148</v>
      </c>
      <c r="J791" s="47" t="s">
        <v>22</v>
      </c>
      <c r="K791" s="59" t="s">
        <v>23</v>
      </c>
      <c r="L791" s="59" t="s">
        <v>23</v>
      </c>
      <c r="M791" s="47" t="s">
        <v>73</v>
      </c>
    </row>
    <row r="792" customHeight="1" spans="1:13">
      <c r="A792" s="47" t="s">
        <v>1646</v>
      </c>
      <c r="B792" s="47" t="s">
        <v>1643</v>
      </c>
      <c r="C792" s="47" t="s">
        <v>538</v>
      </c>
      <c r="D792" s="47" t="s">
        <v>107</v>
      </c>
      <c r="E792" s="47" t="s">
        <v>63</v>
      </c>
      <c r="F792" s="47" t="s">
        <v>18</v>
      </c>
      <c r="G792" s="47" t="s">
        <v>38</v>
      </c>
      <c r="H792" s="59" t="s">
        <v>23</v>
      </c>
      <c r="I792" s="47" t="s">
        <v>644</v>
      </c>
      <c r="J792" s="47" t="s">
        <v>22</v>
      </c>
      <c r="K792" s="59" t="s">
        <v>23</v>
      </c>
      <c r="L792" s="59" t="s">
        <v>23</v>
      </c>
      <c r="M792" s="47" t="s">
        <v>24</v>
      </c>
    </row>
    <row r="793" customHeight="1" spans="1:13">
      <c r="A793" s="47" t="s">
        <v>1647</v>
      </c>
      <c r="B793" s="47" t="s">
        <v>1643</v>
      </c>
      <c r="C793" s="47" t="s">
        <v>1648</v>
      </c>
      <c r="D793" s="47" t="s">
        <v>107</v>
      </c>
      <c r="E793" s="47" t="s">
        <v>95</v>
      </c>
      <c r="F793" s="47" t="s">
        <v>45</v>
      </c>
      <c r="G793" s="47" t="s">
        <v>38</v>
      </c>
      <c r="H793" s="47" t="s">
        <v>77</v>
      </c>
      <c r="I793" s="47" t="s">
        <v>227</v>
      </c>
      <c r="J793" s="47" t="s">
        <v>22</v>
      </c>
      <c r="K793" s="47" t="s">
        <v>53</v>
      </c>
      <c r="L793" s="47" t="s">
        <v>29</v>
      </c>
      <c r="M793" s="47" t="s">
        <v>24</v>
      </c>
    </row>
    <row r="794" customHeight="1" spans="1:13">
      <c r="A794" s="47" t="s">
        <v>1649</v>
      </c>
      <c r="B794" s="47" t="s">
        <v>1643</v>
      </c>
      <c r="C794" s="47" t="s">
        <v>1650</v>
      </c>
      <c r="D794" s="47" t="s">
        <v>43</v>
      </c>
      <c r="E794" s="47" t="s">
        <v>63</v>
      </c>
      <c r="F794" s="47" t="s">
        <v>18</v>
      </c>
      <c r="G794" s="47" t="s">
        <v>19</v>
      </c>
      <c r="H794" s="47" t="s">
        <v>64</v>
      </c>
      <c r="I794" s="47" t="s">
        <v>39</v>
      </c>
      <c r="J794" s="47" t="s">
        <v>32</v>
      </c>
      <c r="K794" s="59" t="s">
        <v>23</v>
      </c>
      <c r="L794" s="47" t="s">
        <v>29</v>
      </c>
      <c r="M794" s="47" t="s">
        <v>73</v>
      </c>
    </row>
    <row r="795" customHeight="1" spans="1:13">
      <c r="A795" s="47" t="s">
        <v>1651</v>
      </c>
      <c r="B795" s="47" t="s">
        <v>1643</v>
      </c>
      <c r="C795" s="47" t="s">
        <v>703</v>
      </c>
      <c r="D795" s="47" t="s">
        <v>43</v>
      </c>
      <c r="E795" s="47" t="s">
        <v>81</v>
      </c>
      <c r="F795" s="47" t="s">
        <v>37</v>
      </c>
      <c r="G795" s="47" t="s">
        <v>38</v>
      </c>
      <c r="H795" s="47" t="s">
        <v>82</v>
      </c>
      <c r="I795" s="47" t="s">
        <v>82</v>
      </c>
      <c r="J795" s="47" t="s">
        <v>22</v>
      </c>
      <c r="K795" s="59" t="s">
        <v>23</v>
      </c>
      <c r="L795" s="59" t="s">
        <v>23</v>
      </c>
      <c r="M795" s="47" t="s">
        <v>24</v>
      </c>
    </row>
    <row r="796" customHeight="1" spans="1:13">
      <c r="A796" s="47" t="s">
        <v>1652</v>
      </c>
      <c r="B796" s="47" t="s">
        <v>1653</v>
      </c>
      <c r="C796" s="47" t="s">
        <v>317</v>
      </c>
      <c r="D796" s="47" t="s">
        <v>107</v>
      </c>
      <c r="E796" s="47" t="s">
        <v>36</v>
      </c>
      <c r="F796" s="59" t="s">
        <v>23</v>
      </c>
      <c r="G796" s="47" t="s">
        <v>38</v>
      </c>
      <c r="H796" s="47" t="s">
        <v>39</v>
      </c>
      <c r="I796" s="47" t="s">
        <v>39</v>
      </c>
      <c r="J796" s="47" t="s">
        <v>753</v>
      </c>
      <c r="K796" s="59" t="s">
        <v>23</v>
      </c>
      <c r="L796" s="59" t="s">
        <v>23</v>
      </c>
      <c r="M796" s="47" t="s">
        <v>73</v>
      </c>
    </row>
    <row r="797" customHeight="1" spans="1:13">
      <c r="A797" s="47" t="s">
        <v>1654</v>
      </c>
      <c r="B797" s="47" t="s">
        <v>1643</v>
      </c>
      <c r="C797" s="47" t="s">
        <v>933</v>
      </c>
      <c r="D797" s="47" t="s">
        <v>16</v>
      </c>
      <c r="E797" s="47" t="s">
        <v>17</v>
      </c>
      <c r="F797" s="47" t="s">
        <v>18</v>
      </c>
      <c r="G797" s="47" t="s">
        <v>38</v>
      </c>
      <c r="H797" s="47" t="s">
        <v>20</v>
      </c>
      <c r="I797" s="47" t="s">
        <v>20</v>
      </c>
      <c r="J797" s="47" t="s">
        <v>22</v>
      </c>
      <c r="K797" s="59" t="s">
        <v>23</v>
      </c>
      <c r="L797" s="59" t="s">
        <v>23</v>
      </c>
      <c r="M797" s="47" t="s">
        <v>33</v>
      </c>
    </row>
    <row r="798" customHeight="1" spans="1:13">
      <c r="A798" s="47" t="s">
        <v>1655</v>
      </c>
      <c r="B798" s="47" t="s">
        <v>1656</v>
      </c>
      <c r="C798" s="47" t="s">
        <v>1657</v>
      </c>
      <c r="D798" s="47" t="s">
        <v>43</v>
      </c>
      <c r="E798" s="47" t="s">
        <v>95</v>
      </c>
      <c r="F798" s="47" t="s">
        <v>45</v>
      </c>
      <c r="G798" s="47" t="s">
        <v>38</v>
      </c>
      <c r="H798" s="47" t="s">
        <v>77</v>
      </c>
      <c r="I798" s="47" t="s">
        <v>77</v>
      </c>
      <c r="J798" s="47" t="s">
        <v>32</v>
      </c>
      <c r="K798" s="59" t="s">
        <v>23</v>
      </c>
      <c r="L798" s="47" t="s">
        <v>65</v>
      </c>
      <c r="M798" s="47" t="s">
        <v>73</v>
      </c>
    </row>
    <row r="799" customHeight="1" spans="1:13">
      <c r="A799" s="47" t="s">
        <v>1658</v>
      </c>
      <c r="B799" s="47" t="s">
        <v>1643</v>
      </c>
      <c r="C799" s="47" t="s">
        <v>807</v>
      </c>
      <c r="D799" s="47" t="s">
        <v>107</v>
      </c>
      <c r="E799" s="47" t="s">
        <v>1029</v>
      </c>
      <c r="F799" s="47" t="s">
        <v>28</v>
      </c>
      <c r="G799" s="47" t="s">
        <v>38</v>
      </c>
      <c r="H799" s="47" t="s">
        <v>30</v>
      </c>
      <c r="I799" s="47" t="s">
        <v>30</v>
      </c>
      <c r="J799" s="47" t="s">
        <v>22</v>
      </c>
      <c r="K799" s="59" t="s">
        <v>23</v>
      </c>
      <c r="L799" s="59" t="s">
        <v>23</v>
      </c>
      <c r="M799" s="47" t="s">
        <v>47</v>
      </c>
    </row>
    <row r="800" customHeight="1" spans="1:13">
      <c r="A800" s="47" t="s">
        <v>1659</v>
      </c>
      <c r="B800" s="47" t="s">
        <v>1653</v>
      </c>
      <c r="C800" s="47" t="s">
        <v>329</v>
      </c>
      <c r="D800" s="47" t="s">
        <v>16</v>
      </c>
      <c r="E800" s="47" t="s">
        <v>103</v>
      </c>
      <c r="F800" s="47" t="s">
        <v>37</v>
      </c>
      <c r="G800" s="47" t="s">
        <v>38</v>
      </c>
      <c r="H800" s="47" t="s">
        <v>77</v>
      </c>
      <c r="I800" s="47" t="s">
        <v>77</v>
      </c>
      <c r="J800" s="47" t="s">
        <v>22</v>
      </c>
      <c r="K800" s="59" t="s">
        <v>23</v>
      </c>
      <c r="L800" s="47" t="s">
        <v>65</v>
      </c>
      <c r="M800" s="47" t="s">
        <v>47</v>
      </c>
    </row>
    <row r="801" customHeight="1" spans="1:13">
      <c r="A801" s="47" t="s">
        <v>1660</v>
      </c>
      <c r="B801" s="47" t="s">
        <v>1643</v>
      </c>
      <c r="C801" s="47" t="s">
        <v>1661</v>
      </c>
      <c r="D801" s="47" t="s">
        <v>156</v>
      </c>
      <c r="E801" s="47" t="s">
        <v>44</v>
      </c>
      <c r="F801" s="47" t="s">
        <v>45</v>
      </c>
      <c r="G801" s="47" t="s">
        <v>29</v>
      </c>
      <c r="H801" s="47" t="s">
        <v>46</v>
      </c>
      <c r="I801" s="47" t="s">
        <v>184</v>
      </c>
      <c r="J801" s="47" t="s">
        <v>22</v>
      </c>
      <c r="K801" s="59" t="s">
        <v>23</v>
      </c>
      <c r="L801" s="47" t="s">
        <v>29</v>
      </c>
      <c r="M801" s="47" t="s">
        <v>47</v>
      </c>
    </row>
    <row r="802" customHeight="1" spans="1:13">
      <c r="A802" s="47" t="s">
        <v>1662</v>
      </c>
      <c r="B802" s="47" t="s">
        <v>1643</v>
      </c>
      <c r="C802" s="47" t="s">
        <v>1663</v>
      </c>
      <c r="D802" s="47" t="s">
        <v>43</v>
      </c>
      <c r="E802" s="47" t="s">
        <v>36</v>
      </c>
      <c r="F802" s="47" t="s">
        <v>37</v>
      </c>
      <c r="G802" s="47" t="s">
        <v>38</v>
      </c>
      <c r="H802" s="47" t="s">
        <v>39</v>
      </c>
      <c r="I802" s="47" t="s">
        <v>39</v>
      </c>
      <c r="J802" s="47" t="s">
        <v>22</v>
      </c>
      <c r="K802" s="59" t="s">
        <v>23</v>
      </c>
      <c r="L802" s="59" t="s">
        <v>23</v>
      </c>
      <c r="M802" s="47" t="s">
        <v>73</v>
      </c>
    </row>
    <row r="803" customHeight="1" spans="1:13">
      <c r="A803" s="47" t="s">
        <v>1664</v>
      </c>
      <c r="B803" s="47" t="s">
        <v>1665</v>
      </c>
      <c r="C803" s="47" t="s">
        <v>1666</v>
      </c>
      <c r="D803" s="47" t="s">
        <v>16</v>
      </c>
      <c r="E803" s="47" t="s">
        <v>44</v>
      </c>
      <c r="F803" s="47" t="s">
        <v>45</v>
      </c>
      <c r="G803" s="47" t="s">
        <v>38</v>
      </c>
      <c r="H803" s="47" t="s">
        <v>46</v>
      </c>
      <c r="I803" s="47" t="s">
        <v>46</v>
      </c>
      <c r="J803" s="47" t="s">
        <v>22</v>
      </c>
      <c r="K803" s="59" t="s">
        <v>23</v>
      </c>
      <c r="L803" s="59" t="s">
        <v>23</v>
      </c>
      <c r="M803" s="47" t="s">
        <v>47</v>
      </c>
    </row>
    <row r="804" customHeight="1" spans="1:13">
      <c r="A804" s="47" t="s">
        <v>1667</v>
      </c>
      <c r="B804" s="47" t="s">
        <v>1665</v>
      </c>
      <c r="C804" s="47" t="s">
        <v>922</v>
      </c>
      <c r="D804" s="47" t="s">
        <v>43</v>
      </c>
      <c r="E804" s="47" t="s">
        <v>63</v>
      </c>
      <c r="F804" s="47" t="s">
        <v>18</v>
      </c>
      <c r="G804" s="47" t="s">
        <v>38</v>
      </c>
      <c r="H804" s="47" t="s">
        <v>64</v>
      </c>
      <c r="I804" s="47" t="s">
        <v>64</v>
      </c>
      <c r="J804" s="47" t="s">
        <v>556</v>
      </c>
      <c r="K804" s="59" t="s">
        <v>23</v>
      </c>
      <c r="L804" s="47" t="s">
        <v>29</v>
      </c>
      <c r="M804" s="47" t="s">
        <v>33</v>
      </c>
    </row>
    <row r="805" customHeight="1" spans="1:13">
      <c r="A805" s="47" t="s">
        <v>1668</v>
      </c>
      <c r="B805" s="47" t="s">
        <v>1665</v>
      </c>
      <c r="C805" s="47" t="s">
        <v>789</v>
      </c>
      <c r="D805" s="47" t="s">
        <v>16</v>
      </c>
      <c r="E805" s="47" t="s">
        <v>36</v>
      </c>
      <c r="F805" s="47" t="s">
        <v>37</v>
      </c>
      <c r="G805" s="47" t="s">
        <v>29</v>
      </c>
      <c r="H805" s="47" t="s">
        <v>39</v>
      </c>
      <c r="I805" s="47" t="s">
        <v>761</v>
      </c>
      <c r="J805" s="47" t="s">
        <v>22</v>
      </c>
      <c r="K805" s="59" t="s">
        <v>23</v>
      </c>
      <c r="L805" s="59" t="s">
        <v>23</v>
      </c>
      <c r="M805" s="47" t="s">
        <v>47</v>
      </c>
    </row>
    <row r="806" customHeight="1" spans="1:13">
      <c r="A806" s="47" t="s">
        <v>1669</v>
      </c>
      <c r="B806" s="47" t="s">
        <v>1665</v>
      </c>
      <c r="C806" s="47" t="s">
        <v>1366</v>
      </c>
      <c r="D806" s="47" t="s">
        <v>16</v>
      </c>
      <c r="E806" s="47" t="s">
        <v>262</v>
      </c>
      <c r="F806" s="47" t="s">
        <v>45</v>
      </c>
      <c r="G806" s="47" t="s">
        <v>38</v>
      </c>
      <c r="H806" s="47" t="s">
        <v>46</v>
      </c>
      <c r="I806" s="59" t="s">
        <v>23</v>
      </c>
      <c r="J806" s="47" t="s">
        <v>22</v>
      </c>
      <c r="K806" s="59" t="s">
        <v>23</v>
      </c>
      <c r="L806" s="47" t="s">
        <v>65</v>
      </c>
      <c r="M806" s="47" t="s">
        <v>33</v>
      </c>
    </row>
    <row r="807" customHeight="1" spans="1:13">
      <c r="A807" s="47" t="s">
        <v>1670</v>
      </c>
      <c r="B807" s="47" t="s">
        <v>1665</v>
      </c>
      <c r="C807" s="47" t="s">
        <v>603</v>
      </c>
      <c r="D807" s="47" t="s">
        <v>16</v>
      </c>
      <c r="E807" s="47" t="s">
        <v>165</v>
      </c>
      <c r="F807" s="47" t="s">
        <v>109</v>
      </c>
      <c r="G807" s="47" t="s">
        <v>38</v>
      </c>
      <c r="H807" s="47" t="s">
        <v>82</v>
      </c>
      <c r="I807" s="47" t="s">
        <v>82</v>
      </c>
      <c r="J807" s="47" t="s">
        <v>22</v>
      </c>
      <c r="K807" s="59" t="s">
        <v>23</v>
      </c>
      <c r="L807" s="47" t="s">
        <v>65</v>
      </c>
      <c r="M807" s="47" t="s">
        <v>40</v>
      </c>
    </row>
    <row r="808" customHeight="1" spans="1:13">
      <c r="A808" s="47" t="s">
        <v>1671</v>
      </c>
      <c r="B808" s="47" t="s">
        <v>1665</v>
      </c>
      <c r="C808" s="47" t="s">
        <v>453</v>
      </c>
      <c r="D808" s="47" t="s">
        <v>16</v>
      </c>
      <c r="E808" s="47" t="s">
        <v>44</v>
      </c>
      <c r="F808" s="47" t="s">
        <v>45</v>
      </c>
      <c r="G808" s="47" t="s">
        <v>38</v>
      </c>
      <c r="H808" s="47" t="s">
        <v>46</v>
      </c>
      <c r="I808" s="47" t="s">
        <v>46</v>
      </c>
      <c r="J808" s="47" t="s">
        <v>32</v>
      </c>
      <c r="K808" s="59" t="s">
        <v>23</v>
      </c>
      <c r="L808" s="59" t="s">
        <v>23</v>
      </c>
      <c r="M808" s="47" t="s">
        <v>24</v>
      </c>
    </row>
    <row r="809" customHeight="1" spans="1:13">
      <c r="A809" s="47" t="s">
        <v>1672</v>
      </c>
      <c r="B809" s="47" t="s">
        <v>1665</v>
      </c>
      <c r="C809" s="47" t="s">
        <v>42</v>
      </c>
      <c r="D809" s="47" t="s">
        <v>854</v>
      </c>
      <c r="E809" s="47" t="s">
        <v>63</v>
      </c>
      <c r="F809" s="47" t="s">
        <v>18</v>
      </c>
      <c r="G809" s="47" t="s">
        <v>38</v>
      </c>
      <c r="H809" s="47" t="s">
        <v>64</v>
      </c>
      <c r="I809" s="47" t="s">
        <v>64</v>
      </c>
      <c r="J809" s="47" t="s">
        <v>22</v>
      </c>
      <c r="K809" s="59" t="s">
        <v>23</v>
      </c>
      <c r="L809" s="59" t="s">
        <v>23</v>
      </c>
      <c r="M809" s="47" t="s">
        <v>40</v>
      </c>
    </row>
    <row r="810" customHeight="1" spans="1:13">
      <c r="A810" s="47" t="s">
        <v>1673</v>
      </c>
      <c r="B810" s="47" t="s">
        <v>1665</v>
      </c>
      <c r="C810" s="47" t="s">
        <v>674</v>
      </c>
      <c r="D810" s="47" t="s">
        <v>16</v>
      </c>
      <c r="E810" s="47" t="s">
        <v>103</v>
      </c>
      <c r="F810" s="47" t="s">
        <v>37</v>
      </c>
      <c r="G810" s="47" t="s">
        <v>38</v>
      </c>
      <c r="H810" s="47" t="s">
        <v>77</v>
      </c>
      <c r="I810" s="47" t="s">
        <v>77</v>
      </c>
      <c r="J810" s="47" t="s">
        <v>22</v>
      </c>
      <c r="K810" s="59" t="s">
        <v>23</v>
      </c>
      <c r="L810" s="59" t="s">
        <v>23</v>
      </c>
      <c r="M810" s="47" t="s">
        <v>40</v>
      </c>
    </row>
    <row r="811" customHeight="1" spans="1:13">
      <c r="A811" s="47" t="s">
        <v>1674</v>
      </c>
      <c r="B811" s="47" t="s">
        <v>1665</v>
      </c>
      <c r="C811" s="47" t="s">
        <v>967</v>
      </c>
      <c r="D811" s="47" t="s">
        <v>43</v>
      </c>
      <c r="E811" s="47" t="s">
        <v>396</v>
      </c>
      <c r="F811" s="47" t="s">
        <v>18</v>
      </c>
      <c r="G811" s="47" t="s">
        <v>19</v>
      </c>
      <c r="H811" s="47" t="s">
        <v>64</v>
      </c>
      <c r="I811" s="47" t="s">
        <v>39</v>
      </c>
      <c r="J811" s="47" t="s">
        <v>32</v>
      </c>
      <c r="K811" s="59" t="s">
        <v>23</v>
      </c>
      <c r="L811" s="47" t="s">
        <v>65</v>
      </c>
      <c r="M811" s="47" t="s">
        <v>315</v>
      </c>
    </row>
    <row r="812" customHeight="1" spans="1:13">
      <c r="A812" s="47" t="s">
        <v>1675</v>
      </c>
      <c r="B812" s="47" t="s">
        <v>1665</v>
      </c>
      <c r="C812" s="47" t="s">
        <v>1190</v>
      </c>
      <c r="D812" s="47" t="s">
        <v>16</v>
      </c>
      <c r="E812" s="47" t="s">
        <v>103</v>
      </c>
      <c r="F812" s="47" t="s">
        <v>37</v>
      </c>
      <c r="G812" s="47" t="s">
        <v>38</v>
      </c>
      <c r="H812" s="47" t="s">
        <v>77</v>
      </c>
      <c r="I812" s="47" t="s">
        <v>77</v>
      </c>
      <c r="J812" s="47" t="s">
        <v>22</v>
      </c>
      <c r="K812" s="59" t="s">
        <v>23</v>
      </c>
      <c r="L812" s="47" t="s">
        <v>65</v>
      </c>
      <c r="M812" s="47" t="s">
        <v>73</v>
      </c>
    </row>
    <row r="813" customHeight="1" spans="1:13">
      <c r="A813" s="47" t="s">
        <v>1676</v>
      </c>
      <c r="B813" s="47" t="s">
        <v>1665</v>
      </c>
      <c r="C813" s="47" t="s">
        <v>1190</v>
      </c>
      <c r="D813" s="47" t="s">
        <v>107</v>
      </c>
      <c r="E813" s="47" t="s">
        <v>81</v>
      </c>
      <c r="F813" s="47" t="s">
        <v>37</v>
      </c>
      <c r="G813" s="47" t="s">
        <v>38</v>
      </c>
      <c r="H813" s="47" t="s">
        <v>82</v>
      </c>
      <c r="I813" s="47" t="s">
        <v>82</v>
      </c>
      <c r="J813" s="47" t="s">
        <v>22</v>
      </c>
      <c r="K813" s="59" t="s">
        <v>23</v>
      </c>
      <c r="L813" s="47" t="s">
        <v>65</v>
      </c>
      <c r="M813" s="47" t="s">
        <v>33</v>
      </c>
    </row>
    <row r="814" customHeight="1" spans="1:13">
      <c r="A814" s="47" t="s">
        <v>1677</v>
      </c>
      <c r="B814" s="47" t="s">
        <v>1665</v>
      </c>
      <c r="C814" s="47" t="s">
        <v>1056</v>
      </c>
      <c r="D814" s="47" t="s">
        <v>16</v>
      </c>
      <c r="E814" s="47" t="s">
        <v>63</v>
      </c>
      <c r="F814" s="47" t="s">
        <v>18</v>
      </c>
      <c r="G814" s="47" t="s">
        <v>38</v>
      </c>
      <c r="H814" s="47" t="s">
        <v>64</v>
      </c>
      <c r="I814" s="47" t="s">
        <v>64</v>
      </c>
      <c r="J814" s="47" t="s">
        <v>127</v>
      </c>
      <c r="K814" s="59" t="s">
        <v>23</v>
      </c>
      <c r="L814" s="47" t="s">
        <v>65</v>
      </c>
      <c r="M814" s="47" t="s">
        <v>33</v>
      </c>
    </row>
    <row r="815" customHeight="1" spans="1:13">
      <c r="A815" s="47" t="s">
        <v>1678</v>
      </c>
      <c r="B815" s="47" t="s">
        <v>1665</v>
      </c>
      <c r="C815" s="47" t="s">
        <v>1679</v>
      </c>
      <c r="D815" s="47" t="s">
        <v>16</v>
      </c>
      <c r="E815" s="47" t="s">
        <v>44</v>
      </c>
      <c r="F815" s="47" t="s">
        <v>45</v>
      </c>
      <c r="G815" s="47" t="s">
        <v>19</v>
      </c>
      <c r="H815" s="47" t="s">
        <v>46</v>
      </c>
      <c r="I815" s="47" t="s">
        <v>114</v>
      </c>
      <c r="J815" s="47" t="s">
        <v>22</v>
      </c>
      <c r="K815" s="59" t="s">
        <v>23</v>
      </c>
      <c r="L815" s="47" t="s">
        <v>54</v>
      </c>
      <c r="M815" s="47" t="s">
        <v>40</v>
      </c>
    </row>
    <row r="816" customHeight="1" spans="1:13">
      <c r="A816" s="47" t="s">
        <v>1680</v>
      </c>
      <c r="B816" s="47" t="s">
        <v>1665</v>
      </c>
      <c r="C816" s="47" t="s">
        <v>1681</v>
      </c>
      <c r="D816" s="47" t="s">
        <v>16</v>
      </c>
      <c r="E816" s="47" t="s">
        <v>367</v>
      </c>
      <c r="F816" s="47" t="s">
        <v>1682</v>
      </c>
      <c r="G816" s="47" t="s">
        <v>38</v>
      </c>
      <c r="H816" s="47" t="s">
        <v>110</v>
      </c>
      <c r="I816" s="47" t="s">
        <v>110</v>
      </c>
      <c r="J816" s="47" t="s">
        <v>32</v>
      </c>
      <c r="K816" s="59" t="s">
        <v>23</v>
      </c>
      <c r="L816" s="47" t="s">
        <v>65</v>
      </c>
      <c r="M816" s="47" t="s">
        <v>40</v>
      </c>
    </row>
    <row r="817" customHeight="1" spans="1:13">
      <c r="A817" s="47" t="s">
        <v>1683</v>
      </c>
      <c r="B817" s="47" t="s">
        <v>1665</v>
      </c>
      <c r="C817" s="47" t="s">
        <v>1661</v>
      </c>
      <c r="D817" s="47" t="s">
        <v>43</v>
      </c>
      <c r="E817" s="47" t="s">
        <v>36</v>
      </c>
      <c r="F817" s="47" t="s">
        <v>37</v>
      </c>
      <c r="G817" s="47" t="s">
        <v>38</v>
      </c>
      <c r="H817" s="47" t="s">
        <v>39</v>
      </c>
      <c r="I817" s="47" t="s">
        <v>39</v>
      </c>
      <c r="J817" s="47" t="s">
        <v>32</v>
      </c>
      <c r="K817" s="59" t="s">
        <v>23</v>
      </c>
      <c r="L817" s="59" t="s">
        <v>23</v>
      </c>
      <c r="M817" s="47" t="s">
        <v>33</v>
      </c>
    </row>
    <row r="818" customHeight="1" spans="1:13">
      <c r="A818" s="47" t="s">
        <v>1684</v>
      </c>
      <c r="B818" s="47" t="s">
        <v>1685</v>
      </c>
      <c r="C818" s="47" t="s">
        <v>1431</v>
      </c>
      <c r="D818" s="47" t="s">
        <v>16</v>
      </c>
      <c r="E818" s="47" t="s">
        <v>63</v>
      </c>
      <c r="F818" s="47" t="s">
        <v>18</v>
      </c>
      <c r="G818" s="47" t="s">
        <v>38</v>
      </c>
      <c r="H818" s="47" t="s">
        <v>64</v>
      </c>
      <c r="I818" s="47" t="s">
        <v>64</v>
      </c>
      <c r="J818" s="47" t="s">
        <v>22</v>
      </c>
      <c r="K818" s="59" t="s">
        <v>23</v>
      </c>
      <c r="L818" s="59" t="s">
        <v>23</v>
      </c>
      <c r="M818" s="47" t="s">
        <v>47</v>
      </c>
    </row>
    <row r="819" customHeight="1" spans="1:13">
      <c r="A819" s="47" t="s">
        <v>1686</v>
      </c>
      <c r="B819" s="47" t="s">
        <v>1685</v>
      </c>
      <c r="C819" s="47" t="s">
        <v>1687</v>
      </c>
      <c r="D819" s="47" t="s">
        <v>16</v>
      </c>
      <c r="E819" s="47" t="s">
        <v>367</v>
      </c>
      <c r="F819" s="47" t="s">
        <v>109</v>
      </c>
      <c r="G819" s="47" t="s">
        <v>38</v>
      </c>
      <c r="H819" s="47" t="s">
        <v>110</v>
      </c>
      <c r="I819" s="47" t="s">
        <v>110</v>
      </c>
      <c r="J819" s="47" t="s">
        <v>32</v>
      </c>
      <c r="K819" s="59" t="s">
        <v>23</v>
      </c>
      <c r="L819" s="59" t="s">
        <v>23</v>
      </c>
      <c r="M819" s="47" t="s">
        <v>40</v>
      </c>
    </row>
    <row r="820" customHeight="1" spans="1:13">
      <c r="A820" s="47" t="s">
        <v>1688</v>
      </c>
      <c r="B820" s="47" t="s">
        <v>1685</v>
      </c>
      <c r="C820" s="47" t="s">
        <v>637</v>
      </c>
      <c r="D820" s="47" t="s">
        <v>16</v>
      </c>
      <c r="E820" s="47" t="s">
        <v>146</v>
      </c>
      <c r="F820" s="47" t="s">
        <v>28</v>
      </c>
      <c r="G820" s="47" t="s">
        <v>38</v>
      </c>
      <c r="H820" s="47" t="s">
        <v>147</v>
      </c>
      <c r="I820" s="47" t="s">
        <v>147</v>
      </c>
      <c r="J820" s="47" t="s">
        <v>32</v>
      </c>
      <c r="K820" s="59" t="s">
        <v>23</v>
      </c>
      <c r="L820" s="47" t="s">
        <v>54</v>
      </c>
      <c r="M820" s="47" t="s">
        <v>40</v>
      </c>
    </row>
    <row r="821" customHeight="1" spans="1:13">
      <c r="A821" s="47" t="s">
        <v>1689</v>
      </c>
      <c r="B821" s="47" t="s">
        <v>1685</v>
      </c>
      <c r="C821" s="47" t="s">
        <v>118</v>
      </c>
      <c r="D821" s="47" t="s">
        <v>43</v>
      </c>
      <c r="E821" s="47" t="s">
        <v>17</v>
      </c>
      <c r="F821" s="47" t="s">
        <v>18</v>
      </c>
      <c r="G821" s="47" t="s">
        <v>38</v>
      </c>
      <c r="H821" s="47" t="s">
        <v>20</v>
      </c>
      <c r="I821" s="47" t="s">
        <v>20</v>
      </c>
      <c r="J821" s="47" t="s">
        <v>485</v>
      </c>
      <c r="K821" s="59" t="s">
        <v>23</v>
      </c>
      <c r="L821" s="59" t="s">
        <v>23</v>
      </c>
      <c r="M821" s="47" t="s">
        <v>47</v>
      </c>
    </row>
    <row r="822" customHeight="1" spans="1:13">
      <c r="A822" s="47" t="s">
        <v>1690</v>
      </c>
      <c r="B822" s="47" t="s">
        <v>1685</v>
      </c>
      <c r="C822" s="47" t="s">
        <v>1691</v>
      </c>
      <c r="D822" s="47" t="s">
        <v>43</v>
      </c>
      <c r="E822" s="47" t="s">
        <v>103</v>
      </c>
      <c r="F822" s="47" t="s">
        <v>1286</v>
      </c>
      <c r="G822" s="47" t="s">
        <v>38</v>
      </c>
      <c r="H822" s="47" t="s">
        <v>77</v>
      </c>
      <c r="I822" s="47" t="s">
        <v>77</v>
      </c>
      <c r="J822" s="47" t="s">
        <v>22</v>
      </c>
      <c r="K822" s="59" t="s">
        <v>23</v>
      </c>
      <c r="L822" s="59" t="s">
        <v>23</v>
      </c>
      <c r="M822" s="47" t="s">
        <v>40</v>
      </c>
    </row>
    <row r="823" customHeight="1" spans="1:13">
      <c r="A823" s="47" t="s">
        <v>1692</v>
      </c>
      <c r="B823" s="47" t="s">
        <v>1693</v>
      </c>
      <c r="C823" s="47" t="s">
        <v>1694</v>
      </c>
      <c r="D823" s="47" t="s">
        <v>16</v>
      </c>
      <c r="E823" s="47" t="s">
        <v>81</v>
      </c>
      <c r="F823" s="47" t="s">
        <v>37</v>
      </c>
      <c r="G823" s="47" t="s">
        <v>38</v>
      </c>
      <c r="H823" s="47" t="s">
        <v>769</v>
      </c>
      <c r="I823" s="47" t="s">
        <v>82</v>
      </c>
      <c r="J823" s="47" t="s">
        <v>22</v>
      </c>
      <c r="K823" s="59" t="s">
        <v>23</v>
      </c>
      <c r="L823" s="59" t="s">
        <v>23</v>
      </c>
      <c r="M823" s="47" t="s">
        <v>40</v>
      </c>
    </row>
    <row r="824" customHeight="1" spans="1:13">
      <c r="A824" s="47" t="s">
        <v>1695</v>
      </c>
      <c r="B824" s="47" t="s">
        <v>1696</v>
      </c>
      <c r="C824" s="47" t="s">
        <v>1528</v>
      </c>
      <c r="D824" s="47" t="s">
        <v>43</v>
      </c>
      <c r="E824" s="47" t="s">
        <v>44</v>
      </c>
      <c r="F824" s="47" t="s">
        <v>45</v>
      </c>
      <c r="G824" s="47" t="s">
        <v>38</v>
      </c>
      <c r="H824" s="47" t="s">
        <v>46</v>
      </c>
      <c r="I824" s="47" t="s">
        <v>46</v>
      </c>
      <c r="J824" s="47" t="s">
        <v>22</v>
      </c>
      <c r="K824" s="59" t="s">
        <v>23</v>
      </c>
      <c r="L824" s="59" t="s">
        <v>23</v>
      </c>
      <c r="M824" s="47" t="s">
        <v>33</v>
      </c>
    </row>
    <row r="825" customHeight="1" spans="1:13">
      <c r="A825" s="47" t="s">
        <v>1695</v>
      </c>
      <c r="B825" s="47" t="s">
        <v>1696</v>
      </c>
      <c r="C825" s="47" t="s">
        <v>1528</v>
      </c>
      <c r="D825" s="47" t="s">
        <v>43</v>
      </c>
      <c r="E825" s="47" t="s">
        <v>44</v>
      </c>
      <c r="F825" s="47" t="s">
        <v>45</v>
      </c>
      <c r="G825" s="47" t="s">
        <v>38</v>
      </c>
      <c r="H825" s="47" t="s">
        <v>46</v>
      </c>
      <c r="I825" s="47" t="s">
        <v>46</v>
      </c>
      <c r="J825" s="47" t="s">
        <v>22</v>
      </c>
      <c r="K825" s="59" t="s">
        <v>23</v>
      </c>
      <c r="L825" s="59" t="s">
        <v>23</v>
      </c>
      <c r="M825" s="47" t="s">
        <v>33</v>
      </c>
    </row>
    <row r="826" customHeight="1" spans="1:13">
      <c r="A826" s="47" t="s">
        <v>1697</v>
      </c>
      <c r="B826" s="47" t="s">
        <v>1696</v>
      </c>
      <c r="C826" s="47" t="s">
        <v>1230</v>
      </c>
      <c r="D826" s="47" t="s">
        <v>107</v>
      </c>
      <c r="E826" s="47" t="s">
        <v>17</v>
      </c>
      <c r="F826" s="47" t="s">
        <v>18</v>
      </c>
      <c r="G826" s="47" t="s">
        <v>38</v>
      </c>
      <c r="H826" s="47" t="s">
        <v>710</v>
      </c>
      <c r="I826" s="59" t="s">
        <v>23</v>
      </c>
      <c r="J826" s="47" t="s">
        <v>22</v>
      </c>
      <c r="K826" s="59" t="s">
        <v>23</v>
      </c>
      <c r="L826" s="59" t="s">
        <v>23</v>
      </c>
      <c r="M826" s="47" t="s">
        <v>24</v>
      </c>
    </row>
    <row r="827" customHeight="1" spans="1:13">
      <c r="A827" s="47" t="s">
        <v>1698</v>
      </c>
      <c r="B827" s="47" t="s">
        <v>1696</v>
      </c>
      <c r="C827" s="47" t="s">
        <v>637</v>
      </c>
      <c r="D827" s="47" t="s">
        <v>352</v>
      </c>
      <c r="E827" s="47" t="s">
        <v>81</v>
      </c>
      <c r="F827" s="47" t="s">
        <v>37</v>
      </c>
      <c r="G827" s="47" t="s">
        <v>19</v>
      </c>
      <c r="H827" s="47" t="s">
        <v>82</v>
      </c>
      <c r="I827" s="59" t="s">
        <v>23</v>
      </c>
      <c r="J827" s="47" t="s">
        <v>32</v>
      </c>
      <c r="K827" s="59" t="s">
        <v>23</v>
      </c>
      <c r="L827" s="47" t="s">
        <v>54</v>
      </c>
      <c r="M827" s="47" t="s">
        <v>73</v>
      </c>
    </row>
    <row r="828" customHeight="1" spans="1:13">
      <c r="A828" s="47" t="s">
        <v>1699</v>
      </c>
      <c r="B828" s="47" t="s">
        <v>1696</v>
      </c>
      <c r="C828" s="47" t="s">
        <v>1700</v>
      </c>
      <c r="D828" s="47" t="s">
        <v>43</v>
      </c>
      <c r="E828" s="47" t="s">
        <v>36</v>
      </c>
      <c r="F828" s="47" t="s">
        <v>37</v>
      </c>
      <c r="G828" s="47" t="s">
        <v>29</v>
      </c>
      <c r="H828" s="47" t="s">
        <v>39</v>
      </c>
      <c r="I828" s="47" t="s">
        <v>761</v>
      </c>
      <c r="J828" s="47" t="s">
        <v>22</v>
      </c>
      <c r="K828" s="59" t="s">
        <v>23</v>
      </c>
      <c r="L828" s="59" t="s">
        <v>23</v>
      </c>
      <c r="M828" s="47" t="s">
        <v>33</v>
      </c>
    </row>
    <row r="829" customHeight="1" spans="1:13">
      <c r="A829" s="47" t="s">
        <v>1701</v>
      </c>
      <c r="B829" s="47" t="s">
        <v>1702</v>
      </c>
      <c r="C829" s="47" t="s">
        <v>1703</v>
      </c>
      <c r="D829" s="47" t="s">
        <v>16</v>
      </c>
      <c r="E829" s="47" t="s">
        <v>17</v>
      </c>
      <c r="F829" s="59" t="s">
        <v>23</v>
      </c>
      <c r="G829" s="47" t="s">
        <v>38</v>
      </c>
      <c r="H829" s="47" t="s">
        <v>20</v>
      </c>
      <c r="I829" s="47" t="s">
        <v>20</v>
      </c>
      <c r="J829" s="47" t="s">
        <v>32</v>
      </c>
      <c r="K829" s="47" t="s">
        <v>53</v>
      </c>
      <c r="L829" s="59" t="s">
        <v>23</v>
      </c>
      <c r="M829" s="47" t="s">
        <v>1066</v>
      </c>
    </row>
    <row r="830" customHeight="1" spans="1:13">
      <c r="A830" s="47" t="s">
        <v>1704</v>
      </c>
      <c r="B830" s="47" t="s">
        <v>1702</v>
      </c>
      <c r="C830" s="47" t="s">
        <v>1705</v>
      </c>
      <c r="D830" s="47" t="s">
        <v>16</v>
      </c>
      <c r="E830" s="47" t="s">
        <v>81</v>
      </c>
      <c r="F830" s="47" t="s">
        <v>1286</v>
      </c>
      <c r="G830" s="47" t="s">
        <v>38</v>
      </c>
      <c r="H830" s="47" t="s">
        <v>82</v>
      </c>
      <c r="I830" s="47" t="s">
        <v>683</v>
      </c>
      <c r="J830" s="47" t="s">
        <v>22</v>
      </c>
      <c r="K830" s="47" t="s">
        <v>143</v>
      </c>
      <c r="L830" s="59" t="s">
        <v>23</v>
      </c>
      <c r="M830" s="47" t="s">
        <v>1066</v>
      </c>
    </row>
    <row r="831" customHeight="1" spans="1:13">
      <c r="A831" s="47" t="s">
        <v>1706</v>
      </c>
      <c r="B831" s="47" t="s">
        <v>1702</v>
      </c>
      <c r="C831" s="47" t="s">
        <v>432</v>
      </c>
      <c r="D831" s="47" t="s">
        <v>16</v>
      </c>
      <c r="E831" s="47" t="s">
        <v>199</v>
      </c>
      <c r="F831" s="47" t="s">
        <v>18</v>
      </c>
      <c r="G831" s="47" t="s">
        <v>38</v>
      </c>
      <c r="H831" s="47" t="s">
        <v>39</v>
      </c>
      <c r="I831" s="47" t="s">
        <v>39</v>
      </c>
      <c r="J831" s="47" t="s">
        <v>22</v>
      </c>
      <c r="K831" s="59" t="s">
        <v>23</v>
      </c>
      <c r="L831" s="59" t="s">
        <v>23</v>
      </c>
      <c r="M831" s="47" t="s">
        <v>47</v>
      </c>
    </row>
    <row r="832" customHeight="1" spans="1:13">
      <c r="A832" s="47" t="s">
        <v>1707</v>
      </c>
      <c r="B832" s="47" t="s">
        <v>1702</v>
      </c>
      <c r="C832" s="47" t="s">
        <v>363</v>
      </c>
      <c r="D832" s="47" t="s">
        <v>16</v>
      </c>
      <c r="E832" s="47" t="s">
        <v>103</v>
      </c>
      <c r="F832" s="47" t="s">
        <v>37</v>
      </c>
      <c r="G832" s="47" t="s">
        <v>38</v>
      </c>
      <c r="H832" s="47" t="s">
        <v>77</v>
      </c>
      <c r="I832" s="47" t="s">
        <v>77</v>
      </c>
      <c r="J832" s="47" t="s">
        <v>22</v>
      </c>
      <c r="K832" s="59" t="s">
        <v>23</v>
      </c>
      <c r="L832" s="59" t="s">
        <v>23</v>
      </c>
      <c r="M832" s="47" t="s">
        <v>24</v>
      </c>
    </row>
    <row r="833" customHeight="1" spans="1:13">
      <c r="A833" s="47" t="s">
        <v>1708</v>
      </c>
      <c r="B833" s="47" t="s">
        <v>1702</v>
      </c>
      <c r="C833" s="47" t="s">
        <v>1709</v>
      </c>
      <c r="D833" s="47" t="s">
        <v>16</v>
      </c>
      <c r="E833" s="47" t="s">
        <v>103</v>
      </c>
      <c r="F833" s="47" t="s">
        <v>37</v>
      </c>
      <c r="G833" s="47" t="s">
        <v>38</v>
      </c>
      <c r="H833" s="47" t="s">
        <v>77</v>
      </c>
      <c r="I833" s="47" t="s">
        <v>46</v>
      </c>
      <c r="J833" s="47" t="s">
        <v>22</v>
      </c>
      <c r="K833" s="47" t="s">
        <v>119</v>
      </c>
      <c r="L833" s="59" t="s">
        <v>23</v>
      </c>
      <c r="M833" s="47" t="s">
        <v>24</v>
      </c>
    </row>
    <row r="834" customHeight="1" spans="1:13">
      <c r="A834" s="47" t="s">
        <v>1710</v>
      </c>
      <c r="B834" s="47" t="s">
        <v>1711</v>
      </c>
      <c r="C834" s="47" t="s">
        <v>1712</v>
      </c>
      <c r="D834" s="47" t="s">
        <v>151</v>
      </c>
      <c r="E834" s="47" t="s">
        <v>81</v>
      </c>
      <c r="F834" s="47" t="s">
        <v>37</v>
      </c>
      <c r="G834" s="47" t="s">
        <v>38</v>
      </c>
      <c r="H834" s="47" t="s">
        <v>82</v>
      </c>
      <c r="I834" s="47" t="s">
        <v>82</v>
      </c>
      <c r="J834" s="47" t="s">
        <v>32</v>
      </c>
      <c r="K834" s="59" t="s">
        <v>23</v>
      </c>
      <c r="L834" s="59" t="s">
        <v>23</v>
      </c>
      <c r="M834" s="47" t="s">
        <v>73</v>
      </c>
    </row>
    <row r="835" customHeight="1" spans="1:13">
      <c r="A835" s="47" t="s">
        <v>1713</v>
      </c>
      <c r="B835" s="47" t="s">
        <v>1714</v>
      </c>
      <c r="C835" s="47" t="s">
        <v>1715</v>
      </c>
      <c r="D835" s="47" t="s">
        <v>16</v>
      </c>
      <c r="E835" s="47" t="s">
        <v>103</v>
      </c>
      <c r="F835" s="47" t="s">
        <v>37</v>
      </c>
      <c r="G835" s="47" t="s">
        <v>19</v>
      </c>
      <c r="H835" s="47" t="s">
        <v>77</v>
      </c>
      <c r="I835" s="47" t="s">
        <v>96</v>
      </c>
      <c r="J835" s="47" t="s">
        <v>22</v>
      </c>
      <c r="K835" s="59" t="s">
        <v>23</v>
      </c>
      <c r="L835" s="59" t="s">
        <v>23</v>
      </c>
      <c r="M835" s="47" t="s">
        <v>73</v>
      </c>
    </row>
    <row r="836" customHeight="1" spans="1:13">
      <c r="A836" s="47" t="s">
        <v>1716</v>
      </c>
      <c r="B836" s="47" t="s">
        <v>1714</v>
      </c>
      <c r="C836" s="47" t="s">
        <v>1717</v>
      </c>
      <c r="D836" s="47" t="s">
        <v>107</v>
      </c>
      <c r="E836" s="47" t="s">
        <v>367</v>
      </c>
      <c r="F836" s="47" t="s">
        <v>109</v>
      </c>
      <c r="G836" s="47" t="s">
        <v>38</v>
      </c>
      <c r="H836" s="47" t="s">
        <v>110</v>
      </c>
      <c r="I836" s="47" t="s">
        <v>110</v>
      </c>
      <c r="J836" s="47" t="s">
        <v>22</v>
      </c>
      <c r="K836" s="59" t="s">
        <v>23</v>
      </c>
      <c r="L836" s="59" t="s">
        <v>23</v>
      </c>
      <c r="M836" s="47" t="s">
        <v>40</v>
      </c>
    </row>
    <row r="837" customHeight="1" spans="1:13">
      <c r="A837" s="47" t="s">
        <v>1718</v>
      </c>
      <c r="B837" s="47" t="s">
        <v>1714</v>
      </c>
      <c r="C837" s="47" t="s">
        <v>1719</v>
      </c>
      <c r="D837" s="47" t="s">
        <v>207</v>
      </c>
      <c r="E837" s="47" t="s">
        <v>165</v>
      </c>
      <c r="F837" s="47" t="s">
        <v>109</v>
      </c>
      <c r="G837" s="47" t="s">
        <v>38</v>
      </c>
      <c r="H837" s="47" t="s">
        <v>82</v>
      </c>
      <c r="I837" s="47" t="s">
        <v>1148</v>
      </c>
      <c r="J837" s="47" t="s">
        <v>22</v>
      </c>
      <c r="K837" s="47" t="s">
        <v>53</v>
      </c>
      <c r="L837" s="47" t="s">
        <v>65</v>
      </c>
      <c r="M837" s="47" t="s">
        <v>40</v>
      </c>
    </row>
    <row r="838" customHeight="1" spans="1:13">
      <c r="A838" s="47" t="s">
        <v>1720</v>
      </c>
      <c r="B838" s="47" t="s">
        <v>1711</v>
      </c>
      <c r="C838" s="47" t="s">
        <v>1721</v>
      </c>
      <c r="D838" s="47" t="s">
        <v>16</v>
      </c>
      <c r="E838" s="47" t="s">
        <v>81</v>
      </c>
      <c r="F838" s="47" t="s">
        <v>37</v>
      </c>
      <c r="G838" s="47" t="s">
        <v>19</v>
      </c>
      <c r="H838" s="47" t="s">
        <v>82</v>
      </c>
      <c r="I838" s="47" t="s">
        <v>184</v>
      </c>
      <c r="J838" s="47" t="s">
        <v>32</v>
      </c>
      <c r="K838" s="59" t="s">
        <v>23</v>
      </c>
      <c r="L838" s="47" t="s">
        <v>65</v>
      </c>
      <c r="M838" s="47" t="s">
        <v>24</v>
      </c>
    </row>
    <row r="839" customHeight="1" spans="1:13">
      <c r="A839" s="47" t="s">
        <v>1722</v>
      </c>
      <c r="B839" s="47" t="s">
        <v>1714</v>
      </c>
      <c r="C839" s="47" t="s">
        <v>802</v>
      </c>
      <c r="D839" s="47" t="s">
        <v>107</v>
      </c>
      <c r="E839" s="47" t="s">
        <v>301</v>
      </c>
      <c r="F839" s="47" t="s">
        <v>28</v>
      </c>
      <c r="G839" s="47" t="s">
        <v>19</v>
      </c>
      <c r="H839" s="47" t="s">
        <v>52</v>
      </c>
      <c r="I839" s="47" t="s">
        <v>1723</v>
      </c>
      <c r="J839" s="47" t="s">
        <v>32</v>
      </c>
      <c r="K839" s="47" t="s">
        <v>143</v>
      </c>
      <c r="L839" s="47" t="s">
        <v>65</v>
      </c>
      <c r="M839" s="47" t="s">
        <v>73</v>
      </c>
    </row>
    <row r="840" customHeight="1" spans="1:13">
      <c r="A840" s="47" t="s">
        <v>1724</v>
      </c>
      <c r="B840" s="47" t="s">
        <v>1714</v>
      </c>
      <c r="C840" s="47" t="s">
        <v>1216</v>
      </c>
      <c r="D840" s="47" t="s">
        <v>16</v>
      </c>
      <c r="E840" s="47" t="s">
        <v>17</v>
      </c>
      <c r="F840" s="47" t="s">
        <v>18</v>
      </c>
      <c r="G840" s="47" t="s">
        <v>29</v>
      </c>
      <c r="H840" s="47" t="s">
        <v>20</v>
      </c>
      <c r="I840" s="47" t="s">
        <v>39</v>
      </c>
      <c r="J840" s="47" t="s">
        <v>22</v>
      </c>
      <c r="K840" s="59" t="s">
        <v>23</v>
      </c>
      <c r="L840" s="59" t="s">
        <v>23</v>
      </c>
      <c r="M840" s="47" t="s">
        <v>47</v>
      </c>
    </row>
    <row r="841" customHeight="1" spans="1:13">
      <c r="A841" s="47" t="s">
        <v>1725</v>
      </c>
      <c r="B841" s="47" t="s">
        <v>1714</v>
      </c>
      <c r="C841" s="47" t="s">
        <v>706</v>
      </c>
      <c r="D841" s="47" t="s">
        <v>134</v>
      </c>
      <c r="E841" s="47" t="s">
        <v>36</v>
      </c>
      <c r="F841" s="47" t="s">
        <v>37</v>
      </c>
      <c r="G841" s="47" t="s">
        <v>38</v>
      </c>
      <c r="H841" s="47" t="s">
        <v>399</v>
      </c>
      <c r="I841" s="47" t="s">
        <v>39</v>
      </c>
      <c r="J841" s="47" t="s">
        <v>22</v>
      </c>
      <c r="K841" s="59" t="s">
        <v>23</v>
      </c>
      <c r="L841" s="47" t="s">
        <v>29</v>
      </c>
      <c r="M841" s="47" t="s">
        <v>33</v>
      </c>
    </row>
    <row r="842" customHeight="1" spans="1:13">
      <c r="A842" s="47" t="s">
        <v>1726</v>
      </c>
      <c r="B842" s="47" t="s">
        <v>1714</v>
      </c>
      <c r="C842" s="47" t="s">
        <v>1727</v>
      </c>
      <c r="D842" s="47" t="s">
        <v>43</v>
      </c>
      <c r="E842" s="47" t="s">
        <v>57</v>
      </c>
      <c r="F842" s="47" t="s">
        <v>28</v>
      </c>
      <c r="G842" s="47" t="s">
        <v>29</v>
      </c>
      <c r="H842" s="47" t="s">
        <v>58</v>
      </c>
      <c r="I842" s="47" t="s">
        <v>295</v>
      </c>
      <c r="J842" s="47" t="s">
        <v>22</v>
      </c>
      <c r="K842" s="59" t="s">
        <v>23</v>
      </c>
      <c r="L842" s="59" t="s">
        <v>23</v>
      </c>
      <c r="M842" s="47" t="s">
        <v>24</v>
      </c>
    </row>
    <row r="843" customHeight="1" spans="1:13">
      <c r="A843" s="47" t="s">
        <v>1728</v>
      </c>
      <c r="B843" s="47" t="s">
        <v>1729</v>
      </c>
      <c r="C843" s="47" t="s">
        <v>430</v>
      </c>
      <c r="D843" s="47" t="s">
        <v>107</v>
      </c>
      <c r="E843" s="47" t="s">
        <v>27</v>
      </c>
      <c r="F843" s="47" t="s">
        <v>28</v>
      </c>
      <c r="G843" s="47" t="s">
        <v>38</v>
      </c>
      <c r="H843" s="47" t="s">
        <v>30</v>
      </c>
      <c r="I843" s="47" t="s">
        <v>30</v>
      </c>
      <c r="J843" s="47" t="s">
        <v>32</v>
      </c>
      <c r="K843" s="59" t="s">
        <v>23</v>
      </c>
      <c r="L843" s="59" t="s">
        <v>23</v>
      </c>
      <c r="M843" s="47" t="s">
        <v>73</v>
      </c>
    </row>
    <row r="844" customHeight="1" spans="1:13">
      <c r="A844" s="47" t="s">
        <v>1730</v>
      </c>
      <c r="B844" s="47" t="s">
        <v>1731</v>
      </c>
      <c r="C844" s="47" t="s">
        <v>607</v>
      </c>
      <c r="D844" s="47" t="s">
        <v>107</v>
      </c>
      <c r="E844" s="47" t="s">
        <v>36</v>
      </c>
      <c r="F844" s="47" t="s">
        <v>37</v>
      </c>
      <c r="G844" s="47" t="s">
        <v>38</v>
      </c>
      <c r="H844" s="47" t="s">
        <v>39</v>
      </c>
      <c r="I844" s="47" t="s">
        <v>39</v>
      </c>
      <c r="J844" s="47" t="s">
        <v>32</v>
      </c>
      <c r="K844" s="59" t="s">
        <v>23</v>
      </c>
      <c r="L844" s="59" t="s">
        <v>23</v>
      </c>
      <c r="M844" s="47" t="s">
        <v>24</v>
      </c>
    </row>
    <row r="845" customHeight="1" spans="1:13">
      <c r="A845" s="47" t="s">
        <v>1732</v>
      </c>
      <c r="B845" s="47" t="s">
        <v>1731</v>
      </c>
      <c r="C845" s="47" t="s">
        <v>1733</v>
      </c>
      <c r="D845" s="47" t="s">
        <v>43</v>
      </c>
      <c r="E845" s="47" t="s">
        <v>17</v>
      </c>
      <c r="F845" s="47" t="s">
        <v>18</v>
      </c>
      <c r="G845" s="47" t="s">
        <v>38</v>
      </c>
      <c r="H845" s="59" t="s">
        <v>23</v>
      </c>
      <c r="I845" s="47" t="s">
        <v>20</v>
      </c>
      <c r="J845" s="47" t="s">
        <v>22</v>
      </c>
      <c r="K845" s="59" t="s">
        <v>23</v>
      </c>
      <c r="L845" s="47" t="s">
        <v>65</v>
      </c>
      <c r="M845" s="47" t="s">
        <v>40</v>
      </c>
    </row>
    <row r="846" customHeight="1" spans="1:13">
      <c r="A846" s="47" t="s">
        <v>1734</v>
      </c>
      <c r="B846" s="47" t="s">
        <v>1735</v>
      </c>
      <c r="C846" s="47" t="s">
        <v>1736</v>
      </c>
      <c r="D846" s="47" t="s">
        <v>16</v>
      </c>
      <c r="E846" s="47" t="s">
        <v>367</v>
      </c>
      <c r="F846" s="47" t="s">
        <v>109</v>
      </c>
      <c r="G846" s="47" t="s">
        <v>38</v>
      </c>
      <c r="H846" s="47" t="s">
        <v>110</v>
      </c>
      <c r="I846" s="47" t="s">
        <v>110</v>
      </c>
      <c r="J846" s="47" t="s">
        <v>22</v>
      </c>
      <c r="K846" s="59" t="s">
        <v>23</v>
      </c>
      <c r="L846" s="47" t="s">
        <v>54</v>
      </c>
      <c r="M846" s="47" t="s">
        <v>24</v>
      </c>
    </row>
    <row r="847" customHeight="1" spans="1:13">
      <c r="A847" s="47" t="s">
        <v>1737</v>
      </c>
      <c r="B847" s="47" t="s">
        <v>1735</v>
      </c>
      <c r="C847" s="47" t="s">
        <v>175</v>
      </c>
      <c r="D847" s="47" t="s">
        <v>16</v>
      </c>
      <c r="E847" s="47" t="s">
        <v>396</v>
      </c>
      <c r="F847" s="47" t="s">
        <v>18</v>
      </c>
      <c r="G847" s="47" t="s">
        <v>38</v>
      </c>
      <c r="H847" s="47" t="s">
        <v>64</v>
      </c>
      <c r="I847" s="47" t="s">
        <v>64</v>
      </c>
      <c r="J847" s="47" t="s">
        <v>22</v>
      </c>
      <c r="K847" s="59" t="s">
        <v>23</v>
      </c>
      <c r="L847" s="59" t="s">
        <v>23</v>
      </c>
      <c r="M847" s="47" t="s">
        <v>73</v>
      </c>
    </row>
    <row r="848" customHeight="1" spans="1:13">
      <c r="A848" s="47" t="s">
        <v>1738</v>
      </c>
      <c r="B848" s="47" t="s">
        <v>1739</v>
      </c>
      <c r="C848" s="47" t="s">
        <v>1740</v>
      </c>
      <c r="D848" s="47" t="s">
        <v>107</v>
      </c>
      <c r="E848" s="47" t="s">
        <v>50</v>
      </c>
      <c r="F848" s="47" t="s">
        <v>28</v>
      </c>
      <c r="G848" s="47" t="s">
        <v>19</v>
      </c>
      <c r="H848" s="47" t="s">
        <v>52</v>
      </c>
      <c r="I848" s="47" t="s">
        <v>425</v>
      </c>
      <c r="J848" s="47" t="s">
        <v>32</v>
      </c>
      <c r="K848" s="59" t="s">
        <v>23</v>
      </c>
      <c r="L848" s="59" t="s">
        <v>23</v>
      </c>
      <c r="M848" s="47" t="s">
        <v>40</v>
      </c>
    </row>
    <row r="849" customHeight="1" spans="1:13">
      <c r="A849" s="47" t="s">
        <v>1741</v>
      </c>
      <c r="B849" s="47" t="s">
        <v>1735</v>
      </c>
      <c r="C849" s="47" t="s">
        <v>510</v>
      </c>
      <c r="D849" s="47" t="s">
        <v>107</v>
      </c>
      <c r="E849" s="47" t="s">
        <v>964</v>
      </c>
      <c r="F849" s="47" t="s">
        <v>37</v>
      </c>
      <c r="G849" s="47" t="s">
        <v>38</v>
      </c>
      <c r="H849" s="47" t="s">
        <v>77</v>
      </c>
      <c r="I849" s="47" t="s">
        <v>77</v>
      </c>
      <c r="J849" s="47" t="s">
        <v>32</v>
      </c>
      <c r="K849" s="59" t="s">
        <v>23</v>
      </c>
      <c r="L849" s="59" t="s">
        <v>23</v>
      </c>
      <c r="M849" s="47" t="s">
        <v>73</v>
      </c>
    </row>
    <row r="850" customHeight="1" spans="1:13">
      <c r="A850" s="47" t="s">
        <v>1742</v>
      </c>
      <c r="B850" s="47" t="s">
        <v>1735</v>
      </c>
      <c r="C850" s="47" t="s">
        <v>1366</v>
      </c>
      <c r="D850" s="47" t="s">
        <v>107</v>
      </c>
      <c r="E850" s="47" t="s">
        <v>50</v>
      </c>
      <c r="F850" s="47" t="s">
        <v>28</v>
      </c>
      <c r="G850" s="47" t="s">
        <v>38</v>
      </c>
      <c r="H850" s="47" t="s">
        <v>52</v>
      </c>
      <c r="I850" s="47" t="s">
        <v>52</v>
      </c>
      <c r="J850" s="47" t="s">
        <v>22</v>
      </c>
      <c r="K850" s="59" t="s">
        <v>23</v>
      </c>
      <c r="L850" s="59" t="s">
        <v>23</v>
      </c>
      <c r="M850" s="47" t="s">
        <v>73</v>
      </c>
    </row>
    <row r="851" customHeight="1" spans="1:13">
      <c r="A851" s="47" t="s">
        <v>1743</v>
      </c>
      <c r="B851" s="47" t="s">
        <v>1739</v>
      </c>
      <c r="C851" s="47" t="s">
        <v>1687</v>
      </c>
      <c r="D851" s="47" t="s">
        <v>16</v>
      </c>
      <c r="E851" s="47" t="s">
        <v>165</v>
      </c>
      <c r="F851" s="47" t="s">
        <v>109</v>
      </c>
      <c r="G851" s="47" t="s">
        <v>19</v>
      </c>
      <c r="H851" s="47" t="s">
        <v>82</v>
      </c>
      <c r="I851" s="47" t="s">
        <v>1237</v>
      </c>
      <c r="J851" s="47" t="s">
        <v>32</v>
      </c>
      <c r="K851" s="59" t="s">
        <v>23</v>
      </c>
      <c r="L851" s="59" t="s">
        <v>23</v>
      </c>
      <c r="M851" s="47" t="s">
        <v>47</v>
      </c>
    </row>
    <row r="852" customHeight="1" spans="1:13">
      <c r="A852" s="47" t="s">
        <v>1744</v>
      </c>
      <c r="B852" s="47" t="s">
        <v>1735</v>
      </c>
      <c r="C852" s="47" t="s">
        <v>826</v>
      </c>
      <c r="D852" s="47" t="s">
        <v>16</v>
      </c>
      <c r="E852" s="47" t="s">
        <v>63</v>
      </c>
      <c r="F852" s="47" t="s">
        <v>18</v>
      </c>
      <c r="G852" s="47" t="s">
        <v>38</v>
      </c>
      <c r="H852" s="47" t="s">
        <v>64</v>
      </c>
      <c r="I852" s="47" t="s">
        <v>64</v>
      </c>
      <c r="J852" s="47" t="s">
        <v>22</v>
      </c>
      <c r="K852" s="59" t="s">
        <v>23</v>
      </c>
      <c r="L852" s="59" t="s">
        <v>23</v>
      </c>
      <c r="M852" s="47" t="s">
        <v>24</v>
      </c>
    </row>
    <row r="853" customHeight="1" spans="1:13">
      <c r="A853" s="47" t="s">
        <v>1745</v>
      </c>
      <c r="B853" s="47" t="s">
        <v>1735</v>
      </c>
      <c r="C853" s="47" t="s">
        <v>670</v>
      </c>
      <c r="D853" s="47" t="s">
        <v>16</v>
      </c>
      <c r="E853" s="47" t="s">
        <v>103</v>
      </c>
      <c r="F853" s="59" t="s">
        <v>23</v>
      </c>
      <c r="G853" s="47" t="s">
        <v>38</v>
      </c>
      <c r="H853" s="47" t="s">
        <v>77</v>
      </c>
      <c r="I853" s="47" t="s">
        <v>77</v>
      </c>
      <c r="J853" s="47" t="s">
        <v>22</v>
      </c>
      <c r="K853" s="59" t="s">
        <v>23</v>
      </c>
      <c r="L853" s="59" t="s">
        <v>23</v>
      </c>
      <c r="M853" s="47" t="s">
        <v>40</v>
      </c>
    </row>
    <row r="854" customHeight="1" spans="1:13">
      <c r="A854" s="47" t="s">
        <v>1746</v>
      </c>
      <c r="B854" s="47" t="s">
        <v>1735</v>
      </c>
      <c r="C854" s="47" t="s">
        <v>380</v>
      </c>
      <c r="D854" s="47" t="s">
        <v>16</v>
      </c>
      <c r="E854" s="47" t="s">
        <v>57</v>
      </c>
      <c r="F854" s="47" t="s">
        <v>28</v>
      </c>
      <c r="G854" s="47" t="s">
        <v>38</v>
      </c>
      <c r="H854" s="47" t="s">
        <v>58</v>
      </c>
      <c r="I854" s="47" t="s">
        <v>58</v>
      </c>
      <c r="J854" s="47" t="s">
        <v>32</v>
      </c>
      <c r="K854" s="47" t="s">
        <v>53</v>
      </c>
      <c r="L854" s="59" t="s">
        <v>23</v>
      </c>
      <c r="M854" s="47" t="s">
        <v>40</v>
      </c>
    </row>
    <row r="855" customHeight="1" spans="1:13">
      <c r="A855" s="47" t="s">
        <v>1747</v>
      </c>
      <c r="B855" s="47" t="s">
        <v>1735</v>
      </c>
      <c r="C855" s="47" t="s">
        <v>1748</v>
      </c>
      <c r="D855" s="47" t="s">
        <v>43</v>
      </c>
      <c r="E855" s="47" t="s">
        <v>81</v>
      </c>
      <c r="F855" s="47" t="s">
        <v>37</v>
      </c>
      <c r="G855" s="47" t="s">
        <v>38</v>
      </c>
      <c r="H855" s="47" t="s">
        <v>82</v>
      </c>
      <c r="I855" s="47" t="s">
        <v>82</v>
      </c>
      <c r="J855" s="47" t="s">
        <v>32</v>
      </c>
      <c r="K855" s="59" t="s">
        <v>23</v>
      </c>
      <c r="L855" s="47" t="s">
        <v>65</v>
      </c>
      <c r="M855" s="47" t="s">
        <v>24</v>
      </c>
    </row>
    <row r="856" customHeight="1" spans="1:13">
      <c r="A856" s="47" t="s">
        <v>1749</v>
      </c>
      <c r="B856" s="47" t="s">
        <v>1735</v>
      </c>
      <c r="C856" s="47" t="s">
        <v>436</v>
      </c>
      <c r="D856" s="47" t="s">
        <v>234</v>
      </c>
      <c r="E856" s="47" t="s">
        <v>81</v>
      </c>
      <c r="F856" s="47" t="s">
        <v>37</v>
      </c>
      <c r="G856" s="47" t="s">
        <v>38</v>
      </c>
      <c r="H856" s="47" t="s">
        <v>82</v>
      </c>
      <c r="I856" s="47" t="s">
        <v>82</v>
      </c>
      <c r="J856" s="47" t="s">
        <v>22</v>
      </c>
      <c r="K856" s="59" t="s">
        <v>23</v>
      </c>
      <c r="L856" s="59" t="s">
        <v>23</v>
      </c>
      <c r="M856" s="47" t="s">
        <v>73</v>
      </c>
    </row>
    <row r="857" customHeight="1" spans="1:13">
      <c r="A857" s="47" t="s">
        <v>1750</v>
      </c>
      <c r="B857" s="47" t="s">
        <v>1751</v>
      </c>
      <c r="C857" s="47" t="s">
        <v>285</v>
      </c>
      <c r="D857" s="47" t="s">
        <v>43</v>
      </c>
      <c r="E857" s="47" t="s">
        <v>63</v>
      </c>
      <c r="F857" s="47" t="s">
        <v>18</v>
      </c>
      <c r="G857" s="47" t="s">
        <v>38</v>
      </c>
      <c r="H857" s="47" t="s">
        <v>64</v>
      </c>
      <c r="I857" s="47" t="s">
        <v>64</v>
      </c>
      <c r="J857" s="47" t="s">
        <v>22</v>
      </c>
      <c r="K857" s="59" t="s">
        <v>23</v>
      </c>
      <c r="L857" s="47" t="s">
        <v>65</v>
      </c>
      <c r="M857" s="47" t="s">
        <v>40</v>
      </c>
    </row>
    <row r="858" customHeight="1" spans="1:13">
      <c r="A858" s="47" t="s">
        <v>1752</v>
      </c>
      <c r="B858" s="47" t="s">
        <v>1735</v>
      </c>
      <c r="C858" s="47" t="s">
        <v>203</v>
      </c>
      <c r="D858" s="47" t="s">
        <v>16</v>
      </c>
      <c r="E858" s="47" t="s">
        <v>27</v>
      </c>
      <c r="F858" s="47" t="s">
        <v>28</v>
      </c>
      <c r="G858" s="47" t="s">
        <v>38</v>
      </c>
      <c r="H858" s="47" t="s">
        <v>30</v>
      </c>
      <c r="I858" s="47" t="s">
        <v>30</v>
      </c>
      <c r="J858" s="47" t="s">
        <v>32</v>
      </c>
      <c r="K858" s="59" t="s">
        <v>23</v>
      </c>
      <c r="L858" s="47" t="s">
        <v>65</v>
      </c>
      <c r="M858" s="47" t="s">
        <v>47</v>
      </c>
    </row>
    <row r="859" customHeight="1" spans="1:13">
      <c r="A859" s="47" t="s">
        <v>1753</v>
      </c>
      <c r="B859" s="47" t="s">
        <v>1739</v>
      </c>
      <c r="C859" s="47" t="s">
        <v>1056</v>
      </c>
      <c r="D859" s="47" t="s">
        <v>16</v>
      </c>
      <c r="E859" s="47" t="s">
        <v>27</v>
      </c>
      <c r="F859" s="47" t="s">
        <v>28</v>
      </c>
      <c r="G859" s="47" t="s">
        <v>19</v>
      </c>
      <c r="H859" s="59" t="s">
        <v>23</v>
      </c>
      <c r="I859" s="47" t="s">
        <v>258</v>
      </c>
      <c r="J859" s="47" t="s">
        <v>22</v>
      </c>
      <c r="K859" s="59" t="s">
        <v>23</v>
      </c>
      <c r="L859" s="59" t="s">
        <v>23</v>
      </c>
      <c r="M859" s="47" t="s">
        <v>73</v>
      </c>
    </row>
    <row r="860" customHeight="1" spans="1:13">
      <c r="A860" s="47" t="s">
        <v>1754</v>
      </c>
      <c r="B860" s="47" t="s">
        <v>1735</v>
      </c>
      <c r="C860" s="47" t="s">
        <v>592</v>
      </c>
      <c r="D860" s="47" t="s">
        <v>16</v>
      </c>
      <c r="E860" s="47" t="s">
        <v>146</v>
      </c>
      <c r="F860" s="47" t="s">
        <v>28</v>
      </c>
      <c r="G860" s="47" t="s">
        <v>38</v>
      </c>
      <c r="H860" s="47" t="s">
        <v>147</v>
      </c>
      <c r="I860" s="47" t="s">
        <v>147</v>
      </c>
      <c r="J860" s="47" t="s">
        <v>22</v>
      </c>
      <c r="K860" s="59" t="s">
        <v>23</v>
      </c>
      <c r="L860" s="47" t="s">
        <v>65</v>
      </c>
      <c r="M860" s="47" t="s">
        <v>24</v>
      </c>
    </row>
    <row r="861" customHeight="1" spans="1:13">
      <c r="A861" s="47" t="s">
        <v>1755</v>
      </c>
      <c r="B861" s="47" t="s">
        <v>1735</v>
      </c>
      <c r="C861" s="47" t="s">
        <v>297</v>
      </c>
      <c r="D861" s="47" t="s">
        <v>43</v>
      </c>
      <c r="E861" s="47" t="s">
        <v>95</v>
      </c>
      <c r="F861" s="47" t="s">
        <v>45</v>
      </c>
      <c r="G861" s="47" t="s">
        <v>38</v>
      </c>
      <c r="H861" s="47" t="s">
        <v>77</v>
      </c>
      <c r="I861" s="47" t="s">
        <v>77</v>
      </c>
      <c r="J861" s="47" t="s">
        <v>32</v>
      </c>
      <c r="K861" s="59" t="s">
        <v>23</v>
      </c>
      <c r="L861" s="47" t="s">
        <v>65</v>
      </c>
      <c r="M861" s="47" t="s">
        <v>47</v>
      </c>
    </row>
    <row r="862" customHeight="1" spans="1:13">
      <c r="A862" s="47" t="s">
        <v>1756</v>
      </c>
      <c r="B862" s="47" t="s">
        <v>1757</v>
      </c>
      <c r="C862" s="47" t="s">
        <v>1230</v>
      </c>
      <c r="D862" s="47" t="s">
        <v>43</v>
      </c>
      <c r="E862" s="47" t="s">
        <v>50</v>
      </c>
      <c r="F862" s="47" t="s">
        <v>28</v>
      </c>
      <c r="G862" s="47" t="s">
        <v>19</v>
      </c>
      <c r="H862" s="47" t="s">
        <v>52</v>
      </c>
      <c r="I862" s="47" t="s">
        <v>425</v>
      </c>
      <c r="J862" s="47" t="s">
        <v>22</v>
      </c>
      <c r="K862" s="59" t="s">
        <v>23</v>
      </c>
      <c r="L862" s="59" t="s">
        <v>23</v>
      </c>
      <c r="M862" s="47" t="s">
        <v>24</v>
      </c>
    </row>
    <row r="863" customHeight="1" spans="1:13">
      <c r="A863" s="47" t="s">
        <v>1758</v>
      </c>
      <c r="B863" s="47" t="s">
        <v>1759</v>
      </c>
      <c r="C863" s="47" t="s">
        <v>428</v>
      </c>
      <c r="D863" s="47" t="s">
        <v>207</v>
      </c>
      <c r="E863" s="47" t="s">
        <v>81</v>
      </c>
      <c r="F863" s="47" t="s">
        <v>37</v>
      </c>
      <c r="G863" s="47" t="s">
        <v>38</v>
      </c>
      <c r="H863" s="47" t="s">
        <v>82</v>
      </c>
      <c r="I863" s="47" t="s">
        <v>82</v>
      </c>
      <c r="J863" s="47" t="s">
        <v>22</v>
      </c>
      <c r="K863" s="59" t="s">
        <v>23</v>
      </c>
      <c r="L863" s="47" t="s">
        <v>29</v>
      </c>
      <c r="M863" s="47" t="s">
        <v>33</v>
      </c>
    </row>
    <row r="864" customHeight="1" spans="1:13">
      <c r="A864" s="47" t="s">
        <v>1760</v>
      </c>
      <c r="B864" s="47" t="s">
        <v>1757</v>
      </c>
      <c r="C864" s="47" t="s">
        <v>605</v>
      </c>
      <c r="D864" s="47" t="s">
        <v>16</v>
      </c>
      <c r="E864" s="47" t="s">
        <v>63</v>
      </c>
      <c r="F864" s="47" t="s">
        <v>18</v>
      </c>
      <c r="G864" s="47" t="s">
        <v>38</v>
      </c>
      <c r="H864" s="47" t="s">
        <v>64</v>
      </c>
      <c r="I864" s="47" t="s">
        <v>251</v>
      </c>
      <c r="J864" s="47" t="s">
        <v>22</v>
      </c>
      <c r="K864" s="47" t="s">
        <v>119</v>
      </c>
      <c r="L864" s="47" t="s">
        <v>65</v>
      </c>
      <c r="M864" s="47" t="s">
        <v>99</v>
      </c>
    </row>
    <row r="865" customHeight="1" spans="1:13">
      <c r="A865" s="47" t="s">
        <v>1761</v>
      </c>
      <c r="B865" s="47" t="s">
        <v>1757</v>
      </c>
      <c r="C865" s="47" t="s">
        <v>853</v>
      </c>
      <c r="D865" s="47" t="s">
        <v>16</v>
      </c>
      <c r="E865" s="47" t="s">
        <v>146</v>
      </c>
      <c r="F865" s="47" t="s">
        <v>1762</v>
      </c>
      <c r="G865" s="47" t="s">
        <v>38</v>
      </c>
      <c r="H865" s="47" t="s">
        <v>147</v>
      </c>
      <c r="I865" s="47" t="s">
        <v>147</v>
      </c>
      <c r="J865" s="47" t="s">
        <v>32</v>
      </c>
      <c r="K865" s="59" t="s">
        <v>23</v>
      </c>
      <c r="L865" s="59" t="s">
        <v>23</v>
      </c>
      <c r="M865" s="47" t="s">
        <v>73</v>
      </c>
    </row>
    <row r="866" customHeight="1" spans="1:13">
      <c r="A866" s="47" t="s">
        <v>1763</v>
      </c>
      <c r="B866" s="47" t="s">
        <v>1757</v>
      </c>
      <c r="C866" s="47" t="s">
        <v>1661</v>
      </c>
      <c r="D866" s="47" t="s">
        <v>43</v>
      </c>
      <c r="E866" s="47" t="s">
        <v>27</v>
      </c>
      <c r="F866" s="47" t="s">
        <v>28</v>
      </c>
      <c r="G866" s="47" t="s">
        <v>38</v>
      </c>
      <c r="H866" s="47" t="s">
        <v>30</v>
      </c>
      <c r="I866" s="47" t="s">
        <v>30</v>
      </c>
      <c r="J866" s="47" t="s">
        <v>32</v>
      </c>
      <c r="K866" s="59" t="s">
        <v>23</v>
      </c>
      <c r="L866" s="59" t="s">
        <v>23</v>
      </c>
      <c r="M866" s="47" t="s">
        <v>40</v>
      </c>
    </row>
    <row r="867" customHeight="1" spans="1:13">
      <c r="A867" s="47" t="s">
        <v>1764</v>
      </c>
      <c r="B867" s="47" t="s">
        <v>1757</v>
      </c>
      <c r="C867" s="47" t="s">
        <v>164</v>
      </c>
      <c r="D867" s="47" t="s">
        <v>43</v>
      </c>
      <c r="E867" s="47" t="s">
        <v>165</v>
      </c>
      <c r="F867" s="47" t="s">
        <v>109</v>
      </c>
      <c r="G867" s="47" t="s">
        <v>19</v>
      </c>
      <c r="H867" s="47" t="s">
        <v>82</v>
      </c>
      <c r="I867" s="47" t="s">
        <v>1765</v>
      </c>
      <c r="J867" s="47" t="s">
        <v>22</v>
      </c>
      <c r="K867" s="47" t="s">
        <v>53</v>
      </c>
      <c r="L867" s="59" t="s">
        <v>23</v>
      </c>
      <c r="M867" s="47" t="s">
        <v>40</v>
      </c>
    </row>
    <row r="868" customHeight="1" spans="1:13">
      <c r="A868" s="47" t="s">
        <v>1766</v>
      </c>
      <c r="B868" s="47" t="s">
        <v>1767</v>
      </c>
      <c r="C868" s="47" t="s">
        <v>1768</v>
      </c>
      <c r="D868" s="47" t="s">
        <v>16</v>
      </c>
      <c r="E868" s="47" t="s">
        <v>95</v>
      </c>
      <c r="F868" s="47" t="s">
        <v>45</v>
      </c>
      <c r="G868" s="47" t="s">
        <v>38</v>
      </c>
      <c r="H868" s="47" t="s">
        <v>77</v>
      </c>
      <c r="I868" s="47" t="s">
        <v>77</v>
      </c>
      <c r="J868" s="47" t="s">
        <v>22</v>
      </c>
      <c r="K868" s="59" t="s">
        <v>23</v>
      </c>
      <c r="L868" s="59" t="s">
        <v>23</v>
      </c>
      <c r="M868" s="47" t="s">
        <v>24</v>
      </c>
    </row>
    <row r="869" customHeight="1" spans="1:13">
      <c r="A869" s="47" t="s">
        <v>1769</v>
      </c>
      <c r="B869" s="47" t="s">
        <v>1767</v>
      </c>
      <c r="C869" s="47" t="s">
        <v>959</v>
      </c>
      <c r="D869" s="47" t="s">
        <v>16</v>
      </c>
      <c r="E869" s="47" t="s">
        <v>63</v>
      </c>
      <c r="F869" s="47" t="s">
        <v>18</v>
      </c>
      <c r="G869" s="47" t="s">
        <v>38</v>
      </c>
      <c r="H869" s="47" t="s">
        <v>64</v>
      </c>
      <c r="I869" s="47" t="s">
        <v>64</v>
      </c>
      <c r="J869" s="47" t="s">
        <v>753</v>
      </c>
      <c r="K869" s="59" t="s">
        <v>23</v>
      </c>
      <c r="L869" s="47" t="s">
        <v>29</v>
      </c>
      <c r="M869" s="47" t="s">
        <v>24</v>
      </c>
    </row>
    <row r="870" customHeight="1" spans="1:13">
      <c r="A870" s="47" t="s">
        <v>1770</v>
      </c>
      <c r="B870" s="47" t="s">
        <v>1771</v>
      </c>
      <c r="C870" s="47" t="s">
        <v>1772</v>
      </c>
      <c r="D870" s="47" t="s">
        <v>16</v>
      </c>
      <c r="E870" s="47" t="s">
        <v>63</v>
      </c>
      <c r="F870" s="47" t="s">
        <v>18</v>
      </c>
      <c r="G870" s="47" t="s">
        <v>19</v>
      </c>
      <c r="H870" s="47" t="s">
        <v>64</v>
      </c>
      <c r="I870" s="47" t="s">
        <v>39</v>
      </c>
      <c r="J870" s="47" t="s">
        <v>22</v>
      </c>
      <c r="K870" s="59" t="s">
        <v>23</v>
      </c>
      <c r="L870" s="59" t="s">
        <v>23</v>
      </c>
      <c r="M870" s="47" t="s">
        <v>33</v>
      </c>
    </row>
    <row r="871" customHeight="1" spans="1:13">
      <c r="A871" s="47" t="s">
        <v>1773</v>
      </c>
      <c r="B871" s="47" t="s">
        <v>1767</v>
      </c>
      <c r="C871" s="47" t="s">
        <v>1774</v>
      </c>
      <c r="D871" s="47" t="s">
        <v>43</v>
      </c>
      <c r="E871" s="47" t="s">
        <v>81</v>
      </c>
      <c r="F871" s="47" t="s">
        <v>37</v>
      </c>
      <c r="G871" s="47" t="s">
        <v>38</v>
      </c>
      <c r="H871" s="47" t="s">
        <v>82</v>
      </c>
      <c r="I871" s="47" t="s">
        <v>82</v>
      </c>
      <c r="J871" s="47" t="s">
        <v>22</v>
      </c>
      <c r="K871" s="59" t="s">
        <v>23</v>
      </c>
      <c r="L871" s="59" t="s">
        <v>23</v>
      </c>
      <c r="M871" s="47" t="s">
        <v>73</v>
      </c>
    </row>
    <row r="872" customHeight="1" spans="1:13">
      <c r="A872" s="47" t="s">
        <v>1775</v>
      </c>
      <c r="B872" s="47" t="s">
        <v>1776</v>
      </c>
      <c r="C872" s="47" t="s">
        <v>1456</v>
      </c>
      <c r="D872" s="47" t="s">
        <v>16</v>
      </c>
      <c r="E872" s="47" t="s">
        <v>17</v>
      </c>
      <c r="F872" s="47" t="s">
        <v>18</v>
      </c>
      <c r="G872" s="47" t="s">
        <v>38</v>
      </c>
      <c r="H872" s="59" t="s">
        <v>23</v>
      </c>
      <c r="I872" s="47" t="s">
        <v>20</v>
      </c>
      <c r="J872" s="47" t="s">
        <v>22</v>
      </c>
      <c r="K872" s="59" t="s">
        <v>23</v>
      </c>
      <c r="L872" s="59" t="s">
        <v>23</v>
      </c>
      <c r="M872" s="47" t="s">
        <v>47</v>
      </c>
    </row>
    <row r="873" customHeight="1" spans="1:13">
      <c r="A873" s="47" t="s">
        <v>1777</v>
      </c>
      <c r="B873" s="47" t="s">
        <v>1776</v>
      </c>
      <c r="C873" s="47" t="s">
        <v>1778</v>
      </c>
      <c r="D873" s="47" t="s">
        <v>513</v>
      </c>
      <c r="E873" s="47" t="s">
        <v>17</v>
      </c>
      <c r="F873" s="47" t="s">
        <v>18</v>
      </c>
      <c r="G873" s="47" t="s">
        <v>19</v>
      </c>
      <c r="H873" s="47" t="s">
        <v>20</v>
      </c>
      <c r="I873" s="47" t="s">
        <v>21</v>
      </c>
      <c r="J873" s="47" t="s">
        <v>22</v>
      </c>
      <c r="K873" s="59" t="s">
        <v>23</v>
      </c>
      <c r="L873" s="59" t="s">
        <v>23</v>
      </c>
      <c r="M873" s="47" t="s">
        <v>47</v>
      </c>
    </row>
    <row r="874" customHeight="1" spans="1:13">
      <c r="A874" s="47" t="s">
        <v>1779</v>
      </c>
      <c r="B874" s="47" t="s">
        <v>1776</v>
      </c>
      <c r="C874" s="47" t="s">
        <v>1780</v>
      </c>
      <c r="D874" s="47" t="s">
        <v>43</v>
      </c>
      <c r="E874" s="47" t="s">
        <v>1781</v>
      </c>
      <c r="F874" s="47" t="s">
        <v>45</v>
      </c>
      <c r="G874" s="47" t="s">
        <v>19</v>
      </c>
      <c r="H874" s="47" t="s">
        <v>46</v>
      </c>
      <c r="I874" s="47" t="s">
        <v>114</v>
      </c>
      <c r="J874" s="47" t="s">
        <v>32</v>
      </c>
      <c r="K874" s="59" t="s">
        <v>23</v>
      </c>
      <c r="L874" s="59" t="s">
        <v>23</v>
      </c>
      <c r="M874" s="47" t="s">
        <v>40</v>
      </c>
    </row>
    <row r="875" customHeight="1" spans="1:13">
      <c r="A875" s="47" t="s">
        <v>1782</v>
      </c>
      <c r="B875" s="47" t="s">
        <v>1776</v>
      </c>
      <c r="C875" s="47" t="s">
        <v>1783</v>
      </c>
      <c r="D875" s="47" t="s">
        <v>16</v>
      </c>
      <c r="E875" s="47" t="s">
        <v>17</v>
      </c>
      <c r="F875" s="47" t="s">
        <v>18</v>
      </c>
      <c r="G875" s="47" t="s">
        <v>38</v>
      </c>
      <c r="H875" s="47" t="s">
        <v>20</v>
      </c>
      <c r="I875" s="47" t="s">
        <v>20</v>
      </c>
      <c r="J875" s="47" t="s">
        <v>22</v>
      </c>
      <c r="K875" s="59" t="s">
        <v>23</v>
      </c>
      <c r="L875" s="59" t="s">
        <v>23</v>
      </c>
      <c r="M875" s="47" t="s">
        <v>490</v>
      </c>
    </row>
    <row r="876" customHeight="1" spans="1:13">
      <c r="A876" s="47" t="s">
        <v>1784</v>
      </c>
      <c r="B876" s="47" t="s">
        <v>1776</v>
      </c>
      <c r="C876" s="47" t="s">
        <v>1025</v>
      </c>
      <c r="D876" s="47" t="s">
        <v>16</v>
      </c>
      <c r="E876" s="47" t="s">
        <v>63</v>
      </c>
      <c r="F876" s="47" t="s">
        <v>18</v>
      </c>
      <c r="G876" s="47" t="s">
        <v>38</v>
      </c>
      <c r="H876" s="47" t="s">
        <v>64</v>
      </c>
      <c r="I876" s="47" t="s">
        <v>64</v>
      </c>
      <c r="J876" s="47" t="s">
        <v>22</v>
      </c>
      <c r="K876" s="59" t="s">
        <v>23</v>
      </c>
      <c r="L876" s="47" t="s">
        <v>65</v>
      </c>
      <c r="M876" s="47" t="s">
        <v>40</v>
      </c>
    </row>
    <row r="877" customHeight="1" spans="1:13">
      <c r="A877" s="47" t="s">
        <v>1785</v>
      </c>
      <c r="B877" s="47" t="s">
        <v>1776</v>
      </c>
      <c r="C877" s="47" t="s">
        <v>1038</v>
      </c>
      <c r="D877" s="47" t="s">
        <v>107</v>
      </c>
      <c r="E877" s="47" t="s">
        <v>235</v>
      </c>
      <c r="F877" s="47" t="s">
        <v>45</v>
      </c>
      <c r="G877" s="47" t="s">
        <v>38</v>
      </c>
      <c r="H877" s="47" t="s">
        <v>46</v>
      </c>
      <c r="I877" s="59" t="s">
        <v>23</v>
      </c>
      <c r="J877" s="47" t="s">
        <v>22</v>
      </c>
      <c r="K877" s="59" t="s">
        <v>23</v>
      </c>
      <c r="L877" s="47" t="s">
        <v>65</v>
      </c>
      <c r="M877" s="47" t="s">
        <v>73</v>
      </c>
    </row>
    <row r="878" customHeight="1" spans="1:13">
      <c r="A878" s="47" t="s">
        <v>1785</v>
      </c>
      <c r="B878" s="47" t="s">
        <v>1776</v>
      </c>
      <c r="C878" s="47" t="s">
        <v>1038</v>
      </c>
      <c r="D878" s="47" t="s">
        <v>107</v>
      </c>
      <c r="E878" s="47" t="s">
        <v>262</v>
      </c>
      <c r="F878" s="47" t="s">
        <v>45</v>
      </c>
      <c r="G878" s="47" t="s">
        <v>38</v>
      </c>
      <c r="H878" s="47" t="s">
        <v>46</v>
      </c>
      <c r="I878" s="47" t="s">
        <v>46</v>
      </c>
      <c r="J878" s="47" t="s">
        <v>22</v>
      </c>
      <c r="K878" s="59" t="s">
        <v>23</v>
      </c>
      <c r="L878" s="47" t="s">
        <v>65</v>
      </c>
      <c r="M878" s="47" t="s">
        <v>73</v>
      </c>
    </row>
    <row r="879" customHeight="1" spans="1:13">
      <c r="A879" s="47" t="s">
        <v>1786</v>
      </c>
      <c r="B879" s="47" t="s">
        <v>1787</v>
      </c>
      <c r="C879" s="47" t="s">
        <v>1788</v>
      </c>
      <c r="D879" s="47" t="s">
        <v>16</v>
      </c>
      <c r="E879" s="47" t="s">
        <v>1789</v>
      </c>
      <c r="F879" s="47" t="s">
        <v>28</v>
      </c>
      <c r="G879" s="47" t="s">
        <v>38</v>
      </c>
      <c r="H879" s="47" t="s">
        <v>52</v>
      </c>
      <c r="I879" s="47" t="s">
        <v>52</v>
      </c>
      <c r="J879" s="47" t="s">
        <v>22</v>
      </c>
      <c r="K879" s="47" t="s">
        <v>53</v>
      </c>
      <c r="L879" s="59" t="s">
        <v>23</v>
      </c>
      <c r="M879" s="47" t="s">
        <v>47</v>
      </c>
    </row>
    <row r="880" customHeight="1" spans="1:13">
      <c r="A880" s="47" t="s">
        <v>1790</v>
      </c>
      <c r="B880" s="47" t="s">
        <v>1787</v>
      </c>
      <c r="C880" s="47" t="s">
        <v>1142</v>
      </c>
      <c r="D880" s="47" t="s">
        <v>16</v>
      </c>
      <c r="E880" s="47" t="s">
        <v>81</v>
      </c>
      <c r="F880" s="47" t="s">
        <v>37</v>
      </c>
      <c r="G880" s="47" t="s">
        <v>38</v>
      </c>
      <c r="H880" s="47" t="s">
        <v>82</v>
      </c>
      <c r="I880" s="47" t="s">
        <v>82</v>
      </c>
      <c r="J880" s="47" t="s">
        <v>22</v>
      </c>
      <c r="K880" s="59" t="s">
        <v>23</v>
      </c>
      <c r="L880" s="47" t="s">
        <v>54</v>
      </c>
      <c r="M880" s="47" t="s">
        <v>40</v>
      </c>
    </row>
    <row r="881" customHeight="1" spans="1:13">
      <c r="A881" s="47" t="s">
        <v>1791</v>
      </c>
      <c r="B881" s="47" t="s">
        <v>1787</v>
      </c>
      <c r="C881" s="47" t="s">
        <v>1150</v>
      </c>
      <c r="D881" s="47" t="s">
        <v>43</v>
      </c>
      <c r="E881" s="47" t="s">
        <v>50</v>
      </c>
      <c r="F881" s="47" t="s">
        <v>28</v>
      </c>
      <c r="G881" s="47" t="s">
        <v>38</v>
      </c>
      <c r="H881" s="47" t="s">
        <v>52</v>
      </c>
      <c r="I881" s="47" t="s">
        <v>306</v>
      </c>
      <c r="J881" s="47" t="s">
        <v>22</v>
      </c>
      <c r="K881" s="47" t="s">
        <v>119</v>
      </c>
      <c r="L881" s="59" t="s">
        <v>23</v>
      </c>
      <c r="M881" s="47" t="s">
        <v>40</v>
      </c>
    </row>
    <row r="882" customHeight="1" spans="1:13">
      <c r="A882" s="47" t="s">
        <v>1792</v>
      </c>
      <c r="B882" s="47" t="s">
        <v>1787</v>
      </c>
      <c r="C882" s="47" t="s">
        <v>155</v>
      </c>
      <c r="D882" s="47" t="s">
        <v>16</v>
      </c>
      <c r="E882" s="47" t="s">
        <v>396</v>
      </c>
      <c r="F882" s="47" t="s">
        <v>18</v>
      </c>
      <c r="G882" s="47" t="s">
        <v>19</v>
      </c>
      <c r="H882" s="47" t="s">
        <v>724</v>
      </c>
      <c r="I882" s="47" t="s">
        <v>39</v>
      </c>
      <c r="J882" s="47" t="s">
        <v>32</v>
      </c>
      <c r="K882" s="59" t="s">
        <v>23</v>
      </c>
      <c r="L882" s="59" t="s">
        <v>23</v>
      </c>
      <c r="M882" s="47" t="s">
        <v>47</v>
      </c>
    </row>
    <row r="883" customHeight="1" spans="1:13">
      <c r="A883" s="47" t="s">
        <v>1793</v>
      </c>
      <c r="B883" s="47" t="s">
        <v>1787</v>
      </c>
      <c r="C883" s="47" t="s">
        <v>94</v>
      </c>
      <c r="D883" s="47" t="s">
        <v>43</v>
      </c>
      <c r="E883" s="47" t="s">
        <v>267</v>
      </c>
      <c r="F883" s="47" t="s">
        <v>18</v>
      </c>
      <c r="G883" s="47" t="s">
        <v>38</v>
      </c>
      <c r="H883" s="47" t="s">
        <v>64</v>
      </c>
      <c r="I883" s="47" t="s">
        <v>64</v>
      </c>
      <c r="J883" s="47" t="s">
        <v>22</v>
      </c>
      <c r="K883" s="59" t="s">
        <v>23</v>
      </c>
      <c r="L883" s="59" t="s">
        <v>23</v>
      </c>
      <c r="M883" s="47" t="s">
        <v>33</v>
      </c>
    </row>
    <row r="884" customHeight="1" spans="1:13">
      <c r="A884" s="47" t="s">
        <v>1794</v>
      </c>
      <c r="B884" s="47" t="s">
        <v>1795</v>
      </c>
      <c r="C884" s="47" t="s">
        <v>1356</v>
      </c>
      <c r="D884" s="47" t="s">
        <v>16</v>
      </c>
      <c r="E884" s="47" t="s">
        <v>17</v>
      </c>
      <c r="F884" s="47" t="s">
        <v>18</v>
      </c>
      <c r="G884" s="47" t="s">
        <v>19</v>
      </c>
      <c r="H884" s="47" t="s">
        <v>20</v>
      </c>
      <c r="I884" s="47" t="s">
        <v>21</v>
      </c>
      <c r="J884" s="47" t="s">
        <v>22</v>
      </c>
      <c r="K884" s="59" t="s">
        <v>23</v>
      </c>
      <c r="L884" s="59" t="s">
        <v>23</v>
      </c>
      <c r="M884" s="47" t="s">
        <v>73</v>
      </c>
    </row>
    <row r="885" customHeight="1" spans="1:13">
      <c r="A885" s="47" t="s">
        <v>1796</v>
      </c>
      <c r="B885" s="47" t="s">
        <v>1795</v>
      </c>
      <c r="C885" s="47" t="s">
        <v>1717</v>
      </c>
      <c r="D885" s="47" t="s">
        <v>16</v>
      </c>
      <c r="E885" s="47" t="s">
        <v>146</v>
      </c>
      <c r="F885" s="47" t="s">
        <v>28</v>
      </c>
      <c r="G885" s="59" t="s">
        <v>23</v>
      </c>
      <c r="H885" s="47" t="s">
        <v>147</v>
      </c>
      <c r="I885" s="47" t="s">
        <v>147</v>
      </c>
      <c r="J885" s="47" t="s">
        <v>32</v>
      </c>
      <c r="K885" s="59" t="s">
        <v>23</v>
      </c>
      <c r="L885" s="59" t="s">
        <v>23</v>
      </c>
      <c r="M885" s="47" t="s">
        <v>47</v>
      </c>
    </row>
    <row r="886" customHeight="1" spans="1:13">
      <c r="A886" s="47" t="s">
        <v>1797</v>
      </c>
      <c r="B886" s="47" t="s">
        <v>1795</v>
      </c>
      <c r="C886" s="47" t="s">
        <v>1798</v>
      </c>
      <c r="D886" s="47" t="s">
        <v>107</v>
      </c>
      <c r="E886" s="47" t="s">
        <v>27</v>
      </c>
      <c r="F886" s="47" t="s">
        <v>28</v>
      </c>
      <c r="G886" s="47" t="s">
        <v>38</v>
      </c>
      <c r="H886" s="47" t="s">
        <v>30</v>
      </c>
      <c r="I886" s="47" t="s">
        <v>30</v>
      </c>
      <c r="J886" s="47" t="s">
        <v>127</v>
      </c>
      <c r="K886" s="59" t="s">
        <v>23</v>
      </c>
      <c r="L886" s="59" t="s">
        <v>23</v>
      </c>
      <c r="M886" s="47" t="s">
        <v>358</v>
      </c>
    </row>
    <row r="887" customHeight="1" spans="1:13">
      <c r="A887" s="47" t="s">
        <v>1799</v>
      </c>
      <c r="B887" s="47" t="s">
        <v>1795</v>
      </c>
      <c r="C887" s="47" t="s">
        <v>459</v>
      </c>
      <c r="D887" s="47" t="s">
        <v>16</v>
      </c>
      <c r="E887" s="47" t="s">
        <v>832</v>
      </c>
      <c r="F887" s="47" t="s">
        <v>37</v>
      </c>
      <c r="G887" s="47" t="s">
        <v>38</v>
      </c>
      <c r="H887" s="47" t="s">
        <v>77</v>
      </c>
      <c r="I887" s="47" t="s">
        <v>77</v>
      </c>
      <c r="J887" s="47" t="s">
        <v>22</v>
      </c>
      <c r="K887" s="59" t="s">
        <v>23</v>
      </c>
      <c r="L887" s="59" t="s">
        <v>23</v>
      </c>
      <c r="M887" s="47" t="s">
        <v>24</v>
      </c>
    </row>
    <row r="888" customHeight="1" spans="1:13">
      <c r="A888" s="47" t="s">
        <v>1800</v>
      </c>
      <c r="B888" s="47" t="s">
        <v>1795</v>
      </c>
      <c r="C888" s="47" t="s">
        <v>67</v>
      </c>
      <c r="D888" s="47" t="s">
        <v>16</v>
      </c>
      <c r="E888" s="47" t="s">
        <v>146</v>
      </c>
      <c r="F888" s="47" t="s">
        <v>28</v>
      </c>
      <c r="G888" s="47" t="s">
        <v>29</v>
      </c>
      <c r="H888" s="47" t="s">
        <v>147</v>
      </c>
      <c r="I888" s="47" t="s">
        <v>1801</v>
      </c>
      <c r="J888" s="47" t="s">
        <v>22</v>
      </c>
      <c r="K888" s="47" t="s">
        <v>119</v>
      </c>
      <c r="L888" s="47" t="s">
        <v>54</v>
      </c>
      <c r="M888" s="47" t="s">
        <v>73</v>
      </c>
    </row>
    <row r="889" customHeight="1" spans="1:13">
      <c r="A889" s="47" t="s">
        <v>1802</v>
      </c>
      <c r="B889" s="47" t="s">
        <v>1795</v>
      </c>
      <c r="C889" s="47" t="s">
        <v>484</v>
      </c>
      <c r="D889" s="47" t="s">
        <v>934</v>
      </c>
      <c r="E889" s="47" t="s">
        <v>103</v>
      </c>
      <c r="F889" s="47" t="s">
        <v>37</v>
      </c>
      <c r="G889" s="47" t="s">
        <v>38</v>
      </c>
      <c r="H889" s="47" t="s">
        <v>77</v>
      </c>
      <c r="I889" s="47" t="s">
        <v>77</v>
      </c>
      <c r="J889" s="47" t="s">
        <v>22</v>
      </c>
      <c r="K889" s="59" t="s">
        <v>23</v>
      </c>
      <c r="L889" s="59" t="s">
        <v>23</v>
      </c>
      <c r="M889" s="47" t="s">
        <v>33</v>
      </c>
    </row>
    <row r="890" customHeight="1" spans="1:13">
      <c r="A890" s="47" t="s">
        <v>1803</v>
      </c>
      <c r="B890" s="47" t="s">
        <v>1795</v>
      </c>
      <c r="C890" s="47" t="s">
        <v>1415</v>
      </c>
      <c r="D890" s="47" t="s">
        <v>43</v>
      </c>
      <c r="E890" s="47" t="s">
        <v>1508</v>
      </c>
      <c r="F890" s="47" t="s">
        <v>28</v>
      </c>
      <c r="G890" s="47" t="s">
        <v>38</v>
      </c>
      <c r="H890" s="47" t="s">
        <v>147</v>
      </c>
      <c r="I890" s="47" t="s">
        <v>147</v>
      </c>
      <c r="J890" s="47" t="s">
        <v>32</v>
      </c>
      <c r="K890" s="59" t="s">
        <v>23</v>
      </c>
      <c r="L890" s="59" t="s">
        <v>23</v>
      </c>
      <c r="M890" s="47" t="s">
        <v>40</v>
      </c>
    </row>
    <row r="891" customHeight="1" spans="1:13">
      <c r="A891" s="47" t="s">
        <v>1804</v>
      </c>
      <c r="B891" s="47" t="s">
        <v>1795</v>
      </c>
      <c r="C891" s="47" t="s">
        <v>273</v>
      </c>
      <c r="D891" s="47" t="s">
        <v>16</v>
      </c>
      <c r="E891" s="47" t="s">
        <v>50</v>
      </c>
      <c r="F891" s="47" t="s">
        <v>28</v>
      </c>
      <c r="G891" s="47" t="s">
        <v>38</v>
      </c>
      <c r="H891" s="47" t="s">
        <v>52</v>
      </c>
      <c r="I891" s="47" t="s">
        <v>52</v>
      </c>
      <c r="J891" s="47" t="s">
        <v>32</v>
      </c>
      <c r="K891" s="59" t="s">
        <v>23</v>
      </c>
      <c r="L891" s="47" t="s">
        <v>65</v>
      </c>
      <c r="M891" s="47" t="s">
        <v>33</v>
      </c>
    </row>
    <row r="892" customHeight="1" spans="1:13">
      <c r="A892" s="47" t="s">
        <v>1805</v>
      </c>
      <c r="B892" s="47" t="s">
        <v>1795</v>
      </c>
      <c r="C892" s="47" t="s">
        <v>285</v>
      </c>
      <c r="D892" s="47" t="s">
        <v>1806</v>
      </c>
      <c r="E892" s="47" t="s">
        <v>50</v>
      </c>
      <c r="F892" s="47" t="s">
        <v>28</v>
      </c>
      <c r="G892" s="47" t="s">
        <v>38</v>
      </c>
      <c r="H892" s="47" t="s">
        <v>52</v>
      </c>
      <c r="I892" s="47" t="s">
        <v>52</v>
      </c>
      <c r="J892" s="47" t="s">
        <v>753</v>
      </c>
      <c r="K892" s="47" t="s">
        <v>143</v>
      </c>
      <c r="L892" s="59" t="s">
        <v>23</v>
      </c>
      <c r="M892" s="47" t="s">
        <v>574</v>
      </c>
    </row>
    <row r="893" customHeight="1" spans="1:13">
      <c r="A893" s="47" t="s">
        <v>1807</v>
      </c>
      <c r="B893" s="47" t="s">
        <v>1795</v>
      </c>
      <c r="C893" s="47" t="s">
        <v>637</v>
      </c>
      <c r="D893" s="47" t="s">
        <v>16</v>
      </c>
      <c r="E893" s="47" t="s">
        <v>146</v>
      </c>
      <c r="F893" s="47" t="s">
        <v>28</v>
      </c>
      <c r="G893" s="47" t="s">
        <v>38</v>
      </c>
      <c r="H893" s="47" t="s">
        <v>147</v>
      </c>
      <c r="I893" s="47" t="s">
        <v>147</v>
      </c>
      <c r="J893" s="47" t="s">
        <v>32</v>
      </c>
      <c r="K893" s="59" t="s">
        <v>23</v>
      </c>
      <c r="L893" s="47" t="s">
        <v>29</v>
      </c>
      <c r="M893" s="47" t="s">
        <v>33</v>
      </c>
    </row>
    <row r="894" customHeight="1" spans="1:13">
      <c r="A894" s="47" t="s">
        <v>1808</v>
      </c>
      <c r="B894" s="47" t="s">
        <v>1795</v>
      </c>
      <c r="C894" s="47" t="s">
        <v>1809</v>
      </c>
      <c r="D894" s="47" t="s">
        <v>16</v>
      </c>
      <c r="E894" s="47" t="s">
        <v>964</v>
      </c>
      <c r="F894" s="59" t="s">
        <v>23</v>
      </c>
      <c r="G894" s="47" t="s">
        <v>19</v>
      </c>
      <c r="H894" s="47" t="s">
        <v>77</v>
      </c>
      <c r="I894" s="47" t="s">
        <v>96</v>
      </c>
      <c r="J894" s="47" t="s">
        <v>22</v>
      </c>
      <c r="K894" s="59" t="s">
        <v>23</v>
      </c>
      <c r="L894" s="59" t="s">
        <v>23</v>
      </c>
      <c r="M894" s="47" t="s">
        <v>40</v>
      </c>
    </row>
    <row r="895" customHeight="1" spans="1:13">
      <c r="A895" s="47" t="s">
        <v>1810</v>
      </c>
      <c r="B895" s="47" t="s">
        <v>1795</v>
      </c>
      <c r="C895" s="47" t="s">
        <v>1158</v>
      </c>
      <c r="D895" s="47" t="s">
        <v>16</v>
      </c>
      <c r="E895" s="47" t="s">
        <v>50</v>
      </c>
      <c r="F895" s="47" t="s">
        <v>28</v>
      </c>
      <c r="G895" s="47" t="s">
        <v>38</v>
      </c>
      <c r="H895" s="47" t="s">
        <v>52</v>
      </c>
      <c r="I895" s="47" t="s">
        <v>52</v>
      </c>
      <c r="J895" s="47" t="s">
        <v>22</v>
      </c>
      <c r="K895" s="47" t="s">
        <v>53</v>
      </c>
      <c r="L895" s="47" t="s">
        <v>54</v>
      </c>
      <c r="M895" s="47" t="s">
        <v>40</v>
      </c>
    </row>
    <row r="896" customHeight="1" spans="1:13">
      <c r="A896" s="47" t="s">
        <v>1811</v>
      </c>
      <c r="B896" s="47" t="s">
        <v>1812</v>
      </c>
      <c r="C896" s="47" t="s">
        <v>1456</v>
      </c>
      <c r="D896" s="47" t="s">
        <v>16</v>
      </c>
      <c r="E896" s="47" t="s">
        <v>1813</v>
      </c>
      <c r="F896" s="47" t="s">
        <v>28</v>
      </c>
      <c r="G896" s="47" t="s">
        <v>29</v>
      </c>
      <c r="H896" s="47" t="s">
        <v>58</v>
      </c>
      <c r="I896" s="47" t="s">
        <v>295</v>
      </c>
      <c r="J896" s="47" t="s">
        <v>32</v>
      </c>
      <c r="K896" s="59" t="s">
        <v>23</v>
      </c>
      <c r="L896" s="59" t="s">
        <v>23</v>
      </c>
      <c r="M896" s="47" t="s">
        <v>73</v>
      </c>
    </row>
    <row r="897" customHeight="1" spans="1:13">
      <c r="A897" s="47" t="s">
        <v>1814</v>
      </c>
      <c r="B897" s="47" t="s">
        <v>1812</v>
      </c>
      <c r="C897" s="47" t="s">
        <v>1740</v>
      </c>
      <c r="D897" s="47" t="s">
        <v>16</v>
      </c>
      <c r="E897" s="47" t="s">
        <v>146</v>
      </c>
      <c r="F897" s="47" t="s">
        <v>28</v>
      </c>
      <c r="G897" s="47" t="s">
        <v>38</v>
      </c>
      <c r="H897" s="47" t="s">
        <v>147</v>
      </c>
      <c r="I897" s="47" t="s">
        <v>218</v>
      </c>
      <c r="J897" s="47" t="s">
        <v>22</v>
      </c>
      <c r="K897" s="59" t="s">
        <v>23</v>
      </c>
      <c r="L897" s="59" t="s">
        <v>23</v>
      </c>
      <c r="M897" s="47" t="s">
        <v>33</v>
      </c>
    </row>
    <row r="898" customHeight="1" spans="1:13">
      <c r="A898" s="47" t="s">
        <v>1815</v>
      </c>
      <c r="B898" s="47" t="s">
        <v>1812</v>
      </c>
      <c r="C898" s="47" t="s">
        <v>449</v>
      </c>
      <c r="D898" s="47" t="s">
        <v>16</v>
      </c>
      <c r="E898" s="47" t="s">
        <v>1816</v>
      </c>
      <c r="F898" s="47" t="s">
        <v>28</v>
      </c>
      <c r="G898" s="47" t="s">
        <v>38</v>
      </c>
      <c r="H898" s="47" t="s">
        <v>30</v>
      </c>
      <c r="I898" s="47" t="s">
        <v>30</v>
      </c>
      <c r="J898" s="47" t="s">
        <v>32</v>
      </c>
      <c r="K898" s="59" t="s">
        <v>23</v>
      </c>
      <c r="L898" s="59" t="s">
        <v>23</v>
      </c>
      <c r="M898" s="47" t="s">
        <v>73</v>
      </c>
    </row>
    <row r="899" customHeight="1" spans="1:13">
      <c r="A899" s="47" t="s">
        <v>1817</v>
      </c>
      <c r="B899" s="47" t="s">
        <v>1812</v>
      </c>
      <c r="C899" s="47" t="s">
        <v>821</v>
      </c>
      <c r="D899" s="47" t="s">
        <v>43</v>
      </c>
      <c r="E899" s="47" t="s">
        <v>81</v>
      </c>
      <c r="F899" s="47" t="s">
        <v>37</v>
      </c>
      <c r="G899" s="47" t="s">
        <v>38</v>
      </c>
      <c r="H899" s="47" t="s">
        <v>82</v>
      </c>
      <c r="I899" s="47" t="s">
        <v>82</v>
      </c>
      <c r="J899" s="47" t="s">
        <v>32</v>
      </c>
      <c r="K899" s="59" t="s">
        <v>23</v>
      </c>
      <c r="L899" s="59" t="s">
        <v>23</v>
      </c>
      <c r="M899" s="47" t="s">
        <v>40</v>
      </c>
    </row>
    <row r="900" customHeight="1" spans="1:13">
      <c r="A900" s="47" t="s">
        <v>1818</v>
      </c>
      <c r="B900" s="47" t="s">
        <v>1819</v>
      </c>
      <c r="C900" s="47" t="s">
        <v>363</v>
      </c>
      <c r="D900" s="47" t="s">
        <v>16</v>
      </c>
      <c r="E900" s="47" t="s">
        <v>165</v>
      </c>
      <c r="F900" s="47" t="s">
        <v>109</v>
      </c>
      <c r="G900" s="47" t="s">
        <v>38</v>
      </c>
      <c r="H900" s="47" t="s">
        <v>82</v>
      </c>
      <c r="I900" s="47" t="s">
        <v>683</v>
      </c>
      <c r="J900" s="47" t="s">
        <v>32</v>
      </c>
      <c r="K900" s="47" t="s">
        <v>143</v>
      </c>
      <c r="L900" s="47" t="s">
        <v>65</v>
      </c>
      <c r="M900" s="47" t="s">
        <v>40</v>
      </c>
    </row>
    <row r="901" customHeight="1" spans="1:13">
      <c r="A901" s="47" t="s">
        <v>1820</v>
      </c>
      <c r="B901" s="47" t="s">
        <v>1812</v>
      </c>
      <c r="C901" s="47" t="s">
        <v>1576</v>
      </c>
      <c r="D901" s="47" t="s">
        <v>16</v>
      </c>
      <c r="E901" s="47" t="s">
        <v>27</v>
      </c>
      <c r="F901" s="47" t="s">
        <v>28</v>
      </c>
      <c r="G901" s="47" t="s">
        <v>19</v>
      </c>
      <c r="H901" s="47" t="s">
        <v>30</v>
      </c>
      <c r="I901" s="47" t="s">
        <v>258</v>
      </c>
      <c r="J901" s="47" t="s">
        <v>22</v>
      </c>
      <c r="K901" s="59" t="s">
        <v>23</v>
      </c>
      <c r="L901" s="59" t="s">
        <v>23</v>
      </c>
      <c r="M901" s="47" t="s">
        <v>40</v>
      </c>
    </row>
    <row r="902" customHeight="1" spans="1:13">
      <c r="A902" s="47" t="s">
        <v>1821</v>
      </c>
      <c r="B902" s="47" t="s">
        <v>1812</v>
      </c>
      <c r="C902" s="47" t="s">
        <v>1063</v>
      </c>
      <c r="D902" s="47" t="s">
        <v>107</v>
      </c>
      <c r="E902" s="47" t="s">
        <v>1039</v>
      </c>
      <c r="F902" s="47" t="s">
        <v>109</v>
      </c>
      <c r="G902" s="47" t="s">
        <v>38</v>
      </c>
      <c r="H902" s="47" t="s">
        <v>110</v>
      </c>
      <c r="I902" s="47" t="s">
        <v>110</v>
      </c>
      <c r="J902" s="47" t="s">
        <v>22</v>
      </c>
      <c r="K902" s="59" t="s">
        <v>23</v>
      </c>
      <c r="L902" s="47" t="s">
        <v>65</v>
      </c>
      <c r="M902" s="47" t="s">
        <v>33</v>
      </c>
    </row>
    <row r="903" customHeight="1" spans="1:13">
      <c r="A903" s="47" t="s">
        <v>1822</v>
      </c>
      <c r="B903" s="47" t="s">
        <v>1823</v>
      </c>
      <c r="C903" s="47" t="s">
        <v>1118</v>
      </c>
      <c r="D903" s="47" t="s">
        <v>125</v>
      </c>
      <c r="E903" s="47" t="s">
        <v>81</v>
      </c>
      <c r="F903" s="47" t="s">
        <v>37</v>
      </c>
      <c r="G903" s="47" t="s">
        <v>38</v>
      </c>
      <c r="H903" s="47" t="s">
        <v>82</v>
      </c>
      <c r="I903" s="47" t="s">
        <v>443</v>
      </c>
      <c r="J903" s="47" t="s">
        <v>22</v>
      </c>
      <c r="K903" s="59" t="s">
        <v>23</v>
      </c>
      <c r="L903" s="47" t="s">
        <v>54</v>
      </c>
      <c r="M903" s="47" t="s">
        <v>490</v>
      </c>
    </row>
    <row r="904" customHeight="1" spans="1:13">
      <c r="A904" s="47" t="s">
        <v>1824</v>
      </c>
      <c r="B904" s="47" t="s">
        <v>1823</v>
      </c>
      <c r="C904" s="47" t="s">
        <v>862</v>
      </c>
      <c r="D904" s="47" t="s">
        <v>16</v>
      </c>
      <c r="E904" s="47" t="s">
        <v>367</v>
      </c>
      <c r="F904" s="59" t="s">
        <v>23</v>
      </c>
      <c r="G904" s="47" t="s">
        <v>38</v>
      </c>
      <c r="H904" s="47" t="s">
        <v>110</v>
      </c>
      <c r="I904" s="47" t="s">
        <v>110</v>
      </c>
      <c r="J904" s="47" t="s">
        <v>22</v>
      </c>
      <c r="K904" s="59" t="s">
        <v>23</v>
      </c>
      <c r="L904" s="59" t="s">
        <v>23</v>
      </c>
      <c r="M904" s="47" t="s">
        <v>40</v>
      </c>
    </row>
    <row r="905" customHeight="1" spans="1:13">
      <c r="A905" s="47" t="s">
        <v>1825</v>
      </c>
      <c r="B905" s="47" t="s">
        <v>1823</v>
      </c>
      <c r="C905" s="47" t="s">
        <v>573</v>
      </c>
      <c r="D905" s="47" t="s">
        <v>43</v>
      </c>
      <c r="E905" s="47" t="s">
        <v>103</v>
      </c>
      <c r="F905" s="47" t="s">
        <v>37</v>
      </c>
      <c r="G905" s="47" t="s">
        <v>38</v>
      </c>
      <c r="H905" s="47" t="s">
        <v>77</v>
      </c>
      <c r="I905" s="59" t="s">
        <v>23</v>
      </c>
      <c r="J905" s="47" t="s">
        <v>68</v>
      </c>
      <c r="K905" s="47" t="s">
        <v>53</v>
      </c>
      <c r="L905" s="59" t="s">
        <v>23</v>
      </c>
      <c r="M905" s="47" t="s">
        <v>24</v>
      </c>
    </row>
    <row r="906" customHeight="1" spans="1:13">
      <c r="A906" s="47" t="s">
        <v>1826</v>
      </c>
      <c r="B906" s="47" t="s">
        <v>1823</v>
      </c>
      <c r="C906" s="47" t="s">
        <v>1310</v>
      </c>
      <c r="D906" s="47" t="s">
        <v>107</v>
      </c>
      <c r="E906" s="47" t="s">
        <v>146</v>
      </c>
      <c r="F906" s="47" t="s">
        <v>28</v>
      </c>
      <c r="G906" s="47" t="s">
        <v>38</v>
      </c>
      <c r="H906" s="47" t="s">
        <v>147</v>
      </c>
      <c r="I906" s="47" t="s">
        <v>608</v>
      </c>
      <c r="J906" s="47" t="s">
        <v>22</v>
      </c>
      <c r="K906" s="59" t="s">
        <v>23</v>
      </c>
      <c r="L906" s="47" t="s">
        <v>65</v>
      </c>
      <c r="M906" s="47" t="s">
        <v>73</v>
      </c>
    </row>
    <row r="907" customHeight="1" spans="1:13">
      <c r="A907" s="47" t="s">
        <v>1827</v>
      </c>
      <c r="B907" s="47" t="s">
        <v>1823</v>
      </c>
      <c r="C907" s="47" t="s">
        <v>346</v>
      </c>
      <c r="D907" s="47" t="s">
        <v>107</v>
      </c>
      <c r="E907" s="47" t="s">
        <v>63</v>
      </c>
      <c r="F907" s="47" t="s">
        <v>18</v>
      </c>
      <c r="G907" s="47" t="s">
        <v>38</v>
      </c>
      <c r="H907" s="47" t="s">
        <v>64</v>
      </c>
      <c r="I907" s="47" t="s">
        <v>64</v>
      </c>
      <c r="J907" s="47" t="s">
        <v>22</v>
      </c>
      <c r="K907" s="59" t="s">
        <v>23</v>
      </c>
      <c r="L907" s="47" t="s">
        <v>65</v>
      </c>
      <c r="M907" s="47" t="s">
        <v>33</v>
      </c>
    </row>
    <row r="908" customHeight="1" spans="1:13">
      <c r="A908" s="47" t="s">
        <v>1828</v>
      </c>
      <c r="B908" s="47" t="s">
        <v>1823</v>
      </c>
      <c r="C908" s="47" t="s">
        <v>385</v>
      </c>
      <c r="D908" s="47" t="s">
        <v>16</v>
      </c>
      <c r="E908" s="47" t="s">
        <v>50</v>
      </c>
      <c r="F908" s="47" t="s">
        <v>28</v>
      </c>
      <c r="G908" s="47" t="s">
        <v>38</v>
      </c>
      <c r="H908" s="47" t="s">
        <v>52</v>
      </c>
      <c r="I908" s="47" t="s">
        <v>52</v>
      </c>
      <c r="J908" s="47" t="s">
        <v>22</v>
      </c>
      <c r="K908" s="47" t="s">
        <v>53</v>
      </c>
      <c r="L908" s="59" t="s">
        <v>23</v>
      </c>
      <c r="M908" s="47" t="s">
        <v>1829</v>
      </c>
    </row>
    <row r="909" customHeight="1" spans="1:13">
      <c r="A909" s="47" t="s">
        <v>1830</v>
      </c>
      <c r="B909" s="47" t="s">
        <v>1823</v>
      </c>
      <c r="C909" s="47" t="s">
        <v>1152</v>
      </c>
      <c r="D909" s="47" t="s">
        <v>16</v>
      </c>
      <c r="E909" s="47" t="s">
        <v>95</v>
      </c>
      <c r="F909" s="47" t="s">
        <v>45</v>
      </c>
      <c r="G909" s="47" t="s">
        <v>19</v>
      </c>
      <c r="H909" s="47" t="s">
        <v>77</v>
      </c>
      <c r="I909" s="47" t="s">
        <v>96</v>
      </c>
      <c r="J909" s="47" t="s">
        <v>22</v>
      </c>
      <c r="K909" s="59" t="s">
        <v>23</v>
      </c>
      <c r="L909" s="59" t="s">
        <v>23</v>
      </c>
      <c r="M909" s="47" t="s">
        <v>73</v>
      </c>
    </row>
    <row r="910" customHeight="1" spans="1:13">
      <c r="A910" s="47" t="s">
        <v>1831</v>
      </c>
      <c r="B910" s="47" t="s">
        <v>1823</v>
      </c>
      <c r="C910" s="47" t="s">
        <v>1661</v>
      </c>
      <c r="D910" s="47" t="s">
        <v>16</v>
      </c>
      <c r="E910" s="47" t="s">
        <v>1832</v>
      </c>
      <c r="F910" s="47" t="s">
        <v>37</v>
      </c>
      <c r="G910" s="47" t="s">
        <v>19</v>
      </c>
      <c r="H910" s="47" t="s">
        <v>82</v>
      </c>
      <c r="I910" s="47" t="s">
        <v>184</v>
      </c>
      <c r="J910" s="47" t="s">
        <v>22</v>
      </c>
      <c r="K910" s="59" t="s">
        <v>23</v>
      </c>
      <c r="L910" s="47" t="s">
        <v>54</v>
      </c>
      <c r="M910" s="47" t="s">
        <v>24</v>
      </c>
    </row>
    <row r="911" customHeight="1" spans="1:13">
      <c r="A911" s="47" t="s">
        <v>1833</v>
      </c>
      <c r="B911" s="47" t="s">
        <v>1834</v>
      </c>
      <c r="C911" s="47" t="s">
        <v>576</v>
      </c>
      <c r="D911" s="47" t="s">
        <v>16</v>
      </c>
      <c r="E911" s="47" t="s">
        <v>57</v>
      </c>
      <c r="F911" s="47" t="s">
        <v>51</v>
      </c>
      <c r="G911" s="47" t="s">
        <v>38</v>
      </c>
      <c r="H911" s="47" t="s">
        <v>58</v>
      </c>
      <c r="I911" s="47" t="s">
        <v>58</v>
      </c>
      <c r="J911" s="47" t="s">
        <v>22</v>
      </c>
      <c r="K911" s="59" t="s">
        <v>23</v>
      </c>
      <c r="L911" s="47" t="s">
        <v>65</v>
      </c>
      <c r="M911" s="47" t="s">
        <v>73</v>
      </c>
    </row>
    <row r="912" customHeight="1" spans="1:13">
      <c r="A912" s="47" t="s">
        <v>1835</v>
      </c>
      <c r="B912" s="47" t="s">
        <v>1834</v>
      </c>
      <c r="C912" s="47" t="s">
        <v>986</v>
      </c>
      <c r="D912" s="47" t="s">
        <v>86</v>
      </c>
      <c r="E912" s="47" t="s">
        <v>63</v>
      </c>
      <c r="F912" s="47" t="s">
        <v>18</v>
      </c>
      <c r="G912" s="47" t="s">
        <v>38</v>
      </c>
      <c r="H912" s="59" t="s">
        <v>23</v>
      </c>
      <c r="I912" s="47" t="s">
        <v>64</v>
      </c>
      <c r="J912" s="47" t="s">
        <v>32</v>
      </c>
      <c r="K912" s="59" t="s">
        <v>23</v>
      </c>
      <c r="L912" s="59" t="s">
        <v>23</v>
      </c>
      <c r="M912" s="47" t="s">
        <v>40</v>
      </c>
    </row>
    <row r="913" customHeight="1" spans="1:13">
      <c r="A913" s="47" t="s">
        <v>1836</v>
      </c>
      <c r="B913" s="47" t="s">
        <v>1834</v>
      </c>
      <c r="C913" s="47" t="s">
        <v>909</v>
      </c>
      <c r="D913" s="47" t="s">
        <v>16</v>
      </c>
      <c r="E913" s="47" t="s">
        <v>63</v>
      </c>
      <c r="F913" s="47" t="s">
        <v>309</v>
      </c>
      <c r="G913" s="47" t="s">
        <v>38</v>
      </c>
      <c r="H913" s="47" t="s">
        <v>64</v>
      </c>
      <c r="I913" s="47" t="s">
        <v>64</v>
      </c>
      <c r="J913" s="47" t="s">
        <v>32</v>
      </c>
      <c r="K913" s="47" t="s">
        <v>119</v>
      </c>
      <c r="L913" s="59" t="s">
        <v>23</v>
      </c>
      <c r="M913" s="47" t="s">
        <v>181</v>
      </c>
    </row>
    <row r="914" customHeight="1" spans="1:13">
      <c r="A914" s="47" t="s">
        <v>1837</v>
      </c>
      <c r="B914" s="47" t="s">
        <v>1834</v>
      </c>
      <c r="C914" s="47" t="s">
        <v>1657</v>
      </c>
      <c r="D914" s="47" t="s">
        <v>107</v>
      </c>
      <c r="E914" s="47" t="s">
        <v>146</v>
      </c>
      <c r="F914" s="47" t="s">
        <v>28</v>
      </c>
      <c r="G914" s="47" t="s">
        <v>19</v>
      </c>
      <c r="H914" s="47" t="s">
        <v>147</v>
      </c>
      <c r="I914" s="47" t="s">
        <v>474</v>
      </c>
      <c r="J914" s="47" t="s">
        <v>22</v>
      </c>
      <c r="K914" s="59" t="s">
        <v>23</v>
      </c>
      <c r="L914" s="59" t="s">
        <v>23</v>
      </c>
      <c r="M914" s="47" t="s">
        <v>40</v>
      </c>
    </row>
    <row r="915" customHeight="1" spans="1:13">
      <c r="A915" s="47" t="s">
        <v>1838</v>
      </c>
      <c r="B915" s="47" t="s">
        <v>1834</v>
      </c>
      <c r="C915" s="47" t="s">
        <v>198</v>
      </c>
      <c r="D915" s="47" t="s">
        <v>43</v>
      </c>
      <c r="E915" s="47" t="s">
        <v>103</v>
      </c>
      <c r="F915" s="59" t="s">
        <v>23</v>
      </c>
      <c r="G915" s="47" t="s">
        <v>19</v>
      </c>
      <c r="H915" s="47" t="s">
        <v>77</v>
      </c>
      <c r="I915" s="47" t="s">
        <v>96</v>
      </c>
      <c r="J915" s="47" t="s">
        <v>22</v>
      </c>
      <c r="K915" s="59" t="s">
        <v>23</v>
      </c>
      <c r="L915" s="59" t="s">
        <v>23</v>
      </c>
      <c r="M915" s="47" t="s">
        <v>33</v>
      </c>
    </row>
    <row r="916" customHeight="1" spans="1:13">
      <c r="A916" s="47" t="s">
        <v>1839</v>
      </c>
      <c r="B916" s="47" t="s">
        <v>1834</v>
      </c>
      <c r="C916" s="47" t="s">
        <v>363</v>
      </c>
      <c r="D916" s="47" t="s">
        <v>352</v>
      </c>
      <c r="E916" s="47" t="s">
        <v>81</v>
      </c>
      <c r="F916" s="47" t="s">
        <v>37</v>
      </c>
      <c r="G916" s="47" t="s">
        <v>19</v>
      </c>
      <c r="H916" s="47" t="s">
        <v>82</v>
      </c>
      <c r="I916" s="47" t="s">
        <v>184</v>
      </c>
      <c r="J916" s="47" t="s">
        <v>32</v>
      </c>
      <c r="K916" s="59" t="s">
        <v>23</v>
      </c>
      <c r="L916" s="59" t="s">
        <v>23</v>
      </c>
      <c r="M916" s="47" t="s">
        <v>40</v>
      </c>
    </row>
    <row r="917" customHeight="1" spans="1:13">
      <c r="A917" s="47" t="s">
        <v>1840</v>
      </c>
      <c r="B917" s="47" t="s">
        <v>1834</v>
      </c>
      <c r="C917" s="47" t="s">
        <v>1733</v>
      </c>
      <c r="D917" s="47" t="s">
        <v>16</v>
      </c>
      <c r="E917" s="47" t="s">
        <v>50</v>
      </c>
      <c r="F917" s="47" t="s">
        <v>28</v>
      </c>
      <c r="G917" s="47" t="s">
        <v>19</v>
      </c>
      <c r="H917" s="47" t="s">
        <v>52</v>
      </c>
      <c r="I917" s="47" t="s">
        <v>425</v>
      </c>
      <c r="J917" s="47" t="s">
        <v>22</v>
      </c>
      <c r="K917" s="59" t="s">
        <v>23</v>
      </c>
      <c r="L917" s="59" t="s">
        <v>23</v>
      </c>
      <c r="M917" s="47" t="s">
        <v>47</v>
      </c>
    </row>
    <row r="918" customHeight="1" spans="1:13">
      <c r="A918" s="47" t="s">
        <v>1841</v>
      </c>
      <c r="B918" s="47" t="s">
        <v>1842</v>
      </c>
      <c r="C918" s="47" t="s">
        <v>1843</v>
      </c>
      <c r="D918" s="47" t="s">
        <v>107</v>
      </c>
      <c r="E918" s="47" t="s">
        <v>63</v>
      </c>
      <c r="F918" s="47" t="s">
        <v>18</v>
      </c>
      <c r="G918" s="47" t="s">
        <v>38</v>
      </c>
      <c r="H918" s="47" t="s">
        <v>64</v>
      </c>
      <c r="I918" s="47" t="s">
        <v>162</v>
      </c>
      <c r="J918" s="47" t="s">
        <v>22</v>
      </c>
      <c r="K918" s="47" t="s">
        <v>53</v>
      </c>
      <c r="L918" s="47" t="s">
        <v>65</v>
      </c>
      <c r="M918" s="47" t="s">
        <v>47</v>
      </c>
    </row>
    <row r="919" customHeight="1" spans="1:13">
      <c r="A919" s="47" t="s">
        <v>1844</v>
      </c>
      <c r="B919" s="47" t="s">
        <v>1842</v>
      </c>
      <c r="C919" s="47" t="s">
        <v>1845</v>
      </c>
      <c r="D919" s="47" t="s">
        <v>43</v>
      </c>
      <c r="E919" s="47" t="s">
        <v>44</v>
      </c>
      <c r="F919" s="47" t="s">
        <v>45</v>
      </c>
      <c r="G919" s="47" t="s">
        <v>38</v>
      </c>
      <c r="H919" s="47" t="s">
        <v>46</v>
      </c>
      <c r="I919" s="59" t="s">
        <v>23</v>
      </c>
      <c r="J919" s="47" t="s">
        <v>22</v>
      </c>
      <c r="K919" s="59" t="s">
        <v>23</v>
      </c>
      <c r="L919" s="47" t="s">
        <v>65</v>
      </c>
      <c r="M919" s="47" t="s">
        <v>40</v>
      </c>
    </row>
    <row r="920" customHeight="1" spans="1:13">
      <c r="A920" s="47" t="s">
        <v>1846</v>
      </c>
      <c r="B920" s="47" t="s">
        <v>1842</v>
      </c>
      <c r="C920" s="47" t="s">
        <v>216</v>
      </c>
      <c r="D920" s="47" t="s">
        <v>107</v>
      </c>
      <c r="E920" s="47" t="s">
        <v>1781</v>
      </c>
      <c r="F920" s="47" t="s">
        <v>45</v>
      </c>
      <c r="G920" s="47" t="s">
        <v>38</v>
      </c>
      <c r="H920" s="47" t="s">
        <v>46</v>
      </c>
      <c r="I920" s="47" t="s">
        <v>46</v>
      </c>
      <c r="J920" s="47" t="s">
        <v>22</v>
      </c>
      <c r="K920" s="59" t="s">
        <v>23</v>
      </c>
      <c r="L920" s="59" t="s">
        <v>23</v>
      </c>
      <c r="M920" s="47" t="s">
        <v>33</v>
      </c>
    </row>
    <row r="921" customHeight="1" spans="1:13">
      <c r="A921" s="47" t="s">
        <v>1847</v>
      </c>
      <c r="B921" s="47" t="s">
        <v>1842</v>
      </c>
      <c r="C921" s="47" t="s">
        <v>1637</v>
      </c>
      <c r="D921" s="47" t="s">
        <v>107</v>
      </c>
      <c r="E921" s="47" t="s">
        <v>44</v>
      </c>
      <c r="F921" s="47" t="s">
        <v>45</v>
      </c>
      <c r="G921" s="47" t="s">
        <v>38</v>
      </c>
      <c r="H921" s="47" t="s">
        <v>46</v>
      </c>
      <c r="I921" s="47" t="s">
        <v>46</v>
      </c>
      <c r="J921" s="47" t="s">
        <v>22</v>
      </c>
      <c r="K921" s="59" t="s">
        <v>23</v>
      </c>
      <c r="L921" s="47" t="s">
        <v>65</v>
      </c>
      <c r="M921" s="47" t="s">
        <v>33</v>
      </c>
    </row>
    <row r="922" customHeight="1" spans="1:13">
      <c r="A922" s="47" t="s">
        <v>1848</v>
      </c>
      <c r="B922" s="47" t="s">
        <v>1842</v>
      </c>
      <c r="C922" s="47" t="s">
        <v>1373</v>
      </c>
      <c r="D922" s="47" t="s">
        <v>43</v>
      </c>
      <c r="E922" s="47" t="s">
        <v>103</v>
      </c>
      <c r="F922" s="47" t="s">
        <v>37</v>
      </c>
      <c r="G922" s="47" t="s">
        <v>38</v>
      </c>
      <c r="H922" s="47" t="s">
        <v>1849</v>
      </c>
      <c r="I922" s="47" t="s">
        <v>77</v>
      </c>
      <c r="J922" s="47" t="s">
        <v>22</v>
      </c>
      <c r="K922" s="59" t="s">
        <v>23</v>
      </c>
      <c r="L922" s="47" t="s">
        <v>54</v>
      </c>
      <c r="M922" s="47" t="s">
        <v>40</v>
      </c>
    </row>
    <row r="923" customHeight="1" spans="1:13">
      <c r="A923" s="47" t="s">
        <v>1850</v>
      </c>
      <c r="B923" s="47" t="s">
        <v>1842</v>
      </c>
      <c r="C923" s="47" t="s">
        <v>442</v>
      </c>
      <c r="D923" s="47" t="s">
        <v>16</v>
      </c>
      <c r="E923" s="47" t="s">
        <v>27</v>
      </c>
      <c r="F923" s="47" t="s">
        <v>28</v>
      </c>
      <c r="G923" s="47" t="s">
        <v>29</v>
      </c>
      <c r="H923" s="47" t="s">
        <v>30</v>
      </c>
      <c r="I923" s="47" t="s">
        <v>31</v>
      </c>
      <c r="J923" s="47" t="s">
        <v>22</v>
      </c>
      <c r="K923" s="59" t="s">
        <v>23</v>
      </c>
      <c r="L923" s="47" t="s">
        <v>29</v>
      </c>
      <c r="M923" s="47" t="s">
        <v>73</v>
      </c>
    </row>
    <row r="924" customHeight="1" spans="1:13">
      <c r="A924" s="47" t="s">
        <v>1851</v>
      </c>
      <c r="B924" s="47" t="s">
        <v>1842</v>
      </c>
      <c r="C924" s="47" t="s">
        <v>714</v>
      </c>
      <c r="D924" s="47" t="s">
        <v>43</v>
      </c>
      <c r="E924" s="47" t="s">
        <v>81</v>
      </c>
      <c r="F924" s="47" t="s">
        <v>37</v>
      </c>
      <c r="G924" s="47" t="s">
        <v>38</v>
      </c>
      <c r="H924" s="47" t="s">
        <v>82</v>
      </c>
      <c r="I924" s="47" t="s">
        <v>82</v>
      </c>
      <c r="J924" s="47" t="s">
        <v>22</v>
      </c>
      <c r="K924" s="59" t="s">
        <v>23</v>
      </c>
      <c r="L924" s="47" t="s">
        <v>29</v>
      </c>
      <c r="M924" s="47" t="s">
        <v>73</v>
      </c>
    </row>
    <row r="925" customHeight="1" spans="1:13">
      <c r="A925" s="47" t="s">
        <v>1852</v>
      </c>
      <c r="B925" s="47" t="s">
        <v>1853</v>
      </c>
      <c r="C925" s="47" t="s">
        <v>1431</v>
      </c>
      <c r="D925" s="47" t="s">
        <v>1032</v>
      </c>
      <c r="E925" s="47" t="s">
        <v>1816</v>
      </c>
      <c r="F925" s="47" t="s">
        <v>28</v>
      </c>
      <c r="G925" s="47" t="s">
        <v>38</v>
      </c>
      <c r="H925" s="47" t="s">
        <v>30</v>
      </c>
      <c r="I925" s="47" t="s">
        <v>30</v>
      </c>
      <c r="J925" s="47" t="s">
        <v>32</v>
      </c>
      <c r="K925" s="59" t="s">
        <v>23</v>
      </c>
      <c r="L925" s="47" t="s">
        <v>65</v>
      </c>
      <c r="M925" s="47" t="s">
        <v>47</v>
      </c>
    </row>
    <row r="926" customHeight="1" spans="1:13">
      <c r="A926" s="47" t="s">
        <v>1854</v>
      </c>
      <c r="B926" s="47" t="s">
        <v>1855</v>
      </c>
      <c r="C926" s="47" t="s">
        <v>1102</v>
      </c>
      <c r="D926" s="47" t="s">
        <v>43</v>
      </c>
      <c r="E926" s="47" t="s">
        <v>199</v>
      </c>
      <c r="F926" s="47" t="s">
        <v>18</v>
      </c>
      <c r="G926" s="47" t="s">
        <v>38</v>
      </c>
      <c r="H926" s="47" t="s">
        <v>39</v>
      </c>
      <c r="I926" s="47" t="s">
        <v>39</v>
      </c>
      <c r="J926" s="47" t="s">
        <v>22</v>
      </c>
      <c r="K926" s="59" t="s">
        <v>23</v>
      </c>
      <c r="L926" s="47" t="s">
        <v>54</v>
      </c>
      <c r="M926" s="47" t="s">
        <v>73</v>
      </c>
    </row>
    <row r="927" customHeight="1" spans="1:13">
      <c r="A927" s="47" t="s">
        <v>1856</v>
      </c>
      <c r="B927" s="47" t="s">
        <v>1855</v>
      </c>
      <c r="C927" s="47" t="s">
        <v>807</v>
      </c>
      <c r="D927" s="47" t="s">
        <v>16</v>
      </c>
      <c r="E927" s="47" t="s">
        <v>63</v>
      </c>
      <c r="F927" s="47" t="s">
        <v>18</v>
      </c>
      <c r="G927" s="47" t="s">
        <v>29</v>
      </c>
      <c r="H927" s="47" t="s">
        <v>64</v>
      </c>
      <c r="I927" s="47" t="s">
        <v>227</v>
      </c>
      <c r="J927" s="47" t="s">
        <v>22</v>
      </c>
      <c r="K927" s="59" t="s">
        <v>23</v>
      </c>
      <c r="L927" s="47" t="s">
        <v>29</v>
      </c>
      <c r="M927" s="47" t="s">
        <v>73</v>
      </c>
    </row>
    <row r="928" customHeight="1" spans="1:13">
      <c r="A928" s="47" t="s">
        <v>1857</v>
      </c>
      <c r="B928" s="47" t="s">
        <v>1855</v>
      </c>
      <c r="C928" s="47" t="s">
        <v>329</v>
      </c>
      <c r="D928" s="47" t="s">
        <v>16</v>
      </c>
      <c r="E928" s="47" t="s">
        <v>63</v>
      </c>
      <c r="F928" s="47" t="s">
        <v>18</v>
      </c>
      <c r="G928" s="47" t="s">
        <v>38</v>
      </c>
      <c r="H928" s="59" t="s">
        <v>23</v>
      </c>
      <c r="I928" s="47" t="s">
        <v>251</v>
      </c>
      <c r="J928" s="47" t="s">
        <v>32</v>
      </c>
      <c r="K928" s="47" t="s">
        <v>119</v>
      </c>
      <c r="L928" s="47" t="s">
        <v>65</v>
      </c>
      <c r="M928" s="47" t="s">
        <v>47</v>
      </c>
    </row>
    <row r="929" customHeight="1" spans="1:13">
      <c r="A929" s="47" t="s">
        <v>1858</v>
      </c>
      <c r="B929" s="47" t="s">
        <v>1855</v>
      </c>
      <c r="C929" s="47" t="s">
        <v>203</v>
      </c>
      <c r="D929" s="47" t="s">
        <v>43</v>
      </c>
      <c r="E929" s="47" t="s">
        <v>17</v>
      </c>
      <c r="F929" s="47" t="s">
        <v>18</v>
      </c>
      <c r="G929" s="47" t="s">
        <v>38</v>
      </c>
      <c r="H929" s="47" t="s">
        <v>20</v>
      </c>
      <c r="I929" s="47" t="s">
        <v>20</v>
      </c>
      <c r="J929" s="47" t="s">
        <v>22</v>
      </c>
      <c r="K929" s="59" t="s">
        <v>23</v>
      </c>
      <c r="L929" s="47" t="s">
        <v>65</v>
      </c>
      <c r="M929" s="47" t="s">
        <v>47</v>
      </c>
    </row>
    <row r="930" customHeight="1" spans="1:13">
      <c r="A930" s="47" t="s">
        <v>1859</v>
      </c>
      <c r="B930" s="47" t="s">
        <v>1855</v>
      </c>
      <c r="C930" s="47" t="s">
        <v>287</v>
      </c>
      <c r="D930" s="47" t="s">
        <v>43</v>
      </c>
      <c r="E930" s="47" t="s">
        <v>63</v>
      </c>
      <c r="F930" s="47" t="s">
        <v>18</v>
      </c>
      <c r="G930" s="47" t="s">
        <v>38</v>
      </c>
      <c r="H930" s="47" t="s">
        <v>64</v>
      </c>
      <c r="I930" s="47" t="s">
        <v>64</v>
      </c>
      <c r="J930" s="47" t="s">
        <v>32</v>
      </c>
      <c r="K930" s="59" t="s">
        <v>23</v>
      </c>
      <c r="L930" s="59" t="s">
        <v>23</v>
      </c>
      <c r="M930" s="47" t="s">
        <v>33</v>
      </c>
    </row>
    <row r="931" customHeight="1" spans="1:13">
      <c r="A931" s="47" t="s">
        <v>1860</v>
      </c>
      <c r="B931" s="47" t="s">
        <v>1855</v>
      </c>
      <c r="C931" s="47" t="s">
        <v>1681</v>
      </c>
      <c r="D931" s="47" t="s">
        <v>43</v>
      </c>
      <c r="E931" s="47" t="s">
        <v>396</v>
      </c>
      <c r="F931" s="47" t="s">
        <v>18</v>
      </c>
      <c r="G931" s="47" t="s">
        <v>38</v>
      </c>
      <c r="H931" s="47" t="s">
        <v>816</v>
      </c>
      <c r="I931" s="47" t="s">
        <v>64</v>
      </c>
      <c r="J931" s="47" t="s">
        <v>22</v>
      </c>
      <c r="K931" s="59" t="s">
        <v>23</v>
      </c>
      <c r="L931" s="59" t="s">
        <v>23</v>
      </c>
      <c r="M931" s="47" t="s">
        <v>1861</v>
      </c>
    </row>
    <row r="932" customHeight="1" spans="1:13">
      <c r="A932" s="47" t="s">
        <v>1862</v>
      </c>
      <c r="B932" s="47" t="s">
        <v>1855</v>
      </c>
      <c r="C932" s="47" t="s">
        <v>1011</v>
      </c>
      <c r="D932" s="47" t="s">
        <v>43</v>
      </c>
      <c r="E932" s="47" t="s">
        <v>17</v>
      </c>
      <c r="F932" s="47" t="s">
        <v>18</v>
      </c>
      <c r="G932" s="47" t="s">
        <v>38</v>
      </c>
      <c r="H932" s="47" t="s">
        <v>20</v>
      </c>
      <c r="I932" s="47" t="s">
        <v>710</v>
      </c>
      <c r="J932" s="47" t="s">
        <v>32</v>
      </c>
      <c r="K932" s="59" t="s">
        <v>23</v>
      </c>
      <c r="L932" s="47" t="s">
        <v>29</v>
      </c>
      <c r="M932" s="47" t="s">
        <v>73</v>
      </c>
    </row>
    <row r="933" customHeight="1" spans="1:13">
      <c r="A933" s="47" t="s">
        <v>1863</v>
      </c>
      <c r="B933" s="47" t="s">
        <v>1864</v>
      </c>
      <c r="C933" s="47" t="s">
        <v>1865</v>
      </c>
      <c r="D933" s="47" t="s">
        <v>16</v>
      </c>
      <c r="E933" s="47" t="s">
        <v>17</v>
      </c>
      <c r="F933" s="47" t="s">
        <v>18</v>
      </c>
      <c r="G933" s="47" t="s">
        <v>38</v>
      </c>
      <c r="H933" s="47" t="s">
        <v>20</v>
      </c>
      <c r="I933" s="47" t="s">
        <v>20</v>
      </c>
      <c r="J933" s="47" t="s">
        <v>32</v>
      </c>
      <c r="K933" s="47" t="s">
        <v>119</v>
      </c>
      <c r="L933" s="59" t="s">
        <v>23</v>
      </c>
      <c r="M933" s="47" t="s">
        <v>358</v>
      </c>
    </row>
    <row r="934" customHeight="1" spans="1:13">
      <c r="A934" s="47" t="s">
        <v>1866</v>
      </c>
      <c r="B934" s="47" t="s">
        <v>1867</v>
      </c>
      <c r="C934" s="47" t="s">
        <v>177</v>
      </c>
      <c r="D934" s="47" t="s">
        <v>1032</v>
      </c>
      <c r="E934" s="47" t="s">
        <v>17</v>
      </c>
      <c r="F934" s="47" t="s">
        <v>18</v>
      </c>
      <c r="G934" s="47" t="s">
        <v>19</v>
      </c>
      <c r="H934" s="47" t="s">
        <v>20</v>
      </c>
      <c r="I934" s="47" t="s">
        <v>1868</v>
      </c>
      <c r="J934" s="47" t="s">
        <v>22</v>
      </c>
      <c r="K934" s="59" t="s">
        <v>23</v>
      </c>
      <c r="L934" s="47" t="s">
        <v>29</v>
      </c>
      <c r="M934" s="47" t="s">
        <v>40</v>
      </c>
    </row>
    <row r="935" customHeight="1" spans="1:13">
      <c r="A935" s="47" t="s">
        <v>1869</v>
      </c>
      <c r="B935" s="47" t="s">
        <v>1867</v>
      </c>
      <c r="C935" s="47" t="s">
        <v>1870</v>
      </c>
      <c r="D935" s="47" t="s">
        <v>16</v>
      </c>
      <c r="E935" s="47" t="s">
        <v>27</v>
      </c>
      <c r="F935" s="47" t="s">
        <v>28</v>
      </c>
      <c r="G935" s="47" t="s">
        <v>38</v>
      </c>
      <c r="H935" s="47" t="s">
        <v>30</v>
      </c>
      <c r="I935" s="47" t="s">
        <v>30</v>
      </c>
      <c r="J935" s="47" t="s">
        <v>22</v>
      </c>
      <c r="K935" s="59" t="s">
        <v>23</v>
      </c>
      <c r="L935" s="47" t="s">
        <v>54</v>
      </c>
      <c r="M935" s="47" t="s">
        <v>73</v>
      </c>
    </row>
    <row r="936" customHeight="1" spans="1:13">
      <c r="A936" s="47" t="s">
        <v>1871</v>
      </c>
      <c r="B936" s="47" t="s">
        <v>1872</v>
      </c>
      <c r="C936" s="47" t="s">
        <v>1302</v>
      </c>
      <c r="D936" s="47" t="s">
        <v>16</v>
      </c>
      <c r="E936" s="47" t="s">
        <v>63</v>
      </c>
      <c r="F936" s="47" t="s">
        <v>18</v>
      </c>
      <c r="G936" s="47" t="s">
        <v>38</v>
      </c>
      <c r="H936" s="47" t="s">
        <v>64</v>
      </c>
      <c r="I936" s="47" t="s">
        <v>64</v>
      </c>
      <c r="J936" s="47" t="s">
        <v>22</v>
      </c>
      <c r="K936" s="59" t="s">
        <v>23</v>
      </c>
      <c r="L936" s="59" t="s">
        <v>23</v>
      </c>
      <c r="M936" s="47" t="s">
        <v>73</v>
      </c>
    </row>
    <row r="937" customHeight="1" spans="1:13">
      <c r="A937" s="47" t="s">
        <v>1873</v>
      </c>
      <c r="B937" s="47" t="s">
        <v>1867</v>
      </c>
      <c r="C937" s="47" t="s">
        <v>1874</v>
      </c>
      <c r="D937" s="47" t="s">
        <v>16</v>
      </c>
      <c r="E937" s="47" t="s">
        <v>103</v>
      </c>
      <c r="F937" s="47" t="s">
        <v>37</v>
      </c>
      <c r="G937" s="47" t="s">
        <v>19</v>
      </c>
      <c r="H937" s="47" t="s">
        <v>77</v>
      </c>
      <c r="I937" s="47" t="s">
        <v>96</v>
      </c>
      <c r="J937" s="47" t="s">
        <v>32</v>
      </c>
      <c r="K937" s="59" t="s">
        <v>23</v>
      </c>
      <c r="L937" s="47" t="s">
        <v>65</v>
      </c>
      <c r="M937" s="47" t="s">
        <v>33</v>
      </c>
    </row>
    <row r="938" customHeight="1" spans="1:13">
      <c r="A938" s="47" t="s">
        <v>1875</v>
      </c>
      <c r="B938" s="47" t="s">
        <v>1864</v>
      </c>
      <c r="C938" s="47" t="s">
        <v>88</v>
      </c>
      <c r="D938" s="47" t="s">
        <v>107</v>
      </c>
      <c r="E938" s="47" t="s">
        <v>27</v>
      </c>
      <c r="F938" s="47" t="s">
        <v>28</v>
      </c>
      <c r="G938" s="47" t="s">
        <v>19</v>
      </c>
      <c r="H938" s="47" t="s">
        <v>30</v>
      </c>
      <c r="I938" s="59" t="s">
        <v>23</v>
      </c>
      <c r="J938" s="47" t="s">
        <v>22</v>
      </c>
      <c r="K938" s="59" t="s">
        <v>23</v>
      </c>
      <c r="L938" s="59" t="s">
        <v>23</v>
      </c>
      <c r="M938" s="47" t="s">
        <v>24</v>
      </c>
    </row>
    <row r="939" customHeight="1" spans="1:13">
      <c r="A939" s="47" t="s">
        <v>1876</v>
      </c>
      <c r="B939" s="47" t="s">
        <v>1877</v>
      </c>
      <c r="C939" s="47" t="s">
        <v>1878</v>
      </c>
      <c r="D939" s="47" t="s">
        <v>107</v>
      </c>
      <c r="E939" s="47" t="s">
        <v>36</v>
      </c>
      <c r="F939" s="47" t="s">
        <v>37</v>
      </c>
      <c r="G939" s="47" t="s">
        <v>38</v>
      </c>
      <c r="H939" s="47" t="s">
        <v>39</v>
      </c>
      <c r="I939" s="47" t="s">
        <v>39</v>
      </c>
      <c r="J939" s="47" t="s">
        <v>22</v>
      </c>
      <c r="K939" s="59" t="s">
        <v>23</v>
      </c>
      <c r="L939" s="47" t="s">
        <v>65</v>
      </c>
      <c r="M939" s="47" t="s">
        <v>157</v>
      </c>
    </row>
    <row r="940" customHeight="1" spans="1:13">
      <c r="A940" s="47" t="s">
        <v>1879</v>
      </c>
      <c r="B940" s="47" t="s">
        <v>1880</v>
      </c>
      <c r="C940" s="47" t="s">
        <v>1475</v>
      </c>
      <c r="D940" s="47" t="s">
        <v>16</v>
      </c>
      <c r="E940" s="47" t="s">
        <v>81</v>
      </c>
      <c r="F940" s="47" t="s">
        <v>37</v>
      </c>
      <c r="G940" s="47" t="s">
        <v>29</v>
      </c>
      <c r="H940" s="47" t="s">
        <v>82</v>
      </c>
      <c r="I940" s="47" t="s">
        <v>58</v>
      </c>
      <c r="J940" s="47" t="s">
        <v>753</v>
      </c>
      <c r="K940" s="59" t="s">
        <v>23</v>
      </c>
      <c r="L940" s="59" t="s">
        <v>23</v>
      </c>
      <c r="M940" s="47" t="s">
        <v>73</v>
      </c>
    </row>
    <row r="941" customHeight="1" spans="1:13">
      <c r="A941" s="47" t="s">
        <v>1881</v>
      </c>
      <c r="B941" s="47" t="s">
        <v>1880</v>
      </c>
      <c r="C941" s="47" t="s">
        <v>480</v>
      </c>
      <c r="D941" s="47" t="s">
        <v>16</v>
      </c>
      <c r="E941" s="47" t="s">
        <v>44</v>
      </c>
      <c r="F941" s="59" t="s">
        <v>23</v>
      </c>
      <c r="G941" s="47" t="s">
        <v>38</v>
      </c>
      <c r="H941" s="47" t="s">
        <v>46</v>
      </c>
      <c r="I941" s="47" t="s">
        <v>46</v>
      </c>
      <c r="J941" s="47" t="s">
        <v>22</v>
      </c>
      <c r="K941" s="59" t="s">
        <v>23</v>
      </c>
      <c r="L941" s="59" t="s">
        <v>23</v>
      </c>
      <c r="M941" s="47" t="s">
        <v>47</v>
      </c>
    </row>
    <row r="942" customHeight="1" spans="1:13">
      <c r="A942" s="47" t="s">
        <v>1881</v>
      </c>
      <c r="B942" s="47" t="s">
        <v>1880</v>
      </c>
      <c r="C942" s="47" t="s">
        <v>480</v>
      </c>
      <c r="D942" s="47" t="s">
        <v>16</v>
      </c>
      <c r="E942" s="47" t="s">
        <v>44</v>
      </c>
      <c r="F942" s="47" t="s">
        <v>45</v>
      </c>
      <c r="G942" s="47" t="s">
        <v>38</v>
      </c>
      <c r="H942" s="47" t="s">
        <v>46</v>
      </c>
      <c r="I942" s="47" t="s">
        <v>46</v>
      </c>
      <c r="J942" s="47" t="s">
        <v>22</v>
      </c>
      <c r="K942" s="59" t="s">
        <v>23</v>
      </c>
      <c r="L942" s="59" t="s">
        <v>23</v>
      </c>
      <c r="M942" s="47" t="s">
        <v>47</v>
      </c>
    </row>
    <row r="943" customHeight="1" spans="1:13">
      <c r="A943" s="47" t="s">
        <v>1882</v>
      </c>
      <c r="B943" s="47" t="s">
        <v>1880</v>
      </c>
      <c r="C943" s="47" t="s">
        <v>721</v>
      </c>
      <c r="D943" s="47" t="s">
        <v>43</v>
      </c>
      <c r="E943" s="47" t="s">
        <v>1082</v>
      </c>
      <c r="F943" s="47" t="s">
        <v>28</v>
      </c>
      <c r="G943" s="47" t="s">
        <v>38</v>
      </c>
      <c r="H943" s="47" t="s">
        <v>30</v>
      </c>
      <c r="I943" s="47" t="s">
        <v>30</v>
      </c>
      <c r="J943" s="47" t="s">
        <v>485</v>
      </c>
      <c r="K943" s="59" t="s">
        <v>23</v>
      </c>
      <c r="L943" s="59" t="s">
        <v>23</v>
      </c>
      <c r="M943" s="47" t="s">
        <v>33</v>
      </c>
    </row>
    <row r="944" customHeight="1" spans="1:13">
      <c r="A944" s="47" t="s">
        <v>1882</v>
      </c>
      <c r="B944" s="47" t="s">
        <v>1877</v>
      </c>
      <c r="C944" s="47" t="s">
        <v>721</v>
      </c>
      <c r="D944" s="47" t="s">
        <v>43</v>
      </c>
      <c r="E944" s="47" t="s">
        <v>27</v>
      </c>
      <c r="F944" s="47" t="s">
        <v>28</v>
      </c>
      <c r="G944" s="47" t="s">
        <v>38</v>
      </c>
      <c r="H944" s="47" t="s">
        <v>30</v>
      </c>
      <c r="I944" s="47" t="s">
        <v>30</v>
      </c>
      <c r="J944" s="47" t="s">
        <v>32</v>
      </c>
      <c r="K944" s="59" t="s">
        <v>23</v>
      </c>
      <c r="L944" s="59" t="s">
        <v>23</v>
      </c>
      <c r="M944" s="47" t="s">
        <v>33</v>
      </c>
    </row>
    <row r="945" customHeight="1" spans="1:13">
      <c r="A945" s="47" t="s">
        <v>1883</v>
      </c>
      <c r="B945" s="47" t="s">
        <v>1880</v>
      </c>
      <c r="C945" s="47" t="s">
        <v>804</v>
      </c>
      <c r="D945" s="47" t="s">
        <v>16</v>
      </c>
      <c r="E945" s="47" t="s">
        <v>103</v>
      </c>
      <c r="F945" s="47" t="s">
        <v>37</v>
      </c>
      <c r="G945" s="47" t="s">
        <v>19</v>
      </c>
      <c r="H945" s="47" t="s">
        <v>77</v>
      </c>
      <c r="I945" s="47" t="s">
        <v>96</v>
      </c>
      <c r="J945" s="47" t="s">
        <v>32</v>
      </c>
      <c r="K945" s="59" t="s">
        <v>23</v>
      </c>
      <c r="L945" s="59" t="s">
        <v>23</v>
      </c>
      <c r="M945" s="47" t="s">
        <v>47</v>
      </c>
    </row>
    <row r="946" customHeight="1" spans="1:13">
      <c r="A946" s="47" t="s">
        <v>1884</v>
      </c>
      <c r="B946" s="47" t="s">
        <v>1880</v>
      </c>
      <c r="C946" s="47" t="s">
        <v>346</v>
      </c>
      <c r="D946" s="47" t="s">
        <v>854</v>
      </c>
      <c r="E946" s="47" t="s">
        <v>17</v>
      </c>
      <c r="F946" s="47" t="s">
        <v>18</v>
      </c>
      <c r="G946" s="47" t="s">
        <v>19</v>
      </c>
      <c r="H946" s="47" t="s">
        <v>20</v>
      </c>
      <c r="I946" s="47" t="s">
        <v>742</v>
      </c>
      <c r="J946" s="47" t="s">
        <v>22</v>
      </c>
      <c r="K946" s="47" t="s">
        <v>53</v>
      </c>
      <c r="L946" s="59" t="s">
        <v>23</v>
      </c>
      <c r="M946" s="47" t="s">
        <v>24</v>
      </c>
    </row>
    <row r="947" customHeight="1" spans="1:13">
      <c r="A947" s="47" t="s">
        <v>1885</v>
      </c>
      <c r="B947" s="47" t="s">
        <v>1880</v>
      </c>
      <c r="C947" s="47" t="s">
        <v>1453</v>
      </c>
      <c r="D947" s="47" t="s">
        <v>43</v>
      </c>
      <c r="E947" s="47" t="s">
        <v>17</v>
      </c>
      <c r="F947" s="47" t="s">
        <v>18</v>
      </c>
      <c r="G947" s="47" t="s">
        <v>38</v>
      </c>
      <c r="H947" s="47" t="s">
        <v>20</v>
      </c>
      <c r="I947" s="47" t="s">
        <v>20</v>
      </c>
      <c r="J947" s="47" t="s">
        <v>32</v>
      </c>
      <c r="K947" s="59" t="s">
        <v>23</v>
      </c>
      <c r="L947" s="47" t="s">
        <v>65</v>
      </c>
      <c r="M947" s="47" t="s">
        <v>24</v>
      </c>
    </row>
    <row r="948" customHeight="1" spans="1:13">
      <c r="A948" s="47" t="s">
        <v>1886</v>
      </c>
      <c r="B948" s="47" t="s">
        <v>1887</v>
      </c>
      <c r="C948" s="47" t="s">
        <v>717</v>
      </c>
      <c r="D948" s="47" t="s">
        <v>107</v>
      </c>
      <c r="E948" s="47" t="s">
        <v>81</v>
      </c>
      <c r="F948" s="47" t="s">
        <v>37</v>
      </c>
      <c r="G948" s="47" t="s">
        <v>38</v>
      </c>
      <c r="H948" s="59" t="s">
        <v>23</v>
      </c>
      <c r="I948" s="47" t="s">
        <v>82</v>
      </c>
      <c r="J948" s="47" t="s">
        <v>32</v>
      </c>
      <c r="K948" s="59" t="s">
        <v>23</v>
      </c>
      <c r="L948" s="47" t="s">
        <v>29</v>
      </c>
      <c r="M948" s="47" t="s">
        <v>47</v>
      </c>
    </row>
    <row r="949" customHeight="1" spans="1:13">
      <c r="A949" s="47" t="s">
        <v>1888</v>
      </c>
      <c r="B949" s="47" t="s">
        <v>1887</v>
      </c>
      <c r="C949" s="47" t="s">
        <v>1889</v>
      </c>
      <c r="D949" s="47" t="s">
        <v>16</v>
      </c>
      <c r="E949" s="47" t="s">
        <v>95</v>
      </c>
      <c r="F949" s="47" t="s">
        <v>45</v>
      </c>
      <c r="G949" s="47" t="s">
        <v>38</v>
      </c>
      <c r="H949" s="47" t="s">
        <v>77</v>
      </c>
      <c r="I949" s="47" t="s">
        <v>77</v>
      </c>
      <c r="J949" s="47" t="s">
        <v>22</v>
      </c>
      <c r="K949" s="59" t="s">
        <v>23</v>
      </c>
      <c r="L949" s="47" t="s">
        <v>65</v>
      </c>
      <c r="M949" s="47" t="s">
        <v>33</v>
      </c>
    </row>
    <row r="950" customHeight="1" spans="1:13">
      <c r="A950" s="47" t="s">
        <v>1890</v>
      </c>
      <c r="B950" s="47" t="s">
        <v>1891</v>
      </c>
      <c r="C950" s="47" t="s">
        <v>1892</v>
      </c>
      <c r="D950" s="47" t="s">
        <v>16</v>
      </c>
      <c r="E950" s="47" t="s">
        <v>199</v>
      </c>
      <c r="F950" s="47" t="s">
        <v>18</v>
      </c>
      <c r="G950" s="47" t="s">
        <v>38</v>
      </c>
      <c r="H950" s="47" t="s">
        <v>39</v>
      </c>
      <c r="I950" s="47" t="s">
        <v>39</v>
      </c>
      <c r="J950" s="47" t="s">
        <v>32</v>
      </c>
      <c r="K950" s="59" t="s">
        <v>23</v>
      </c>
      <c r="L950" s="47" t="s">
        <v>54</v>
      </c>
      <c r="M950" s="47" t="s">
        <v>33</v>
      </c>
    </row>
    <row r="951" customHeight="1" spans="1:13">
      <c r="A951" s="47" t="s">
        <v>1893</v>
      </c>
      <c r="B951" s="47" t="s">
        <v>1887</v>
      </c>
      <c r="C951" s="47" t="s">
        <v>183</v>
      </c>
      <c r="D951" s="47" t="s">
        <v>16</v>
      </c>
      <c r="E951" s="47" t="s">
        <v>57</v>
      </c>
      <c r="F951" s="47" t="s">
        <v>28</v>
      </c>
      <c r="G951" s="47" t="s">
        <v>38</v>
      </c>
      <c r="H951" s="47" t="s">
        <v>58</v>
      </c>
      <c r="I951" s="47" t="s">
        <v>58</v>
      </c>
      <c r="J951" s="47" t="s">
        <v>22</v>
      </c>
      <c r="K951" s="59" t="s">
        <v>23</v>
      </c>
      <c r="L951" s="59" t="s">
        <v>23</v>
      </c>
      <c r="M951" s="47" t="s">
        <v>574</v>
      </c>
    </row>
    <row r="952" customHeight="1" spans="1:13">
      <c r="A952" s="47" t="s">
        <v>1894</v>
      </c>
      <c r="B952" s="47" t="s">
        <v>1887</v>
      </c>
      <c r="C952" s="47" t="s">
        <v>1895</v>
      </c>
      <c r="D952" s="47" t="s">
        <v>107</v>
      </c>
      <c r="E952" s="47" t="s">
        <v>17</v>
      </c>
      <c r="F952" s="47" t="s">
        <v>18</v>
      </c>
      <c r="G952" s="47" t="s">
        <v>38</v>
      </c>
      <c r="H952" s="47" t="s">
        <v>662</v>
      </c>
      <c r="I952" s="47" t="s">
        <v>20</v>
      </c>
      <c r="J952" s="47" t="s">
        <v>32</v>
      </c>
      <c r="K952" s="59" t="s">
        <v>23</v>
      </c>
      <c r="L952" s="59" t="s">
        <v>23</v>
      </c>
      <c r="M952" s="47" t="s">
        <v>33</v>
      </c>
    </row>
    <row r="953" customHeight="1" spans="1:13">
      <c r="A953" s="47" t="s">
        <v>1896</v>
      </c>
      <c r="B953" s="47" t="s">
        <v>1887</v>
      </c>
      <c r="C953" s="47" t="s">
        <v>271</v>
      </c>
      <c r="D953" s="47" t="s">
        <v>16</v>
      </c>
      <c r="E953" s="47" t="s">
        <v>17</v>
      </c>
      <c r="F953" s="47" t="s">
        <v>18</v>
      </c>
      <c r="G953" s="47" t="s">
        <v>19</v>
      </c>
      <c r="H953" s="47" t="s">
        <v>20</v>
      </c>
      <c r="I953" s="59" t="s">
        <v>23</v>
      </c>
      <c r="J953" s="47" t="s">
        <v>22</v>
      </c>
      <c r="K953" s="59" t="s">
        <v>23</v>
      </c>
      <c r="L953" s="59" t="s">
        <v>23</v>
      </c>
      <c r="M953" s="47" t="s">
        <v>24</v>
      </c>
    </row>
    <row r="954" customHeight="1" spans="1:13">
      <c r="A954" s="47" t="s">
        <v>1897</v>
      </c>
      <c r="B954" s="47" t="s">
        <v>1887</v>
      </c>
      <c r="C954" s="47" t="s">
        <v>879</v>
      </c>
      <c r="D954" s="47" t="s">
        <v>43</v>
      </c>
      <c r="E954" s="47" t="s">
        <v>17</v>
      </c>
      <c r="F954" s="47" t="s">
        <v>18</v>
      </c>
      <c r="G954" s="47" t="s">
        <v>38</v>
      </c>
      <c r="H954" s="59" t="s">
        <v>23</v>
      </c>
      <c r="I954" s="47" t="s">
        <v>20</v>
      </c>
      <c r="J954" s="47" t="s">
        <v>22</v>
      </c>
      <c r="K954" s="59" t="s">
        <v>23</v>
      </c>
      <c r="L954" s="59" t="s">
        <v>23</v>
      </c>
      <c r="M954" s="47" t="s">
        <v>73</v>
      </c>
    </row>
    <row r="955" customHeight="1" spans="1:13">
      <c r="A955" s="47" t="s">
        <v>1898</v>
      </c>
      <c r="B955" s="47" t="s">
        <v>1887</v>
      </c>
      <c r="C955" s="47" t="s">
        <v>840</v>
      </c>
      <c r="D955" s="47" t="s">
        <v>16</v>
      </c>
      <c r="E955" s="47" t="s">
        <v>81</v>
      </c>
      <c r="F955" s="47" t="s">
        <v>37</v>
      </c>
      <c r="G955" s="47" t="s">
        <v>19</v>
      </c>
      <c r="H955" s="47" t="s">
        <v>82</v>
      </c>
      <c r="I955" s="47" t="s">
        <v>184</v>
      </c>
      <c r="J955" s="47" t="s">
        <v>32</v>
      </c>
      <c r="K955" s="59" t="s">
        <v>23</v>
      </c>
      <c r="L955" s="59" t="s">
        <v>23</v>
      </c>
      <c r="M955" s="47" t="s">
        <v>33</v>
      </c>
    </row>
    <row r="956" customHeight="1" spans="1:13">
      <c r="A956" s="47" t="s">
        <v>1899</v>
      </c>
      <c r="B956" s="47" t="s">
        <v>1887</v>
      </c>
      <c r="C956" s="47" t="s">
        <v>1900</v>
      </c>
      <c r="D956" s="47" t="s">
        <v>43</v>
      </c>
      <c r="E956" s="47" t="s">
        <v>27</v>
      </c>
      <c r="F956" s="47" t="s">
        <v>28</v>
      </c>
      <c r="G956" s="47" t="s">
        <v>19</v>
      </c>
      <c r="H956" s="47" t="s">
        <v>30</v>
      </c>
      <c r="I956" s="47" t="s">
        <v>258</v>
      </c>
      <c r="J956" s="47" t="s">
        <v>32</v>
      </c>
      <c r="K956" s="59" t="s">
        <v>23</v>
      </c>
      <c r="L956" s="47" t="s">
        <v>29</v>
      </c>
      <c r="M956" s="47" t="s">
        <v>24</v>
      </c>
    </row>
    <row r="957" customHeight="1" spans="1:13">
      <c r="A957" s="47" t="s">
        <v>1901</v>
      </c>
      <c r="B957" s="47" t="s">
        <v>1887</v>
      </c>
      <c r="C957" s="47" t="s">
        <v>1902</v>
      </c>
      <c r="D957" s="47" t="s">
        <v>16</v>
      </c>
      <c r="E957" s="47" t="s">
        <v>647</v>
      </c>
      <c r="F957" s="47" t="s">
        <v>45</v>
      </c>
      <c r="G957" s="47" t="s">
        <v>38</v>
      </c>
      <c r="H957" s="47" t="s">
        <v>227</v>
      </c>
      <c r="I957" s="47" t="s">
        <v>227</v>
      </c>
      <c r="J957" s="47" t="s">
        <v>22</v>
      </c>
      <c r="K957" s="59" t="s">
        <v>23</v>
      </c>
      <c r="L957" s="59" t="s">
        <v>23</v>
      </c>
      <c r="M957" s="47" t="s">
        <v>40</v>
      </c>
    </row>
    <row r="958" customHeight="1" spans="1:13">
      <c r="A958" s="47" t="s">
        <v>1903</v>
      </c>
      <c r="B958" s="47" t="s">
        <v>1904</v>
      </c>
      <c r="C958" s="47" t="s">
        <v>1905</v>
      </c>
      <c r="D958" s="47" t="s">
        <v>16</v>
      </c>
      <c r="E958" s="47" t="s">
        <v>17</v>
      </c>
      <c r="F958" s="47" t="s">
        <v>18</v>
      </c>
      <c r="G958" s="47" t="s">
        <v>19</v>
      </c>
      <c r="H958" s="47" t="s">
        <v>20</v>
      </c>
      <c r="I958" s="47" t="s">
        <v>21</v>
      </c>
      <c r="J958" s="47" t="s">
        <v>22</v>
      </c>
      <c r="K958" s="59" t="s">
        <v>23</v>
      </c>
      <c r="L958" s="59" t="s">
        <v>23</v>
      </c>
      <c r="M958" s="47" t="s">
        <v>24</v>
      </c>
    </row>
    <row r="959" customHeight="1" spans="1:13">
      <c r="A959" s="47" t="s">
        <v>1906</v>
      </c>
      <c r="B959" s="47" t="s">
        <v>1907</v>
      </c>
      <c r="C959" s="47" t="s">
        <v>1908</v>
      </c>
      <c r="D959" s="47" t="s">
        <v>16</v>
      </c>
      <c r="E959" s="47" t="s">
        <v>103</v>
      </c>
      <c r="F959" s="47" t="s">
        <v>37</v>
      </c>
      <c r="G959" s="47" t="s">
        <v>38</v>
      </c>
      <c r="H959" s="47" t="s">
        <v>104</v>
      </c>
      <c r="I959" s="47" t="s">
        <v>77</v>
      </c>
      <c r="J959" s="47" t="s">
        <v>22</v>
      </c>
      <c r="K959" s="59" t="s">
        <v>23</v>
      </c>
      <c r="L959" s="59" t="s">
        <v>23</v>
      </c>
      <c r="M959" s="47" t="s">
        <v>73</v>
      </c>
    </row>
    <row r="960" customHeight="1" spans="1:13">
      <c r="A960" s="47" t="s">
        <v>1909</v>
      </c>
      <c r="B960" s="47" t="s">
        <v>1907</v>
      </c>
      <c r="C960" s="47" t="s">
        <v>1389</v>
      </c>
      <c r="D960" s="47" t="s">
        <v>107</v>
      </c>
      <c r="E960" s="47" t="s">
        <v>1078</v>
      </c>
      <c r="F960" s="47" t="s">
        <v>18</v>
      </c>
      <c r="G960" s="47" t="s">
        <v>38</v>
      </c>
      <c r="H960" s="47" t="s">
        <v>64</v>
      </c>
      <c r="I960" s="47" t="s">
        <v>64</v>
      </c>
      <c r="J960" s="47" t="s">
        <v>22</v>
      </c>
      <c r="K960" s="59" t="s">
        <v>23</v>
      </c>
      <c r="L960" s="59" t="s">
        <v>23</v>
      </c>
      <c r="M960" s="47" t="s">
        <v>1066</v>
      </c>
    </row>
    <row r="961" customHeight="1" spans="1:13">
      <c r="A961" s="47" t="s">
        <v>1910</v>
      </c>
      <c r="B961" s="47" t="s">
        <v>1904</v>
      </c>
      <c r="C961" s="47" t="s">
        <v>92</v>
      </c>
      <c r="D961" s="47" t="s">
        <v>16</v>
      </c>
      <c r="E961" s="47" t="s">
        <v>50</v>
      </c>
      <c r="F961" s="47" t="s">
        <v>28</v>
      </c>
      <c r="G961" s="47" t="s">
        <v>19</v>
      </c>
      <c r="H961" s="47" t="s">
        <v>52</v>
      </c>
      <c r="I961" s="47" t="s">
        <v>425</v>
      </c>
      <c r="J961" s="47" t="s">
        <v>22</v>
      </c>
      <c r="K961" s="59" t="s">
        <v>23</v>
      </c>
      <c r="L961" s="59" t="s">
        <v>23</v>
      </c>
      <c r="M961" s="47" t="s">
        <v>47</v>
      </c>
    </row>
    <row r="962" customHeight="1" spans="1:13">
      <c r="A962" s="47" t="s">
        <v>1911</v>
      </c>
      <c r="B962" s="47" t="s">
        <v>1907</v>
      </c>
      <c r="C962" s="47" t="s">
        <v>986</v>
      </c>
      <c r="D962" s="47" t="s">
        <v>43</v>
      </c>
      <c r="E962" s="47" t="s">
        <v>17</v>
      </c>
      <c r="F962" s="47" t="s">
        <v>18</v>
      </c>
      <c r="G962" s="47" t="s">
        <v>38</v>
      </c>
      <c r="H962" s="47" t="s">
        <v>20</v>
      </c>
      <c r="I962" s="47" t="s">
        <v>20</v>
      </c>
      <c r="J962" s="47" t="s">
        <v>22</v>
      </c>
      <c r="K962" s="59" t="s">
        <v>23</v>
      </c>
      <c r="L962" s="59" t="s">
        <v>23</v>
      </c>
      <c r="M962" s="47" t="s">
        <v>40</v>
      </c>
    </row>
    <row r="963" customHeight="1" spans="1:13">
      <c r="A963" s="47" t="s">
        <v>1912</v>
      </c>
      <c r="B963" s="47" t="s">
        <v>1907</v>
      </c>
      <c r="C963" s="47" t="s">
        <v>1152</v>
      </c>
      <c r="D963" s="47" t="s">
        <v>16</v>
      </c>
      <c r="E963" s="47" t="s">
        <v>63</v>
      </c>
      <c r="F963" s="47" t="s">
        <v>18</v>
      </c>
      <c r="G963" s="47" t="s">
        <v>38</v>
      </c>
      <c r="H963" s="47" t="s">
        <v>64</v>
      </c>
      <c r="I963" s="47" t="s">
        <v>64</v>
      </c>
      <c r="J963" s="47" t="s">
        <v>22</v>
      </c>
      <c r="K963" s="59" t="s">
        <v>23</v>
      </c>
      <c r="L963" s="59" t="s">
        <v>23</v>
      </c>
      <c r="M963" s="47" t="s">
        <v>73</v>
      </c>
    </row>
    <row r="964" customHeight="1" spans="1:13">
      <c r="A964" s="47" t="s">
        <v>1913</v>
      </c>
      <c r="B964" s="47" t="s">
        <v>1907</v>
      </c>
      <c r="C964" s="47" t="s">
        <v>1914</v>
      </c>
      <c r="D964" s="47" t="s">
        <v>107</v>
      </c>
      <c r="E964" s="47" t="s">
        <v>103</v>
      </c>
      <c r="F964" s="47" t="s">
        <v>37</v>
      </c>
      <c r="G964" s="47" t="s">
        <v>38</v>
      </c>
      <c r="H964" s="59" t="s">
        <v>23</v>
      </c>
      <c r="I964" s="47" t="s">
        <v>227</v>
      </c>
      <c r="J964" s="47" t="s">
        <v>22</v>
      </c>
      <c r="K964" s="47" t="s">
        <v>53</v>
      </c>
      <c r="L964" s="59" t="s">
        <v>23</v>
      </c>
      <c r="M964" s="47" t="s">
        <v>24</v>
      </c>
    </row>
    <row r="965" customHeight="1" spans="1:13">
      <c r="A965" s="47" t="s">
        <v>1915</v>
      </c>
      <c r="B965" s="47" t="s">
        <v>1907</v>
      </c>
      <c r="C965" s="47" t="s">
        <v>354</v>
      </c>
      <c r="D965" s="47" t="s">
        <v>43</v>
      </c>
      <c r="E965" s="47" t="s">
        <v>63</v>
      </c>
      <c r="F965" s="47" t="s">
        <v>514</v>
      </c>
      <c r="G965" s="47" t="s">
        <v>38</v>
      </c>
      <c r="H965" s="47" t="s">
        <v>64</v>
      </c>
      <c r="I965" s="47" t="s">
        <v>64</v>
      </c>
      <c r="J965" s="47" t="s">
        <v>32</v>
      </c>
      <c r="K965" s="59" t="s">
        <v>23</v>
      </c>
      <c r="L965" s="47" t="s">
        <v>29</v>
      </c>
      <c r="M965" s="47" t="s">
        <v>33</v>
      </c>
    </row>
    <row r="966" customHeight="1" spans="1:13">
      <c r="A966" s="47" t="s">
        <v>1916</v>
      </c>
      <c r="B966" s="47" t="s">
        <v>1917</v>
      </c>
      <c r="C966" s="47" t="s">
        <v>1641</v>
      </c>
      <c r="D966" s="47" t="s">
        <v>43</v>
      </c>
      <c r="E966" s="47" t="s">
        <v>50</v>
      </c>
      <c r="F966" s="47" t="s">
        <v>28</v>
      </c>
      <c r="G966" s="47" t="s">
        <v>19</v>
      </c>
      <c r="H966" s="47" t="s">
        <v>52</v>
      </c>
      <c r="I966" s="47" t="s">
        <v>425</v>
      </c>
      <c r="J966" s="47" t="s">
        <v>22</v>
      </c>
      <c r="K966" s="59" t="s">
        <v>23</v>
      </c>
      <c r="L966" s="59" t="s">
        <v>23</v>
      </c>
      <c r="M966" s="47" t="s">
        <v>40</v>
      </c>
    </row>
    <row r="967" customHeight="1" spans="1:13">
      <c r="A967" s="47" t="s">
        <v>1918</v>
      </c>
      <c r="B967" s="47" t="s">
        <v>1907</v>
      </c>
      <c r="C967" s="47" t="s">
        <v>1774</v>
      </c>
      <c r="D967" s="47" t="s">
        <v>107</v>
      </c>
      <c r="E967" s="47" t="s">
        <v>103</v>
      </c>
      <c r="F967" s="47" t="s">
        <v>37</v>
      </c>
      <c r="G967" s="47" t="s">
        <v>38</v>
      </c>
      <c r="H967" s="47" t="s">
        <v>77</v>
      </c>
      <c r="I967" s="47" t="s">
        <v>77</v>
      </c>
      <c r="J967" s="47" t="s">
        <v>22</v>
      </c>
      <c r="K967" s="59" t="s">
        <v>23</v>
      </c>
      <c r="L967" s="47" t="s">
        <v>54</v>
      </c>
      <c r="M967" s="47" t="s">
        <v>33</v>
      </c>
    </row>
    <row r="968" customHeight="1" spans="1:13">
      <c r="A968" s="47" t="s">
        <v>1919</v>
      </c>
      <c r="B968" s="47" t="s">
        <v>1920</v>
      </c>
      <c r="C968" s="47" t="s">
        <v>757</v>
      </c>
      <c r="D968" s="47" t="s">
        <v>43</v>
      </c>
      <c r="E968" s="47" t="s">
        <v>50</v>
      </c>
      <c r="F968" s="47" t="s">
        <v>28</v>
      </c>
      <c r="G968" s="47" t="s">
        <v>38</v>
      </c>
      <c r="H968" s="47" t="s">
        <v>52</v>
      </c>
      <c r="I968" s="47" t="s">
        <v>52</v>
      </c>
      <c r="J968" s="47" t="s">
        <v>22</v>
      </c>
      <c r="K968" s="59" t="s">
        <v>23</v>
      </c>
      <c r="L968" s="59" t="s">
        <v>23</v>
      </c>
      <c r="M968" s="47" t="s">
        <v>33</v>
      </c>
    </row>
    <row r="969" customHeight="1" spans="1:13">
      <c r="A969" s="47" t="s">
        <v>1921</v>
      </c>
      <c r="B969" s="47" t="s">
        <v>1922</v>
      </c>
      <c r="C969" s="47" t="s">
        <v>1216</v>
      </c>
      <c r="D969" s="47" t="s">
        <v>16</v>
      </c>
      <c r="E969" s="47" t="s">
        <v>36</v>
      </c>
      <c r="F969" s="47" t="s">
        <v>37</v>
      </c>
      <c r="G969" s="47" t="s">
        <v>38</v>
      </c>
      <c r="H969" s="47" t="s">
        <v>39</v>
      </c>
      <c r="I969" s="47" t="s">
        <v>39</v>
      </c>
      <c r="J969" s="47" t="s">
        <v>32</v>
      </c>
      <c r="K969" s="59" t="s">
        <v>23</v>
      </c>
      <c r="L969" s="59" t="s">
        <v>23</v>
      </c>
      <c r="M969" s="47" t="s">
        <v>181</v>
      </c>
    </row>
    <row r="970" customHeight="1" spans="1:13">
      <c r="A970" s="47" t="s">
        <v>1923</v>
      </c>
      <c r="B970" s="47" t="s">
        <v>1924</v>
      </c>
      <c r="C970" s="47" t="s">
        <v>26</v>
      </c>
      <c r="D970" s="47" t="s">
        <v>107</v>
      </c>
      <c r="E970" s="47" t="s">
        <v>161</v>
      </c>
      <c r="F970" s="47" t="s">
        <v>18</v>
      </c>
      <c r="G970" s="47" t="s">
        <v>38</v>
      </c>
      <c r="H970" s="47" t="s">
        <v>64</v>
      </c>
      <c r="I970" s="47" t="s">
        <v>64</v>
      </c>
      <c r="J970" s="47" t="s">
        <v>32</v>
      </c>
      <c r="K970" s="59" t="s">
        <v>23</v>
      </c>
      <c r="L970" s="59" t="s">
        <v>23</v>
      </c>
      <c r="M970" s="47" t="s">
        <v>33</v>
      </c>
    </row>
    <row r="971" customHeight="1" spans="1:13">
      <c r="A971" s="47" t="s">
        <v>1925</v>
      </c>
      <c r="B971" s="47" t="s">
        <v>1922</v>
      </c>
      <c r="C971" s="47" t="s">
        <v>70</v>
      </c>
      <c r="D971" s="47" t="s">
        <v>1275</v>
      </c>
      <c r="E971" s="47" t="s">
        <v>103</v>
      </c>
      <c r="F971" s="47" t="s">
        <v>1286</v>
      </c>
      <c r="G971" s="47" t="s">
        <v>38</v>
      </c>
      <c r="H971" s="47" t="s">
        <v>77</v>
      </c>
      <c r="I971" s="47" t="s">
        <v>77</v>
      </c>
      <c r="J971" s="47" t="s">
        <v>22</v>
      </c>
      <c r="K971" s="59" t="s">
        <v>23</v>
      </c>
      <c r="L971" s="47" t="s">
        <v>65</v>
      </c>
      <c r="M971" s="47" t="s">
        <v>47</v>
      </c>
    </row>
    <row r="972" customHeight="1" spans="1:13">
      <c r="A972" s="47" t="s">
        <v>1926</v>
      </c>
      <c r="B972" s="47" t="s">
        <v>1922</v>
      </c>
      <c r="C972" s="47" t="s">
        <v>250</v>
      </c>
      <c r="D972" s="47" t="s">
        <v>16</v>
      </c>
      <c r="E972" s="47" t="s">
        <v>17</v>
      </c>
      <c r="F972" s="47" t="s">
        <v>18</v>
      </c>
      <c r="G972" s="47" t="s">
        <v>38</v>
      </c>
      <c r="H972" s="47" t="s">
        <v>20</v>
      </c>
      <c r="I972" s="47" t="s">
        <v>20</v>
      </c>
      <c r="J972" s="47" t="s">
        <v>715</v>
      </c>
      <c r="K972" s="59" t="s">
        <v>23</v>
      </c>
      <c r="L972" s="59" t="s">
        <v>23</v>
      </c>
      <c r="M972" s="47" t="s">
        <v>40</v>
      </c>
    </row>
    <row r="973" customHeight="1" spans="1:13">
      <c r="A973" s="47" t="s">
        <v>1927</v>
      </c>
      <c r="B973" s="47" t="s">
        <v>1924</v>
      </c>
      <c r="C973" s="47" t="s">
        <v>1809</v>
      </c>
      <c r="D973" s="47" t="s">
        <v>43</v>
      </c>
      <c r="E973" s="47" t="s">
        <v>57</v>
      </c>
      <c r="F973" s="47" t="s">
        <v>28</v>
      </c>
      <c r="G973" s="47" t="s">
        <v>29</v>
      </c>
      <c r="H973" s="47" t="s">
        <v>58</v>
      </c>
      <c r="I973" s="47" t="s">
        <v>1928</v>
      </c>
      <c r="J973" s="47" t="s">
        <v>22</v>
      </c>
      <c r="K973" s="47" t="s">
        <v>53</v>
      </c>
      <c r="L973" s="47" t="s">
        <v>65</v>
      </c>
      <c r="M973" s="47" t="s">
        <v>33</v>
      </c>
    </row>
    <row r="974" customHeight="1" spans="1:13">
      <c r="A974" s="47" t="s">
        <v>1929</v>
      </c>
      <c r="B974" s="47" t="s">
        <v>1922</v>
      </c>
      <c r="C974" s="47" t="s">
        <v>354</v>
      </c>
      <c r="D974" s="47" t="s">
        <v>213</v>
      </c>
      <c r="E974" s="47" t="s">
        <v>600</v>
      </c>
      <c r="F974" s="47" t="s">
        <v>109</v>
      </c>
      <c r="G974" s="47" t="s">
        <v>38</v>
      </c>
      <c r="H974" s="47" t="s">
        <v>110</v>
      </c>
      <c r="I974" s="47" t="s">
        <v>110</v>
      </c>
      <c r="J974" s="47" t="s">
        <v>22</v>
      </c>
      <c r="K974" s="59" t="s">
        <v>23</v>
      </c>
      <c r="L974" s="59" t="s">
        <v>23</v>
      </c>
      <c r="M974" s="47" t="s">
        <v>47</v>
      </c>
    </row>
    <row r="975" customHeight="1" spans="1:13">
      <c r="A975" s="47" t="s">
        <v>1930</v>
      </c>
      <c r="B975" s="47" t="s">
        <v>1931</v>
      </c>
      <c r="C975" s="47" t="s">
        <v>1120</v>
      </c>
      <c r="D975" s="47" t="s">
        <v>16</v>
      </c>
      <c r="E975" s="47" t="s">
        <v>1385</v>
      </c>
      <c r="F975" s="47" t="s">
        <v>28</v>
      </c>
      <c r="G975" s="47" t="s">
        <v>38</v>
      </c>
      <c r="H975" s="47" t="s">
        <v>147</v>
      </c>
      <c r="I975" s="47" t="s">
        <v>147</v>
      </c>
      <c r="J975" s="47" t="s">
        <v>32</v>
      </c>
      <c r="K975" s="59" t="s">
        <v>23</v>
      </c>
      <c r="L975" s="47" t="s">
        <v>54</v>
      </c>
      <c r="M975" s="47" t="s">
        <v>33</v>
      </c>
    </row>
    <row r="976" customHeight="1" spans="1:13">
      <c r="A976" s="47" t="s">
        <v>1932</v>
      </c>
      <c r="B976" s="47" t="s">
        <v>1933</v>
      </c>
      <c r="C976" s="47" t="s">
        <v>1934</v>
      </c>
      <c r="D976" s="47" t="s">
        <v>16</v>
      </c>
      <c r="E976" s="47" t="s">
        <v>57</v>
      </c>
      <c r="F976" s="47" t="s">
        <v>28</v>
      </c>
      <c r="G976" s="47" t="s">
        <v>19</v>
      </c>
      <c r="H976" s="47" t="s">
        <v>58</v>
      </c>
      <c r="I976" s="47" t="s">
        <v>140</v>
      </c>
      <c r="J976" s="47" t="s">
        <v>32</v>
      </c>
      <c r="K976" s="59" t="s">
        <v>23</v>
      </c>
      <c r="L976" s="47" t="s">
        <v>65</v>
      </c>
      <c r="M976" s="47" t="s">
        <v>99</v>
      </c>
    </row>
    <row r="977" customHeight="1" spans="1:13">
      <c r="A977" s="47" t="s">
        <v>1935</v>
      </c>
      <c r="B977" s="47" t="s">
        <v>1931</v>
      </c>
      <c r="C977" s="47" t="s">
        <v>139</v>
      </c>
      <c r="D977" s="47" t="s">
        <v>107</v>
      </c>
      <c r="E977" s="47" t="s">
        <v>36</v>
      </c>
      <c r="F977" s="47" t="s">
        <v>37</v>
      </c>
      <c r="G977" s="47" t="s">
        <v>38</v>
      </c>
      <c r="H977" s="47" t="s">
        <v>39</v>
      </c>
      <c r="I977" s="59" t="s">
        <v>23</v>
      </c>
      <c r="J977" s="47" t="s">
        <v>22</v>
      </c>
      <c r="K977" s="59" t="s">
        <v>23</v>
      </c>
      <c r="L977" s="47" t="s">
        <v>65</v>
      </c>
      <c r="M977" s="47" t="s">
        <v>24</v>
      </c>
    </row>
    <row r="978" customHeight="1" spans="1:13">
      <c r="A978" s="47" t="s">
        <v>1936</v>
      </c>
      <c r="B978" s="47" t="s">
        <v>1931</v>
      </c>
      <c r="C978" s="47" t="s">
        <v>273</v>
      </c>
      <c r="D978" s="47" t="s">
        <v>43</v>
      </c>
      <c r="E978" s="47" t="s">
        <v>217</v>
      </c>
      <c r="F978" s="47" t="s">
        <v>28</v>
      </c>
      <c r="G978" s="47" t="s">
        <v>38</v>
      </c>
      <c r="H978" s="47" t="s">
        <v>147</v>
      </c>
      <c r="I978" s="47" t="s">
        <v>1937</v>
      </c>
      <c r="J978" s="47" t="s">
        <v>22</v>
      </c>
      <c r="K978" s="47" t="s">
        <v>119</v>
      </c>
      <c r="L978" s="47" t="s">
        <v>29</v>
      </c>
      <c r="M978" s="47" t="s">
        <v>181</v>
      </c>
    </row>
    <row r="979" customHeight="1" spans="1:13">
      <c r="A979" s="47" t="s">
        <v>1938</v>
      </c>
      <c r="B979" s="47" t="s">
        <v>1931</v>
      </c>
      <c r="C979" s="47" t="s">
        <v>1011</v>
      </c>
      <c r="D979" s="47" t="s">
        <v>43</v>
      </c>
      <c r="E979" s="47" t="s">
        <v>103</v>
      </c>
      <c r="F979" s="47" t="s">
        <v>37</v>
      </c>
      <c r="G979" s="47" t="s">
        <v>38</v>
      </c>
      <c r="H979" s="47" t="s">
        <v>77</v>
      </c>
      <c r="I979" s="47" t="s">
        <v>77</v>
      </c>
      <c r="J979" s="47" t="s">
        <v>22</v>
      </c>
      <c r="K979" s="59" t="s">
        <v>23</v>
      </c>
      <c r="L979" s="59" t="s">
        <v>23</v>
      </c>
      <c r="M979" s="47" t="s">
        <v>24</v>
      </c>
    </row>
    <row r="980" customHeight="1" spans="1:13">
      <c r="A980" s="47" t="s">
        <v>1939</v>
      </c>
      <c r="B980" s="47" t="s">
        <v>1940</v>
      </c>
      <c r="C980" s="47" t="s">
        <v>1366</v>
      </c>
      <c r="D980" s="47" t="s">
        <v>16</v>
      </c>
      <c r="E980" s="47" t="s">
        <v>103</v>
      </c>
      <c r="F980" s="47" t="s">
        <v>37</v>
      </c>
      <c r="G980" s="47" t="s">
        <v>38</v>
      </c>
      <c r="H980" s="47" t="s">
        <v>77</v>
      </c>
      <c r="I980" s="47" t="s">
        <v>77</v>
      </c>
      <c r="J980" s="47" t="s">
        <v>22</v>
      </c>
      <c r="K980" s="59" t="s">
        <v>23</v>
      </c>
      <c r="L980" s="59" t="s">
        <v>23</v>
      </c>
      <c r="M980" s="47" t="s">
        <v>73</v>
      </c>
    </row>
    <row r="981" customHeight="1" spans="1:13">
      <c r="A981" s="47" t="s">
        <v>1941</v>
      </c>
      <c r="B981" s="47" t="s">
        <v>1940</v>
      </c>
      <c r="C981" s="47" t="s">
        <v>1942</v>
      </c>
      <c r="D981" s="47" t="s">
        <v>234</v>
      </c>
      <c r="E981" s="47" t="s">
        <v>103</v>
      </c>
      <c r="F981" s="47" t="s">
        <v>37</v>
      </c>
      <c r="G981" s="47" t="s">
        <v>38</v>
      </c>
      <c r="H981" s="47" t="s">
        <v>77</v>
      </c>
      <c r="I981" s="47" t="s">
        <v>77</v>
      </c>
      <c r="J981" s="47" t="s">
        <v>32</v>
      </c>
      <c r="K981" s="59" t="s">
        <v>23</v>
      </c>
      <c r="L981" s="47" t="s">
        <v>65</v>
      </c>
      <c r="M981" s="47" t="s">
        <v>40</v>
      </c>
    </row>
    <row r="982" customHeight="1" spans="1:13">
      <c r="A982" s="47" t="s">
        <v>1943</v>
      </c>
      <c r="B982" s="47" t="s">
        <v>1944</v>
      </c>
      <c r="C982" s="47" t="s">
        <v>300</v>
      </c>
      <c r="D982" s="47" t="s">
        <v>107</v>
      </c>
      <c r="E982" s="47" t="s">
        <v>95</v>
      </c>
      <c r="F982" s="47" t="s">
        <v>45</v>
      </c>
      <c r="G982" s="47" t="s">
        <v>38</v>
      </c>
      <c r="H982" s="47" t="s">
        <v>77</v>
      </c>
      <c r="I982" s="47" t="s">
        <v>77</v>
      </c>
      <c r="J982" s="47" t="s">
        <v>32</v>
      </c>
      <c r="K982" s="59" t="s">
        <v>23</v>
      </c>
      <c r="L982" s="59" t="s">
        <v>23</v>
      </c>
      <c r="M982" s="47" t="s">
        <v>33</v>
      </c>
    </row>
    <row r="983" customHeight="1" spans="1:13">
      <c r="A983" s="47" t="s">
        <v>1945</v>
      </c>
      <c r="B983" s="47" t="s">
        <v>1944</v>
      </c>
      <c r="C983" s="47" t="s">
        <v>1363</v>
      </c>
      <c r="D983" s="47" t="s">
        <v>16</v>
      </c>
      <c r="E983" s="47" t="s">
        <v>199</v>
      </c>
      <c r="F983" s="47" t="s">
        <v>18</v>
      </c>
      <c r="G983" s="47" t="s">
        <v>38</v>
      </c>
      <c r="H983" s="47" t="s">
        <v>39</v>
      </c>
      <c r="I983" s="47" t="s">
        <v>987</v>
      </c>
      <c r="J983" s="47" t="s">
        <v>22</v>
      </c>
      <c r="K983" s="47" t="s">
        <v>119</v>
      </c>
      <c r="L983" s="59" t="s">
        <v>23</v>
      </c>
      <c r="M983" s="47" t="s">
        <v>40</v>
      </c>
    </row>
    <row r="984" customHeight="1" spans="1:13">
      <c r="A984" s="47" t="s">
        <v>1946</v>
      </c>
      <c r="B984" s="47" t="s">
        <v>1944</v>
      </c>
      <c r="C984" s="47" t="s">
        <v>1947</v>
      </c>
      <c r="D984" s="47" t="s">
        <v>16</v>
      </c>
      <c r="E984" s="47" t="s">
        <v>95</v>
      </c>
      <c r="F984" s="47" t="s">
        <v>45</v>
      </c>
      <c r="G984" s="47" t="s">
        <v>38</v>
      </c>
      <c r="H984" s="47" t="s">
        <v>77</v>
      </c>
      <c r="I984" s="47" t="s">
        <v>77</v>
      </c>
      <c r="J984" s="47" t="s">
        <v>68</v>
      </c>
      <c r="K984" s="59" t="s">
        <v>23</v>
      </c>
      <c r="L984" s="47" t="s">
        <v>65</v>
      </c>
      <c r="M984" s="47" t="s">
        <v>73</v>
      </c>
    </row>
    <row r="985" customHeight="1" spans="1:13">
      <c r="A985" s="47" t="s">
        <v>1948</v>
      </c>
      <c r="B985" s="47" t="s">
        <v>1944</v>
      </c>
      <c r="C985" s="47" t="s">
        <v>991</v>
      </c>
      <c r="D985" s="47" t="s">
        <v>107</v>
      </c>
      <c r="E985" s="47" t="s">
        <v>367</v>
      </c>
      <c r="F985" s="59" t="s">
        <v>23</v>
      </c>
      <c r="G985" s="47" t="s">
        <v>38</v>
      </c>
      <c r="H985" s="47" t="s">
        <v>110</v>
      </c>
      <c r="I985" s="47" t="s">
        <v>110</v>
      </c>
      <c r="J985" s="47" t="s">
        <v>68</v>
      </c>
      <c r="K985" s="59" t="s">
        <v>23</v>
      </c>
      <c r="L985" s="59" t="s">
        <v>23</v>
      </c>
      <c r="M985" s="47" t="s">
        <v>24</v>
      </c>
    </row>
    <row r="986" customHeight="1" spans="1:13">
      <c r="A986" s="47" t="s">
        <v>1949</v>
      </c>
      <c r="B986" s="47" t="s">
        <v>1944</v>
      </c>
      <c r="C986" s="47" t="s">
        <v>42</v>
      </c>
      <c r="D986" s="47" t="s">
        <v>107</v>
      </c>
      <c r="E986" s="47" t="s">
        <v>44</v>
      </c>
      <c r="F986" s="47" t="s">
        <v>45</v>
      </c>
      <c r="G986" s="47" t="s">
        <v>38</v>
      </c>
      <c r="H986" s="47" t="s">
        <v>46</v>
      </c>
      <c r="I986" s="47" t="s">
        <v>46</v>
      </c>
      <c r="J986" s="47" t="s">
        <v>127</v>
      </c>
      <c r="K986" s="59" t="s">
        <v>23</v>
      </c>
      <c r="L986" s="47" t="s">
        <v>54</v>
      </c>
      <c r="M986" s="47" t="s">
        <v>47</v>
      </c>
    </row>
    <row r="987" customHeight="1" spans="1:13">
      <c r="A987" s="47" t="s">
        <v>1950</v>
      </c>
      <c r="B987" s="47" t="s">
        <v>1951</v>
      </c>
      <c r="C987" s="47" t="s">
        <v>1555</v>
      </c>
      <c r="D987" s="47" t="s">
        <v>234</v>
      </c>
      <c r="E987" s="47" t="s">
        <v>57</v>
      </c>
      <c r="F987" s="47" t="s">
        <v>28</v>
      </c>
      <c r="G987" s="59" t="s">
        <v>23</v>
      </c>
      <c r="H987" s="47" t="s">
        <v>58</v>
      </c>
      <c r="I987" s="47" t="s">
        <v>1408</v>
      </c>
      <c r="J987" s="47" t="s">
        <v>22</v>
      </c>
      <c r="K987" s="59" t="s">
        <v>23</v>
      </c>
      <c r="L987" s="59" t="s">
        <v>23</v>
      </c>
      <c r="M987" s="47" t="s">
        <v>33</v>
      </c>
    </row>
    <row r="988" customHeight="1" spans="1:13">
      <c r="A988" s="47" t="s">
        <v>1952</v>
      </c>
      <c r="B988" s="47" t="s">
        <v>1944</v>
      </c>
      <c r="C988" s="47" t="s">
        <v>206</v>
      </c>
      <c r="D988" s="47" t="s">
        <v>43</v>
      </c>
      <c r="E988" s="47" t="s">
        <v>95</v>
      </c>
      <c r="F988" s="59" t="s">
        <v>23</v>
      </c>
      <c r="G988" s="47" t="s">
        <v>38</v>
      </c>
      <c r="H988" s="47" t="s">
        <v>77</v>
      </c>
      <c r="I988" s="47" t="s">
        <v>77</v>
      </c>
      <c r="J988" s="47" t="s">
        <v>22</v>
      </c>
      <c r="K988" s="59" t="s">
        <v>23</v>
      </c>
      <c r="L988" s="59" t="s">
        <v>23</v>
      </c>
      <c r="M988" s="47" t="s">
        <v>47</v>
      </c>
    </row>
    <row r="989" customHeight="1" spans="1:13">
      <c r="A989" s="47" t="s">
        <v>1953</v>
      </c>
      <c r="B989" s="47" t="s">
        <v>1944</v>
      </c>
      <c r="C989" s="47" t="s">
        <v>1700</v>
      </c>
      <c r="D989" s="47" t="s">
        <v>854</v>
      </c>
      <c r="E989" s="47" t="s">
        <v>36</v>
      </c>
      <c r="F989" s="47" t="s">
        <v>37</v>
      </c>
      <c r="G989" s="47" t="s">
        <v>38</v>
      </c>
      <c r="H989" s="47" t="s">
        <v>39</v>
      </c>
      <c r="I989" s="47" t="s">
        <v>332</v>
      </c>
      <c r="J989" s="47" t="s">
        <v>22</v>
      </c>
      <c r="K989" s="47" t="s">
        <v>53</v>
      </c>
      <c r="L989" s="47" t="s">
        <v>54</v>
      </c>
      <c r="M989" s="47" t="s">
        <v>24</v>
      </c>
    </row>
    <row r="990" customHeight="1" spans="1:13">
      <c r="A990" s="47" t="s">
        <v>1954</v>
      </c>
      <c r="B990" s="47" t="s">
        <v>1944</v>
      </c>
      <c r="C990" s="47" t="s">
        <v>676</v>
      </c>
      <c r="D990" s="47" t="s">
        <v>16</v>
      </c>
      <c r="E990" s="47" t="s">
        <v>396</v>
      </c>
      <c r="F990" s="47" t="s">
        <v>18</v>
      </c>
      <c r="G990" s="47" t="s">
        <v>38</v>
      </c>
      <c r="H990" s="47" t="s">
        <v>64</v>
      </c>
      <c r="I990" s="47" t="s">
        <v>162</v>
      </c>
      <c r="J990" s="47" t="s">
        <v>32</v>
      </c>
      <c r="K990" s="47" t="s">
        <v>53</v>
      </c>
      <c r="L990" s="59" t="s">
        <v>23</v>
      </c>
      <c r="M990" s="47" t="s">
        <v>73</v>
      </c>
    </row>
    <row r="991" customHeight="1" spans="1:13">
      <c r="A991" s="47" t="s">
        <v>1955</v>
      </c>
      <c r="B991" s="47" t="s">
        <v>1956</v>
      </c>
      <c r="C991" s="47" t="s">
        <v>1957</v>
      </c>
      <c r="D991" s="47" t="s">
        <v>393</v>
      </c>
      <c r="E991" s="47" t="s">
        <v>81</v>
      </c>
      <c r="F991" s="47" t="s">
        <v>37</v>
      </c>
      <c r="G991" s="47" t="s">
        <v>38</v>
      </c>
      <c r="H991" s="47" t="s">
        <v>82</v>
      </c>
      <c r="I991" s="59" t="s">
        <v>23</v>
      </c>
      <c r="J991" s="47" t="s">
        <v>485</v>
      </c>
      <c r="K991" s="59" t="s">
        <v>23</v>
      </c>
      <c r="L991" s="47" t="s">
        <v>54</v>
      </c>
      <c r="M991" s="47" t="s">
        <v>47</v>
      </c>
    </row>
    <row r="992" customHeight="1" spans="1:13">
      <c r="A992" s="47" t="s">
        <v>1958</v>
      </c>
      <c r="B992" s="47" t="s">
        <v>1956</v>
      </c>
      <c r="C992" s="47" t="s">
        <v>1959</v>
      </c>
      <c r="D992" s="47" t="s">
        <v>16</v>
      </c>
      <c r="E992" s="47" t="s">
        <v>103</v>
      </c>
      <c r="F992" s="47" t="s">
        <v>37</v>
      </c>
      <c r="G992" s="47" t="s">
        <v>38</v>
      </c>
      <c r="H992" s="47" t="s">
        <v>77</v>
      </c>
      <c r="I992" s="47" t="s">
        <v>77</v>
      </c>
      <c r="J992" s="47" t="s">
        <v>32</v>
      </c>
      <c r="K992" s="59" t="s">
        <v>23</v>
      </c>
      <c r="L992" s="59" t="s">
        <v>23</v>
      </c>
      <c r="M992" s="47" t="s">
        <v>24</v>
      </c>
    </row>
    <row r="993" customHeight="1" spans="1:13">
      <c r="A993" s="47" t="s">
        <v>1960</v>
      </c>
      <c r="B993" s="47" t="s">
        <v>1961</v>
      </c>
      <c r="C993" s="47" t="s">
        <v>405</v>
      </c>
      <c r="D993" s="47" t="s">
        <v>134</v>
      </c>
      <c r="E993" s="47" t="s">
        <v>103</v>
      </c>
      <c r="F993" s="47" t="s">
        <v>37</v>
      </c>
      <c r="G993" s="47" t="s">
        <v>38</v>
      </c>
      <c r="H993" s="47" t="s">
        <v>77</v>
      </c>
      <c r="I993" s="47" t="s">
        <v>77</v>
      </c>
      <c r="J993" s="47" t="s">
        <v>32</v>
      </c>
      <c r="K993" s="59" t="s">
        <v>23</v>
      </c>
      <c r="L993" s="59" t="s">
        <v>23</v>
      </c>
      <c r="M993" s="47" t="s">
        <v>33</v>
      </c>
    </row>
    <row r="994" customHeight="1" spans="1:13">
      <c r="A994" s="47" t="s">
        <v>1962</v>
      </c>
      <c r="B994" s="47" t="s">
        <v>1956</v>
      </c>
      <c r="C994" s="47" t="s">
        <v>750</v>
      </c>
      <c r="D994" s="47" t="s">
        <v>16</v>
      </c>
      <c r="E994" s="47" t="s">
        <v>103</v>
      </c>
      <c r="F994" s="47" t="s">
        <v>37</v>
      </c>
      <c r="G994" s="47" t="s">
        <v>38</v>
      </c>
      <c r="H994" s="47" t="s">
        <v>77</v>
      </c>
      <c r="I994" s="47" t="s">
        <v>227</v>
      </c>
      <c r="J994" s="47" t="s">
        <v>22</v>
      </c>
      <c r="K994" s="47" t="s">
        <v>53</v>
      </c>
      <c r="L994" s="47" t="s">
        <v>29</v>
      </c>
      <c r="M994" s="47" t="s">
        <v>47</v>
      </c>
    </row>
    <row r="995" customHeight="1" spans="1:13">
      <c r="A995" s="47" t="s">
        <v>1963</v>
      </c>
      <c r="B995" s="47" t="s">
        <v>1956</v>
      </c>
      <c r="C995" s="47" t="s">
        <v>986</v>
      </c>
      <c r="D995" s="47" t="s">
        <v>107</v>
      </c>
      <c r="E995" s="47" t="s">
        <v>63</v>
      </c>
      <c r="F995" s="59" t="s">
        <v>23</v>
      </c>
      <c r="G995" s="47" t="s">
        <v>29</v>
      </c>
      <c r="H995" s="47" t="s">
        <v>64</v>
      </c>
      <c r="I995" s="47" t="s">
        <v>227</v>
      </c>
      <c r="J995" s="47" t="s">
        <v>32</v>
      </c>
      <c r="K995" s="59" t="s">
        <v>23</v>
      </c>
      <c r="L995" s="59" t="s">
        <v>23</v>
      </c>
      <c r="M995" s="47" t="s">
        <v>220</v>
      </c>
    </row>
    <row r="996" customHeight="1" spans="1:13">
      <c r="A996" s="47" t="s">
        <v>1964</v>
      </c>
      <c r="B996" s="47" t="s">
        <v>1956</v>
      </c>
      <c r="C996" s="47" t="s">
        <v>909</v>
      </c>
      <c r="D996" s="47" t="s">
        <v>16</v>
      </c>
      <c r="E996" s="47" t="s">
        <v>17</v>
      </c>
      <c r="F996" s="47" t="s">
        <v>18</v>
      </c>
      <c r="G996" s="47" t="s">
        <v>19</v>
      </c>
      <c r="H996" s="47" t="s">
        <v>662</v>
      </c>
      <c r="I996" s="47" t="s">
        <v>21</v>
      </c>
      <c r="J996" s="47" t="s">
        <v>22</v>
      </c>
      <c r="K996" s="59" t="s">
        <v>23</v>
      </c>
      <c r="L996" s="47" t="s">
        <v>65</v>
      </c>
      <c r="M996" s="47" t="s">
        <v>24</v>
      </c>
    </row>
    <row r="997" customHeight="1" spans="1:13">
      <c r="A997" s="47" t="s">
        <v>1965</v>
      </c>
      <c r="B997" s="47" t="s">
        <v>1956</v>
      </c>
      <c r="C997" s="47" t="s">
        <v>118</v>
      </c>
      <c r="D997" s="47" t="s">
        <v>16</v>
      </c>
      <c r="E997" s="47" t="s">
        <v>36</v>
      </c>
      <c r="F997" s="47" t="s">
        <v>37</v>
      </c>
      <c r="G997" s="47" t="s">
        <v>19</v>
      </c>
      <c r="H997" s="47" t="s">
        <v>39</v>
      </c>
      <c r="I997" s="47" t="s">
        <v>769</v>
      </c>
      <c r="J997" s="47" t="s">
        <v>32</v>
      </c>
      <c r="K997" s="59" t="s">
        <v>23</v>
      </c>
      <c r="L997" s="47" t="s">
        <v>65</v>
      </c>
      <c r="M997" s="47" t="s">
        <v>24</v>
      </c>
    </row>
    <row r="998" customHeight="1" spans="1:13">
      <c r="A998" s="47" t="s">
        <v>1966</v>
      </c>
      <c r="B998" s="47" t="s">
        <v>1956</v>
      </c>
      <c r="C998" s="47" t="s">
        <v>1641</v>
      </c>
      <c r="D998" s="47" t="s">
        <v>43</v>
      </c>
      <c r="E998" s="47" t="s">
        <v>146</v>
      </c>
      <c r="F998" s="47" t="s">
        <v>28</v>
      </c>
      <c r="G998" s="47" t="s">
        <v>38</v>
      </c>
      <c r="H998" s="47" t="s">
        <v>147</v>
      </c>
      <c r="I998" s="47" t="s">
        <v>659</v>
      </c>
      <c r="J998" s="47" t="s">
        <v>22</v>
      </c>
      <c r="K998" s="59" t="s">
        <v>23</v>
      </c>
      <c r="L998" s="59" t="s">
        <v>23</v>
      </c>
      <c r="M998" s="47" t="s">
        <v>24</v>
      </c>
    </row>
    <row r="999" customHeight="1" spans="1:13">
      <c r="A999" s="47" t="s">
        <v>1967</v>
      </c>
      <c r="B999" s="47" t="s">
        <v>1956</v>
      </c>
      <c r="C999" s="47" t="s">
        <v>553</v>
      </c>
      <c r="D999" s="47" t="s">
        <v>43</v>
      </c>
      <c r="E999" s="47" t="s">
        <v>36</v>
      </c>
      <c r="F999" s="47" t="s">
        <v>37</v>
      </c>
      <c r="G999" s="47" t="s">
        <v>19</v>
      </c>
      <c r="H999" s="47" t="s">
        <v>130</v>
      </c>
      <c r="I999" s="47" t="s">
        <v>82</v>
      </c>
      <c r="J999" s="47" t="s">
        <v>22</v>
      </c>
      <c r="K999" s="59" t="s">
        <v>23</v>
      </c>
      <c r="L999" s="47" t="s">
        <v>29</v>
      </c>
      <c r="M999" s="47" t="s">
        <v>743</v>
      </c>
    </row>
    <row r="1000" customHeight="1" spans="1:13">
      <c r="A1000" s="47" t="s">
        <v>1968</v>
      </c>
      <c r="B1000" s="47" t="s">
        <v>1969</v>
      </c>
      <c r="C1000" s="47" t="s">
        <v>535</v>
      </c>
      <c r="D1000" s="47" t="s">
        <v>16</v>
      </c>
      <c r="E1000" s="47" t="s">
        <v>63</v>
      </c>
      <c r="F1000" s="47" t="s">
        <v>18</v>
      </c>
      <c r="G1000" s="47" t="s">
        <v>38</v>
      </c>
      <c r="H1000" s="47" t="s">
        <v>64</v>
      </c>
      <c r="I1000" s="47" t="s">
        <v>64</v>
      </c>
      <c r="J1000" s="47" t="s">
        <v>32</v>
      </c>
      <c r="K1000" s="59" t="s">
        <v>23</v>
      </c>
      <c r="L1000" s="59" t="s">
        <v>23</v>
      </c>
      <c r="M1000" s="47" t="s">
        <v>99</v>
      </c>
    </row>
    <row r="1001" customHeight="1" spans="1:13">
      <c r="A1001" s="47" t="s">
        <v>1970</v>
      </c>
      <c r="B1001" s="47" t="s">
        <v>1969</v>
      </c>
      <c r="C1001" s="47" t="s">
        <v>261</v>
      </c>
      <c r="D1001" s="47" t="s">
        <v>16</v>
      </c>
      <c r="E1001" s="47" t="s">
        <v>44</v>
      </c>
      <c r="F1001" s="47" t="s">
        <v>45</v>
      </c>
      <c r="G1001" s="59" t="s">
        <v>23</v>
      </c>
      <c r="H1001" s="47" t="s">
        <v>46</v>
      </c>
      <c r="I1001" s="47" t="s">
        <v>46</v>
      </c>
      <c r="J1001" s="47" t="s">
        <v>32</v>
      </c>
      <c r="K1001" s="59" t="s">
        <v>23</v>
      </c>
      <c r="L1001" s="47" t="s">
        <v>54</v>
      </c>
      <c r="M1001" s="47" t="s">
        <v>40</v>
      </c>
    </row>
    <row r="1002" customHeight="1" spans="1:13">
      <c r="A1002" s="47" t="s">
        <v>1971</v>
      </c>
      <c r="B1002" s="47" t="s">
        <v>1920</v>
      </c>
      <c r="C1002" s="47" t="s">
        <v>124</v>
      </c>
      <c r="D1002" s="47" t="s">
        <v>62</v>
      </c>
      <c r="E1002" s="47" t="s">
        <v>57</v>
      </c>
      <c r="F1002" s="47" t="s">
        <v>28</v>
      </c>
      <c r="G1002" s="47" t="s">
        <v>38</v>
      </c>
      <c r="H1002" s="47" t="s">
        <v>58</v>
      </c>
      <c r="I1002" s="47" t="s">
        <v>58</v>
      </c>
      <c r="J1002" s="47" t="s">
        <v>32</v>
      </c>
      <c r="K1002" s="59" t="s">
        <v>23</v>
      </c>
      <c r="L1002" s="47" t="s">
        <v>65</v>
      </c>
      <c r="M1002" s="47" t="s">
        <v>73</v>
      </c>
    </row>
    <row r="1003" customHeight="1" spans="1:13">
      <c r="A1003" s="47" t="s">
        <v>1972</v>
      </c>
      <c r="B1003" s="47" t="s">
        <v>1973</v>
      </c>
      <c r="C1003" s="47" t="s">
        <v>909</v>
      </c>
      <c r="D1003" s="47" t="s">
        <v>43</v>
      </c>
      <c r="E1003" s="47" t="s">
        <v>1082</v>
      </c>
      <c r="F1003" s="47" t="s">
        <v>28</v>
      </c>
      <c r="G1003" s="47" t="s">
        <v>38</v>
      </c>
      <c r="H1003" s="47" t="s">
        <v>30</v>
      </c>
      <c r="I1003" s="47" t="s">
        <v>30</v>
      </c>
      <c r="J1003" s="47" t="s">
        <v>22</v>
      </c>
      <c r="K1003" s="59" t="s">
        <v>23</v>
      </c>
      <c r="L1003" s="59" t="s">
        <v>23</v>
      </c>
      <c r="M1003" s="47" t="s">
        <v>73</v>
      </c>
    </row>
    <row r="1004" customHeight="1" spans="1:13">
      <c r="A1004" s="47" t="s">
        <v>1974</v>
      </c>
      <c r="B1004" s="47" t="s">
        <v>1969</v>
      </c>
      <c r="C1004" s="47" t="s">
        <v>859</v>
      </c>
      <c r="D1004" s="47" t="s">
        <v>16</v>
      </c>
      <c r="E1004" s="47" t="s">
        <v>36</v>
      </c>
      <c r="F1004" s="47" t="s">
        <v>37</v>
      </c>
      <c r="G1004" s="47" t="s">
        <v>38</v>
      </c>
      <c r="H1004" s="47" t="s">
        <v>39</v>
      </c>
      <c r="I1004" s="47" t="s">
        <v>130</v>
      </c>
      <c r="J1004" s="47" t="s">
        <v>556</v>
      </c>
      <c r="K1004" s="59" t="s">
        <v>23</v>
      </c>
      <c r="L1004" s="59" t="s">
        <v>23</v>
      </c>
      <c r="M1004" s="47" t="s">
        <v>47</v>
      </c>
    </row>
    <row r="1005" customHeight="1" spans="1:13">
      <c r="A1005" s="47" t="s">
        <v>1975</v>
      </c>
      <c r="B1005" s="47" t="s">
        <v>1969</v>
      </c>
      <c r="C1005" s="47" t="s">
        <v>465</v>
      </c>
      <c r="D1005" s="47" t="s">
        <v>107</v>
      </c>
      <c r="E1005" s="47" t="s">
        <v>81</v>
      </c>
      <c r="F1005" s="59" t="s">
        <v>23</v>
      </c>
      <c r="G1005" s="47" t="s">
        <v>29</v>
      </c>
      <c r="H1005" s="47" t="s">
        <v>82</v>
      </c>
      <c r="I1005" s="47" t="s">
        <v>1370</v>
      </c>
      <c r="J1005" s="47" t="s">
        <v>22</v>
      </c>
      <c r="K1005" s="47" t="s">
        <v>143</v>
      </c>
      <c r="L1005" s="59" t="s">
        <v>23</v>
      </c>
      <c r="M1005" s="47" t="s">
        <v>33</v>
      </c>
    </row>
    <row r="1006" customHeight="1" spans="1:13">
      <c r="A1006" s="47" t="s">
        <v>1976</v>
      </c>
      <c r="B1006" s="47" t="s">
        <v>1924</v>
      </c>
      <c r="C1006" s="47" t="s">
        <v>1302</v>
      </c>
      <c r="D1006" s="47" t="s">
        <v>16</v>
      </c>
      <c r="E1006" s="47" t="s">
        <v>364</v>
      </c>
      <c r="F1006" s="47" t="s">
        <v>18</v>
      </c>
      <c r="G1006" s="47" t="s">
        <v>38</v>
      </c>
      <c r="H1006" s="47" t="s">
        <v>710</v>
      </c>
      <c r="I1006" s="47" t="s">
        <v>20</v>
      </c>
      <c r="J1006" s="47" t="s">
        <v>32</v>
      </c>
      <c r="K1006" s="59" t="s">
        <v>23</v>
      </c>
      <c r="L1006" s="59" t="s">
        <v>23</v>
      </c>
      <c r="M1006" s="47" t="s">
        <v>24</v>
      </c>
    </row>
    <row r="1007" customHeight="1" spans="1:13">
      <c r="A1007" s="47" t="s">
        <v>1977</v>
      </c>
      <c r="B1007" s="47" t="s">
        <v>1969</v>
      </c>
      <c r="C1007" s="47" t="s">
        <v>1978</v>
      </c>
      <c r="D1007" s="47" t="s">
        <v>43</v>
      </c>
      <c r="E1007" s="47" t="s">
        <v>63</v>
      </c>
      <c r="F1007" s="47" t="s">
        <v>18</v>
      </c>
      <c r="G1007" s="47" t="s">
        <v>38</v>
      </c>
      <c r="H1007" s="47" t="s">
        <v>644</v>
      </c>
      <c r="I1007" s="59" t="s">
        <v>23</v>
      </c>
      <c r="J1007" s="47" t="s">
        <v>22</v>
      </c>
      <c r="K1007" s="59" t="s">
        <v>23</v>
      </c>
      <c r="L1007" s="59" t="s">
        <v>23</v>
      </c>
      <c r="M1007" s="47" t="s">
        <v>181</v>
      </c>
    </row>
    <row r="1008" customHeight="1" spans="1:13">
      <c r="A1008" s="47" t="s">
        <v>1979</v>
      </c>
      <c r="B1008" s="47" t="s">
        <v>1980</v>
      </c>
      <c r="C1008" s="47" t="s">
        <v>1981</v>
      </c>
      <c r="D1008" s="47" t="s">
        <v>16</v>
      </c>
      <c r="E1008" s="47" t="s">
        <v>17</v>
      </c>
      <c r="F1008" s="47" t="s">
        <v>18</v>
      </c>
      <c r="G1008" s="47" t="s">
        <v>19</v>
      </c>
      <c r="H1008" s="47" t="s">
        <v>20</v>
      </c>
      <c r="I1008" s="47" t="s">
        <v>21</v>
      </c>
      <c r="J1008" s="47" t="s">
        <v>32</v>
      </c>
      <c r="K1008" s="59" t="s">
        <v>23</v>
      </c>
      <c r="L1008" s="47" t="s">
        <v>65</v>
      </c>
      <c r="M1008" s="47" t="s">
        <v>33</v>
      </c>
    </row>
    <row r="1009" customHeight="1" spans="1:13">
      <c r="A1009" s="47" t="s">
        <v>1982</v>
      </c>
      <c r="B1009" s="47" t="s">
        <v>1980</v>
      </c>
      <c r="C1009" s="47" t="s">
        <v>1983</v>
      </c>
      <c r="D1009" s="47" t="s">
        <v>16</v>
      </c>
      <c r="E1009" s="47" t="s">
        <v>733</v>
      </c>
      <c r="F1009" s="47" t="s">
        <v>28</v>
      </c>
      <c r="G1009" s="47" t="s">
        <v>38</v>
      </c>
      <c r="H1009" s="47" t="s">
        <v>52</v>
      </c>
      <c r="I1009" s="47" t="s">
        <v>52</v>
      </c>
      <c r="J1009" s="47" t="s">
        <v>22</v>
      </c>
      <c r="K1009" s="59" t="s">
        <v>23</v>
      </c>
      <c r="L1009" s="59" t="s">
        <v>23</v>
      </c>
      <c r="M1009" s="47" t="s">
        <v>73</v>
      </c>
    </row>
    <row r="1010" customHeight="1" spans="1:13">
      <c r="A1010" s="47" t="s">
        <v>1984</v>
      </c>
      <c r="B1010" s="47" t="s">
        <v>1980</v>
      </c>
      <c r="C1010" s="47" t="s">
        <v>1573</v>
      </c>
      <c r="D1010" s="47" t="s">
        <v>16</v>
      </c>
      <c r="E1010" s="47" t="s">
        <v>95</v>
      </c>
      <c r="F1010" s="47" t="s">
        <v>45</v>
      </c>
      <c r="G1010" s="47" t="s">
        <v>38</v>
      </c>
      <c r="H1010" s="47" t="s">
        <v>104</v>
      </c>
      <c r="I1010" s="47" t="s">
        <v>77</v>
      </c>
      <c r="J1010" s="47" t="s">
        <v>32</v>
      </c>
      <c r="K1010" s="59" t="s">
        <v>23</v>
      </c>
      <c r="L1010" s="47" t="s">
        <v>29</v>
      </c>
      <c r="M1010" s="47" t="s">
        <v>33</v>
      </c>
    </row>
    <row r="1011" customHeight="1" spans="1:13">
      <c r="A1011" s="47" t="s">
        <v>1985</v>
      </c>
      <c r="B1011" s="47" t="s">
        <v>1980</v>
      </c>
      <c r="C1011" s="47" t="s">
        <v>853</v>
      </c>
      <c r="D1011" s="47" t="s">
        <v>107</v>
      </c>
      <c r="E1011" s="47" t="s">
        <v>81</v>
      </c>
      <c r="F1011" s="47" t="s">
        <v>37</v>
      </c>
      <c r="G1011" s="47" t="s">
        <v>38</v>
      </c>
      <c r="H1011" s="47" t="s">
        <v>82</v>
      </c>
      <c r="I1011" s="47" t="s">
        <v>82</v>
      </c>
      <c r="J1011" s="47" t="s">
        <v>127</v>
      </c>
      <c r="K1011" s="47" t="s">
        <v>119</v>
      </c>
      <c r="L1011" s="59" t="s">
        <v>23</v>
      </c>
      <c r="M1011" s="47" t="s">
        <v>33</v>
      </c>
    </row>
    <row r="1012" customHeight="1" spans="1:13">
      <c r="A1012" s="47" t="s">
        <v>1986</v>
      </c>
      <c r="B1012" s="47" t="s">
        <v>1980</v>
      </c>
      <c r="C1012" s="47" t="s">
        <v>1555</v>
      </c>
      <c r="D1012" s="47" t="s">
        <v>16</v>
      </c>
      <c r="E1012" s="47" t="s">
        <v>63</v>
      </c>
      <c r="F1012" s="47" t="s">
        <v>18</v>
      </c>
      <c r="G1012" s="47" t="s">
        <v>38</v>
      </c>
      <c r="H1012" s="47" t="s">
        <v>64</v>
      </c>
      <c r="I1012" s="47" t="s">
        <v>64</v>
      </c>
      <c r="J1012" s="47" t="s">
        <v>32</v>
      </c>
      <c r="K1012" s="59" t="s">
        <v>23</v>
      </c>
      <c r="L1012" s="59" t="s">
        <v>23</v>
      </c>
      <c r="M1012" s="47" t="s">
        <v>73</v>
      </c>
    </row>
    <row r="1013" customHeight="1" spans="1:13">
      <c r="A1013" s="47" t="s">
        <v>1987</v>
      </c>
      <c r="B1013" s="47" t="s">
        <v>1988</v>
      </c>
      <c r="C1013" s="47" t="s">
        <v>164</v>
      </c>
      <c r="D1013" s="47" t="s">
        <v>43</v>
      </c>
      <c r="E1013" s="47" t="s">
        <v>44</v>
      </c>
      <c r="F1013" s="47" t="s">
        <v>45</v>
      </c>
      <c r="G1013" s="47" t="s">
        <v>19</v>
      </c>
      <c r="H1013" s="47" t="s">
        <v>46</v>
      </c>
      <c r="I1013" s="47" t="s">
        <v>114</v>
      </c>
      <c r="J1013" s="47" t="s">
        <v>22</v>
      </c>
      <c r="K1013" s="59" t="s">
        <v>23</v>
      </c>
      <c r="L1013" s="47" t="s">
        <v>29</v>
      </c>
      <c r="M1013" s="47" t="s">
        <v>24</v>
      </c>
    </row>
    <row r="1014" customHeight="1" spans="1:13">
      <c r="A1014" s="47" t="s">
        <v>1989</v>
      </c>
      <c r="B1014" s="47" t="s">
        <v>1980</v>
      </c>
      <c r="C1014" s="47" t="s">
        <v>389</v>
      </c>
      <c r="D1014" s="47" t="s">
        <v>16</v>
      </c>
      <c r="E1014" s="47" t="s">
        <v>563</v>
      </c>
      <c r="F1014" s="47" t="s">
        <v>45</v>
      </c>
      <c r="G1014" s="47" t="s">
        <v>29</v>
      </c>
      <c r="H1014" s="47" t="s">
        <v>77</v>
      </c>
      <c r="I1014" s="47" t="s">
        <v>30</v>
      </c>
      <c r="J1014" s="47" t="s">
        <v>32</v>
      </c>
      <c r="K1014" s="59" t="s">
        <v>23</v>
      </c>
      <c r="L1014" s="59" t="s">
        <v>23</v>
      </c>
      <c r="M1014" s="47" t="s">
        <v>327</v>
      </c>
    </row>
    <row r="1015" customHeight="1" spans="1:13">
      <c r="A1015" s="47" t="s">
        <v>1990</v>
      </c>
      <c r="B1015" s="47" t="s">
        <v>1991</v>
      </c>
      <c r="C1015" s="47" t="s">
        <v>1992</v>
      </c>
      <c r="D1015" s="47" t="s">
        <v>43</v>
      </c>
      <c r="E1015" s="47" t="s">
        <v>103</v>
      </c>
      <c r="F1015" s="47" t="s">
        <v>37</v>
      </c>
      <c r="G1015" s="59" t="s">
        <v>23</v>
      </c>
      <c r="H1015" s="47" t="s">
        <v>77</v>
      </c>
      <c r="I1015" s="47" t="s">
        <v>77</v>
      </c>
      <c r="J1015" s="47" t="s">
        <v>22</v>
      </c>
      <c r="K1015" s="59" t="s">
        <v>23</v>
      </c>
      <c r="L1015" s="47" t="s">
        <v>65</v>
      </c>
      <c r="M1015" s="47" t="s">
        <v>73</v>
      </c>
    </row>
    <row r="1016" customHeight="1" spans="1:13">
      <c r="A1016" s="47" t="s">
        <v>1993</v>
      </c>
      <c r="B1016" s="47" t="s">
        <v>1991</v>
      </c>
      <c r="C1016" s="47" t="s">
        <v>1780</v>
      </c>
      <c r="D1016" s="47" t="s">
        <v>16</v>
      </c>
      <c r="E1016" s="47" t="s">
        <v>17</v>
      </c>
      <c r="F1016" s="47" t="s">
        <v>18</v>
      </c>
      <c r="G1016" s="47" t="s">
        <v>38</v>
      </c>
      <c r="H1016" s="47" t="s">
        <v>20</v>
      </c>
      <c r="I1016" s="47" t="s">
        <v>20</v>
      </c>
      <c r="J1016" s="47" t="s">
        <v>22</v>
      </c>
      <c r="K1016" s="59" t="s">
        <v>23</v>
      </c>
      <c r="L1016" s="59" t="s">
        <v>23</v>
      </c>
      <c r="M1016" s="47" t="s">
        <v>33</v>
      </c>
    </row>
    <row r="1017" customHeight="1" spans="1:13">
      <c r="A1017" s="47" t="s">
        <v>1994</v>
      </c>
      <c r="B1017" s="47" t="s">
        <v>1991</v>
      </c>
      <c r="C1017" s="47" t="s">
        <v>1995</v>
      </c>
      <c r="D1017" s="47" t="s">
        <v>207</v>
      </c>
      <c r="E1017" s="47" t="s">
        <v>36</v>
      </c>
      <c r="F1017" s="47" t="s">
        <v>37</v>
      </c>
      <c r="G1017" s="47" t="s">
        <v>29</v>
      </c>
      <c r="H1017" s="47" t="s">
        <v>39</v>
      </c>
      <c r="I1017" s="47" t="s">
        <v>761</v>
      </c>
      <c r="J1017" s="47" t="s">
        <v>32</v>
      </c>
      <c r="K1017" s="59" t="s">
        <v>23</v>
      </c>
      <c r="L1017" s="59" t="s">
        <v>23</v>
      </c>
      <c r="M1017" s="47" t="s">
        <v>33</v>
      </c>
    </row>
    <row r="1018" customHeight="1" spans="1:13">
      <c r="A1018" s="47" t="s">
        <v>1996</v>
      </c>
      <c r="B1018" s="47" t="s">
        <v>1991</v>
      </c>
      <c r="C1018" s="47" t="s">
        <v>512</v>
      </c>
      <c r="D1018" s="47" t="s">
        <v>16</v>
      </c>
      <c r="E1018" s="47" t="s">
        <v>81</v>
      </c>
      <c r="F1018" s="47" t="s">
        <v>37</v>
      </c>
      <c r="G1018" s="47" t="s">
        <v>38</v>
      </c>
      <c r="H1018" s="47" t="s">
        <v>82</v>
      </c>
      <c r="I1018" s="47" t="s">
        <v>1148</v>
      </c>
      <c r="J1018" s="47" t="s">
        <v>22</v>
      </c>
      <c r="K1018" s="47" t="s">
        <v>53</v>
      </c>
      <c r="L1018" s="47" t="s">
        <v>65</v>
      </c>
      <c r="M1018" s="47" t="s">
        <v>24</v>
      </c>
    </row>
    <row r="1019" customHeight="1" spans="1:13">
      <c r="A1019" s="47" t="s">
        <v>1997</v>
      </c>
      <c r="B1019" s="47" t="s">
        <v>1991</v>
      </c>
      <c r="C1019" s="47" t="s">
        <v>1230</v>
      </c>
      <c r="D1019" s="47" t="s">
        <v>16</v>
      </c>
      <c r="E1019" s="47" t="s">
        <v>95</v>
      </c>
      <c r="F1019" s="47" t="s">
        <v>45</v>
      </c>
      <c r="G1019" s="47" t="s">
        <v>38</v>
      </c>
      <c r="H1019" s="47" t="s">
        <v>77</v>
      </c>
      <c r="I1019" s="47" t="s">
        <v>104</v>
      </c>
      <c r="J1019" s="47" t="s">
        <v>22</v>
      </c>
      <c r="K1019" s="59" t="s">
        <v>23</v>
      </c>
      <c r="L1019" s="59" t="s">
        <v>23</v>
      </c>
      <c r="M1019" s="47" t="s">
        <v>33</v>
      </c>
    </row>
    <row r="1020" customHeight="1" spans="1:13">
      <c r="A1020" s="47" t="s">
        <v>1998</v>
      </c>
      <c r="B1020" s="47" t="s">
        <v>1991</v>
      </c>
      <c r="C1020" s="47" t="s">
        <v>26</v>
      </c>
      <c r="D1020" s="47" t="s">
        <v>43</v>
      </c>
      <c r="E1020" s="47" t="s">
        <v>161</v>
      </c>
      <c r="F1020" s="47" t="s">
        <v>18</v>
      </c>
      <c r="G1020" s="47" t="s">
        <v>38</v>
      </c>
      <c r="H1020" s="47" t="s">
        <v>64</v>
      </c>
      <c r="I1020" s="47" t="s">
        <v>64</v>
      </c>
      <c r="J1020" s="47" t="s">
        <v>22</v>
      </c>
      <c r="K1020" s="59" t="s">
        <v>23</v>
      </c>
      <c r="L1020" s="47" t="s">
        <v>65</v>
      </c>
      <c r="M1020" s="47" t="s">
        <v>73</v>
      </c>
    </row>
    <row r="1021" customHeight="1" spans="1:13">
      <c r="A1021" s="47" t="s">
        <v>1999</v>
      </c>
      <c r="B1021" s="47" t="s">
        <v>1991</v>
      </c>
      <c r="C1021" s="47" t="s">
        <v>75</v>
      </c>
      <c r="D1021" s="47" t="s">
        <v>107</v>
      </c>
      <c r="E1021" s="47" t="s">
        <v>81</v>
      </c>
      <c r="F1021" s="47" t="s">
        <v>37</v>
      </c>
      <c r="G1021" s="47" t="s">
        <v>38</v>
      </c>
      <c r="H1021" s="47" t="s">
        <v>82</v>
      </c>
      <c r="I1021" s="47" t="s">
        <v>82</v>
      </c>
      <c r="J1021" s="47" t="s">
        <v>22</v>
      </c>
      <c r="K1021" s="59" t="s">
        <v>23</v>
      </c>
      <c r="L1021" s="47" t="s">
        <v>54</v>
      </c>
      <c r="M1021" s="47" t="s">
        <v>73</v>
      </c>
    </row>
    <row r="1022" customHeight="1" spans="1:13">
      <c r="A1022" s="47" t="s">
        <v>2000</v>
      </c>
      <c r="B1022" s="47" t="s">
        <v>2001</v>
      </c>
      <c r="C1022" s="47" t="s">
        <v>1576</v>
      </c>
      <c r="D1022" s="47" t="s">
        <v>134</v>
      </c>
      <c r="E1022" s="47" t="s">
        <v>364</v>
      </c>
      <c r="F1022" s="47" t="s">
        <v>18</v>
      </c>
      <c r="G1022" s="47" t="s">
        <v>38</v>
      </c>
      <c r="H1022" s="47" t="s">
        <v>20</v>
      </c>
      <c r="I1022" s="47" t="s">
        <v>827</v>
      </c>
      <c r="J1022" s="47" t="s">
        <v>32</v>
      </c>
      <c r="K1022" s="47" t="s">
        <v>53</v>
      </c>
      <c r="L1022" s="47" t="s">
        <v>65</v>
      </c>
      <c r="M1022" s="47" t="s">
        <v>47</v>
      </c>
    </row>
    <row r="1023" customHeight="1" spans="1:13">
      <c r="A1023" s="47" t="s">
        <v>2002</v>
      </c>
      <c r="B1023" s="47" t="s">
        <v>1991</v>
      </c>
      <c r="C1023" s="47" t="s">
        <v>331</v>
      </c>
      <c r="D1023" s="47" t="s">
        <v>1275</v>
      </c>
      <c r="E1023" s="47" t="s">
        <v>50</v>
      </c>
      <c r="F1023" s="47" t="s">
        <v>28</v>
      </c>
      <c r="G1023" s="47" t="s">
        <v>19</v>
      </c>
      <c r="H1023" s="47" t="s">
        <v>52</v>
      </c>
      <c r="I1023" s="47" t="s">
        <v>425</v>
      </c>
      <c r="J1023" s="47" t="s">
        <v>22</v>
      </c>
      <c r="K1023" s="59" t="s">
        <v>23</v>
      </c>
      <c r="L1023" s="59" t="s">
        <v>23</v>
      </c>
      <c r="M1023" s="47" t="s">
        <v>33</v>
      </c>
    </row>
    <row r="1024" customHeight="1" spans="1:13">
      <c r="A1024" s="47" t="s">
        <v>2003</v>
      </c>
      <c r="B1024" s="47" t="s">
        <v>1991</v>
      </c>
      <c r="C1024" s="47" t="s">
        <v>1042</v>
      </c>
      <c r="D1024" s="47" t="s">
        <v>934</v>
      </c>
      <c r="E1024" s="47" t="s">
        <v>27</v>
      </c>
      <c r="F1024" s="47" t="s">
        <v>28</v>
      </c>
      <c r="G1024" s="47" t="s">
        <v>19</v>
      </c>
      <c r="H1024" s="47" t="s">
        <v>30</v>
      </c>
      <c r="I1024" s="47" t="s">
        <v>258</v>
      </c>
      <c r="J1024" s="47" t="s">
        <v>32</v>
      </c>
      <c r="K1024" s="59" t="s">
        <v>23</v>
      </c>
      <c r="L1024" s="59" t="s">
        <v>23</v>
      </c>
      <c r="M1024" s="47" t="s">
        <v>73</v>
      </c>
    </row>
    <row r="1025" customHeight="1" spans="1:13">
      <c r="A1025" s="47" t="s">
        <v>2004</v>
      </c>
      <c r="B1025" s="47" t="s">
        <v>1991</v>
      </c>
      <c r="C1025" s="47" t="s">
        <v>945</v>
      </c>
      <c r="D1025" s="47" t="s">
        <v>43</v>
      </c>
      <c r="E1025" s="47" t="s">
        <v>262</v>
      </c>
      <c r="F1025" s="47" t="s">
        <v>45</v>
      </c>
      <c r="G1025" s="47" t="s">
        <v>38</v>
      </c>
      <c r="H1025" s="47" t="s">
        <v>46</v>
      </c>
      <c r="I1025" s="47" t="s">
        <v>46</v>
      </c>
      <c r="J1025" s="47" t="s">
        <v>32</v>
      </c>
      <c r="K1025" s="59" t="s">
        <v>23</v>
      </c>
      <c r="L1025" s="59" t="s">
        <v>23</v>
      </c>
      <c r="M1025" s="47" t="s">
        <v>24</v>
      </c>
    </row>
    <row r="1026" customHeight="1" spans="1:13">
      <c r="A1026" s="47" t="s">
        <v>2005</v>
      </c>
      <c r="B1026" s="47" t="s">
        <v>2006</v>
      </c>
      <c r="C1026" s="47" t="s">
        <v>896</v>
      </c>
      <c r="D1026" s="47" t="s">
        <v>16</v>
      </c>
      <c r="E1026" s="47" t="s">
        <v>36</v>
      </c>
      <c r="F1026" s="47" t="s">
        <v>37</v>
      </c>
      <c r="G1026" s="47" t="s">
        <v>19</v>
      </c>
      <c r="H1026" s="47" t="s">
        <v>39</v>
      </c>
      <c r="I1026" s="47" t="s">
        <v>82</v>
      </c>
      <c r="J1026" s="47" t="s">
        <v>22</v>
      </c>
      <c r="K1026" s="47" t="s">
        <v>53</v>
      </c>
      <c r="L1026" s="47" t="s">
        <v>65</v>
      </c>
      <c r="M1026" s="47" t="s">
        <v>47</v>
      </c>
    </row>
    <row r="1027" customHeight="1" spans="1:13">
      <c r="A1027" s="47" t="s">
        <v>2007</v>
      </c>
      <c r="B1027" s="47" t="s">
        <v>2008</v>
      </c>
      <c r="C1027" s="47" t="s">
        <v>2009</v>
      </c>
      <c r="D1027" s="47" t="s">
        <v>43</v>
      </c>
      <c r="E1027" s="47" t="s">
        <v>367</v>
      </c>
      <c r="F1027" s="47" t="s">
        <v>109</v>
      </c>
      <c r="G1027" s="47" t="s">
        <v>38</v>
      </c>
      <c r="H1027" s="59" t="s">
        <v>23</v>
      </c>
      <c r="I1027" s="47" t="s">
        <v>110</v>
      </c>
      <c r="J1027" s="47" t="s">
        <v>32</v>
      </c>
      <c r="K1027" s="59" t="s">
        <v>23</v>
      </c>
      <c r="L1027" s="59" t="s">
        <v>23</v>
      </c>
      <c r="M1027" s="47" t="s">
        <v>33</v>
      </c>
    </row>
    <row r="1028" customHeight="1" spans="1:13">
      <c r="A1028" s="47" t="s">
        <v>2010</v>
      </c>
      <c r="B1028" s="47" t="s">
        <v>2011</v>
      </c>
      <c r="C1028" s="47" t="s">
        <v>247</v>
      </c>
      <c r="D1028" s="47" t="s">
        <v>107</v>
      </c>
      <c r="E1028" s="47" t="s">
        <v>81</v>
      </c>
      <c r="F1028" s="47" t="s">
        <v>37</v>
      </c>
      <c r="G1028" s="47" t="s">
        <v>38</v>
      </c>
      <c r="H1028" s="47" t="s">
        <v>82</v>
      </c>
      <c r="I1028" s="47" t="s">
        <v>82</v>
      </c>
      <c r="J1028" s="47" t="s">
        <v>22</v>
      </c>
      <c r="K1028" s="59" t="s">
        <v>23</v>
      </c>
      <c r="L1028" s="59" t="s">
        <v>23</v>
      </c>
      <c r="M1028" s="47" t="s">
        <v>40</v>
      </c>
    </row>
    <row r="1029" customHeight="1" spans="1:13">
      <c r="A1029" s="47" t="s">
        <v>2012</v>
      </c>
      <c r="B1029" s="47" t="s">
        <v>2008</v>
      </c>
      <c r="C1029" s="47" t="s">
        <v>1637</v>
      </c>
      <c r="D1029" s="47" t="s">
        <v>43</v>
      </c>
      <c r="E1029" s="47" t="s">
        <v>50</v>
      </c>
      <c r="F1029" s="47" t="s">
        <v>28</v>
      </c>
      <c r="G1029" s="47" t="s">
        <v>38</v>
      </c>
      <c r="H1029" s="47" t="s">
        <v>52</v>
      </c>
      <c r="I1029" s="47" t="s">
        <v>52</v>
      </c>
      <c r="J1029" s="47" t="s">
        <v>32</v>
      </c>
      <c r="K1029" s="59" t="s">
        <v>23</v>
      </c>
      <c r="L1029" s="59" t="s">
        <v>23</v>
      </c>
      <c r="M1029" s="47" t="s">
        <v>33</v>
      </c>
    </row>
    <row r="1030" customHeight="1" spans="1:13">
      <c r="A1030" s="47" t="s">
        <v>2013</v>
      </c>
      <c r="B1030" s="47" t="s">
        <v>2008</v>
      </c>
      <c r="C1030" s="47" t="s">
        <v>287</v>
      </c>
      <c r="D1030" s="47" t="s">
        <v>16</v>
      </c>
      <c r="E1030" s="47" t="s">
        <v>17</v>
      </c>
      <c r="F1030" s="47" t="s">
        <v>18</v>
      </c>
      <c r="G1030" s="47" t="s">
        <v>19</v>
      </c>
      <c r="H1030" s="47" t="s">
        <v>20</v>
      </c>
      <c r="I1030" s="47" t="s">
        <v>21</v>
      </c>
      <c r="J1030" s="47" t="s">
        <v>22</v>
      </c>
      <c r="K1030" s="59" t="s">
        <v>23</v>
      </c>
      <c r="L1030" s="59" t="s">
        <v>23</v>
      </c>
      <c r="M1030" s="47" t="s">
        <v>40</v>
      </c>
    </row>
    <row r="1031" customHeight="1" spans="1:13">
      <c r="A1031" s="47" t="s">
        <v>2014</v>
      </c>
      <c r="B1031" s="47" t="s">
        <v>2008</v>
      </c>
      <c r="C1031" s="47" t="s">
        <v>2015</v>
      </c>
      <c r="D1031" s="47" t="s">
        <v>16</v>
      </c>
      <c r="E1031" s="47" t="s">
        <v>146</v>
      </c>
      <c r="F1031" s="47" t="s">
        <v>28</v>
      </c>
      <c r="G1031" s="47" t="s">
        <v>29</v>
      </c>
      <c r="H1031" s="47" t="s">
        <v>147</v>
      </c>
      <c r="I1031" s="47" t="s">
        <v>148</v>
      </c>
      <c r="J1031" s="47" t="s">
        <v>22</v>
      </c>
      <c r="K1031" s="59" t="s">
        <v>23</v>
      </c>
      <c r="L1031" s="47" t="s">
        <v>65</v>
      </c>
      <c r="M1031" s="47" t="s">
        <v>73</v>
      </c>
    </row>
    <row r="1032" customHeight="1" spans="1:13">
      <c r="A1032" s="47" t="s">
        <v>2016</v>
      </c>
      <c r="B1032" s="47" t="s">
        <v>2017</v>
      </c>
      <c r="C1032" s="47" t="s">
        <v>771</v>
      </c>
      <c r="D1032" s="47" t="s">
        <v>16</v>
      </c>
      <c r="E1032" s="47" t="s">
        <v>165</v>
      </c>
      <c r="F1032" s="47" t="s">
        <v>109</v>
      </c>
      <c r="G1032" s="47" t="s">
        <v>38</v>
      </c>
      <c r="H1032" s="47" t="s">
        <v>82</v>
      </c>
      <c r="I1032" s="47" t="s">
        <v>82</v>
      </c>
      <c r="J1032" s="47" t="s">
        <v>22</v>
      </c>
      <c r="K1032" s="59" t="s">
        <v>23</v>
      </c>
      <c r="L1032" s="47" t="s">
        <v>54</v>
      </c>
      <c r="M1032" s="47" t="s">
        <v>33</v>
      </c>
    </row>
    <row r="1033" customHeight="1" spans="1:13">
      <c r="A1033" s="47" t="s">
        <v>2018</v>
      </c>
      <c r="B1033" s="47" t="s">
        <v>2017</v>
      </c>
      <c r="C1033" s="47" t="s">
        <v>2019</v>
      </c>
      <c r="D1033" s="47" t="s">
        <v>107</v>
      </c>
      <c r="E1033" s="47" t="s">
        <v>63</v>
      </c>
      <c r="F1033" s="47" t="s">
        <v>18</v>
      </c>
      <c r="G1033" s="47" t="s">
        <v>19</v>
      </c>
      <c r="H1033" s="47" t="s">
        <v>64</v>
      </c>
      <c r="I1033" s="47" t="s">
        <v>39</v>
      </c>
      <c r="J1033" s="47" t="s">
        <v>32</v>
      </c>
      <c r="K1033" s="59" t="s">
        <v>23</v>
      </c>
      <c r="L1033" s="59" t="s">
        <v>23</v>
      </c>
      <c r="M1033" s="47" t="s">
        <v>47</v>
      </c>
    </row>
    <row r="1034" customHeight="1" spans="1:13">
      <c r="A1034" s="47" t="s">
        <v>2020</v>
      </c>
      <c r="B1034" s="47" t="s">
        <v>2017</v>
      </c>
      <c r="C1034" s="47" t="s">
        <v>311</v>
      </c>
      <c r="D1034" s="47" t="s">
        <v>107</v>
      </c>
      <c r="E1034" s="47" t="s">
        <v>103</v>
      </c>
      <c r="F1034" s="47" t="s">
        <v>37</v>
      </c>
      <c r="G1034" s="47" t="s">
        <v>38</v>
      </c>
      <c r="H1034" s="47" t="s">
        <v>77</v>
      </c>
      <c r="I1034" s="47" t="s">
        <v>77</v>
      </c>
      <c r="J1034" s="47" t="s">
        <v>32</v>
      </c>
      <c r="K1034" s="59" t="s">
        <v>23</v>
      </c>
      <c r="L1034" s="59" t="s">
        <v>23</v>
      </c>
      <c r="M1034" s="47" t="s">
        <v>24</v>
      </c>
    </row>
    <row r="1035" customHeight="1" spans="1:13">
      <c r="A1035" s="47" t="s">
        <v>2021</v>
      </c>
      <c r="B1035" s="47" t="s">
        <v>2022</v>
      </c>
      <c r="C1035" s="47" t="s">
        <v>706</v>
      </c>
      <c r="D1035" s="47" t="s">
        <v>16</v>
      </c>
      <c r="E1035" s="47" t="s">
        <v>199</v>
      </c>
      <c r="F1035" s="47" t="s">
        <v>18</v>
      </c>
      <c r="G1035" s="47" t="s">
        <v>38</v>
      </c>
      <c r="H1035" s="47" t="s">
        <v>39</v>
      </c>
      <c r="I1035" s="47" t="s">
        <v>39</v>
      </c>
      <c r="J1035" s="47" t="s">
        <v>32</v>
      </c>
      <c r="K1035" s="59" t="s">
        <v>23</v>
      </c>
      <c r="L1035" s="59" t="s">
        <v>23</v>
      </c>
      <c r="M1035" s="47" t="s">
        <v>358</v>
      </c>
    </row>
    <row r="1036" customHeight="1" spans="1:13">
      <c r="A1036" s="47" t="s">
        <v>2023</v>
      </c>
      <c r="B1036" s="47" t="s">
        <v>2017</v>
      </c>
      <c r="C1036" s="47" t="s">
        <v>70</v>
      </c>
      <c r="D1036" s="47" t="s">
        <v>43</v>
      </c>
      <c r="E1036" s="47" t="s">
        <v>396</v>
      </c>
      <c r="F1036" s="47" t="s">
        <v>18</v>
      </c>
      <c r="G1036" s="47" t="s">
        <v>38</v>
      </c>
      <c r="H1036" s="47" t="s">
        <v>64</v>
      </c>
      <c r="I1036" s="47" t="s">
        <v>64</v>
      </c>
      <c r="J1036" s="47" t="s">
        <v>32</v>
      </c>
      <c r="K1036" s="59" t="s">
        <v>23</v>
      </c>
      <c r="L1036" s="47" t="s">
        <v>65</v>
      </c>
      <c r="M1036" s="47" t="s">
        <v>131</v>
      </c>
    </row>
    <row r="1037" customHeight="1" spans="1:13">
      <c r="A1037" s="47" t="s">
        <v>2024</v>
      </c>
      <c r="B1037" s="47" t="s">
        <v>2017</v>
      </c>
      <c r="C1037" s="47" t="s">
        <v>672</v>
      </c>
      <c r="D1037" s="47" t="s">
        <v>16</v>
      </c>
      <c r="E1037" s="47" t="s">
        <v>1082</v>
      </c>
      <c r="F1037" s="59" t="s">
        <v>23</v>
      </c>
      <c r="G1037" s="47" t="s">
        <v>38</v>
      </c>
      <c r="H1037" s="47" t="s">
        <v>30</v>
      </c>
      <c r="I1037" s="47" t="s">
        <v>30</v>
      </c>
      <c r="J1037" s="47" t="s">
        <v>32</v>
      </c>
      <c r="K1037" s="59" t="s">
        <v>23</v>
      </c>
      <c r="L1037" s="59" t="s">
        <v>23</v>
      </c>
      <c r="M1037" s="47" t="s">
        <v>73</v>
      </c>
    </row>
    <row r="1038" customHeight="1" spans="1:13">
      <c r="A1038" s="47" t="s">
        <v>2025</v>
      </c>
      <c r="B1038" s="47" t="s">
        <v>2017</v>
      </c>
      <c r="C1038" s="47" t="s">
        <v>94</v>
      </c>
      <c r="D1038" s="47" t="s">
        <v>43</v>
      </c>
      <c r="E1038" s="47" t="s">
        <v>81</v>
      </c>
      <c r="F1038" s="47" t="s">
        <v>37</v>
      </c>
      <c r="G1038" s="47" t="s">
        <v>38</v>
      </c>
      <c r="H1038" s="47" t="s">
        <v>769</v>
      </c>
      <c r="I1038" s="47" t="s">
        <v>82</v>
      </c>
      <c r="J1038" s="47" t="s">
        <v>22</v>
      </c>
      <c r="K1038" s="47" t="s">
        <v>53</v>
      </c>
      <c r="L1038" s="47" t="s">
        <v>54</v>
      </c>
      <c r="M1038" s="47" t="s">
        <v>73</v>
      </c>
    </row>
    <row r="1039" customHeight="1" spans="1:13">
      <c r="A1039" s="47" t="s">
        <v>2026</v>
      </c>
      <c r="B1039" s="47" t="s">
        <v>2022</v>
      </c>
      <c r="C1039" s="47" t="s">
        <v>1663</v>
      </c>
      <c r="D1039" s="47" t="s">
        <v>16</v>
      </c>
      <c r="E1039" s="47" t="s">
        <v>81</v>
      </c>
      <c r="F1039" s="47" t="s">
        <v>37</v>
      </c>
      <c r="G1039" s="47" t="s">
        <v>38</v>
      </c>
      <c r="H1039" s="47" t="s">
        <v>82</v>
      </c>
      <c r="I1039" s="47" t="s">
        <v>82</v>
      </c>
      <c r="J1039" s="47" t="s">
        <v>22</v>
      </c>
      <c r="K1039" s="59" t="s">
        <v>23</v>
      </c>
      <c r="L1039" s="47" t="s">
        <v>65</v>
      </c>
      <c r="M1039" s="47" t="s">
        <v>24</v>
      </c>
    </row>
    <row r="1040" customHeight="1" spans="1:13">
      <c r="A1040" s="47" t="s">
        <v>2027</v>
      </c>
      <c r="B1040" s="47" t="s">
        <v>2028</v>
      </c>
      <c r="C1040" s="47" t="s">
        <v>480</v>
      </c>
      <c r="D1040" s="47" t="s">
        <v>107</v>
      </c>
      <c r="E1040" s="47" t="s">
        <v>17</v>
      </c>
      <c r="F1040" s="47" t="s">
        <v>18</v>
      </c>
      <c r="G1040" s="47" t="s">
        <v>38</v>
      </c>
      <c r="H1040" s="47" t="s">
        <v>20</v>
      </c>
      <c r="I1040" s="47" t="s">
        <v>20</v>
      </c>
      <c r="J1040" s="47" t="s">
        <v>22</v>
      </c>
      <c r="K1040" s="59" t="s">
        <v>23</v>
      </c>
      <c r="L1040" s="47" t="s">
        <v>65</v>
      </c>
      <c r="M1040" s="47" t="s">
        <v>40</v>
      </c>
    </row>
    <row r="1041" customHeight="1" spans="1:13">
      <c r="A1041" s="47" t="s">
        <v>2029</v>
      </c>
      <c r="B1041" s="47" t="s">
        <v>2028</v>
      </c>
      <c r="C1041" s="47" t="s">
        <v>2030</v>
      </c>
      <c r="D1041" s="47" t="s">
        <v>107</v>
      </c>
      <c r="E1041" s="47" t="s">
        <v>188</v>
      </c>
      <c r="F1041" s="47" t="s">
        <v>37</v>
      </c>
      <c r="G1041" s="47" t="s">
        <v>38</v>
      </c>
      <c r="H1041" s="47" t="s">
        <v>77</v>
      </c>
      <c r="I1041" s="47" t="s">
        <v>46</v>
      </c>
      <c r="J1041" s="47" t="s">
        <v>22</v>
      </c>
      <c r="K1041" s="47" t="s">
        <v>119</v>
      </c>
      <c r="L1041" s="59" t="s">
        <v>23</v>
      </c>
      <c r="M1041" s="47" t="s">
        <v>33</v>
      </c>
    </row>
    <row r="1042" customHeight="1" spans="1:13">
      <c r="A1042" s="47" t="s">
        <v>2031</v>
      </c>
      <c r="B1042" s="47" t="s">
        <v>2028</v>
      </c>
      <c r="C1042" s="47" t="s">
        <v>1959</v>
      </c>
      <c r="D1042" s="47" t="s">
        <v>16</v>
      </c>
      <c r="E1042" s="47" t="s">
        <v>27</v>
      </c>
      <c r="F1042" s="59" t="s">
        <v>23</v>
      </c>
      <c r="G1042" s="47" t="s">
        <v>38</v>
      </c>
      <c r="H1042" s="47" t="s">
        <v>30</v>
      </c>
      <c r="I1042" s="47" t="s">
        <v>2032</v>
      </c>
      <c r="J1042" s="47" t="s">
        <v>32</v>
      </c>
      <c r="K1042" s="47" t="s">
        <v>143</v>
      </c>
      <c r="L1042" s="59" t="s">
        <v>23</v>
      </c>
      <c r="M1042" s="47" t="s">
        <v>33</v>
      </c>
    </row>
    <row r="1043" customHeight="1" spans="1:13">
      <c r="A1043" s="47" t="s">
        <v>2033</v>
      </c>
      <c r="B1043" s="47" t="s">
        <v>2028</v>
      </c>
      <c r="C1043" s="47" t="s">
        <v>1687</v>
      </c>
      <c r="D1043" s="47" t="s">
        <v>107</v>
      </c>
      <c r="E1043" s="47" t="s">
        <v>63</v>
      </c>
      <c r="F1043" s="47" t="s">
        <v>18</v>
      </c>
      <c r="G1043" s="47" t="s">
        <v>19</v>
      </c>
      <c r="H1043" s="47" t="s">
        <v>64</v>
      </c>
      <c r="I1043" s="47" t="s">
        <v>39</v>
      </c>
      <c r="J1043" s="47" t="s">
        <v>32</v>
      </c>
      <c r="K1043" s="59" t="s">
        <v>23</v>
      </c>
      <c r="L1043" s="59" t="s">
        <v>23</v>
      </c>
      <c r="M1043" s="47" t="s">
        <v>24</v>
      </c>
    </row>
    <row r="1044" customHeight="1" spans="1:13">
      <c r="A1044" s="47" t="s">
        <v>2034</v>
      </c>
      <c r="B1044" s="47" t="s">
        <v>2028</v>
      </c>
      <c r="C1044" s="47" t="s">
        <v>576</v>
      </c>
      <c r="D1044" s="47" t="s">
        <v>43</v>
      </c>
      <c r="E1044" s="47" t="s">
        <v>146</v>
      </c>
      <c r="F1044" s="47" t="s">
        <v>28</v>
      </c>
      <c r="G1044" s="47" t="s">
        <v>38</v>
      </c>
      <c r="H1044" s="47" t="s">
        <v>147</v>
      </c>
      <c r="I1044" s="47" t="s">
        <v>590</v>
      </c>
      <c r="J1044" s="47" t="s">
        <v>22</v>
      </c>
      <c r="K1044" s="47" t="s">
        <v>53</v>
      </c>
      <c r="L1044" s="59" t="s">
        <v>23</v>
      </c>
      <c r="M1044" s="47" t="s">
        <v>181</v>
      </c>
    </row>
    <row r="1045" customHeight="1" spans="1:13">
      <c r="A1045" s="47" t="s">
        <v>2035</v>
      </c>
      <c r="B1045" s="47" t="s">
        <v>2028</v>
      </c>
      <c r="C1045" s="47" t="s">
        <v>430</v>
      </c>
      <c r="D1045" s="47" t="s">
        <v>107</v>
      </c>
      <c r="E1045" s="47" t="s">
        <v>57</v>
      </c>
      <c r="F1045" s="47" t="s">
        <v>28</v>
      </c>
      <c r="G1045" s="47" t="s">
        <v>29</v>
      </c>
      <c r="H1045" s="47" t="s">
        <v>58</v>
      </c>
      <c r="I1045" s="47" t="s">
        <v>295</v>
      </c>
      <c r="J1045" s="47" t="s">
        <v>32</v>
      </c>
      <c r="K1045" s="59" t="s">
        <v>23</v>
      </c>
      <c r="L1045" s="47" t="s">
        <v>65</v>
      </c>
      <c r="M1045" s="47" t="s">
        <v>47</v>
      </c>
    </row>
    <row r="1046" customHeight="1" spans="1:13">
      <c r="A1046" s="47" t="s">
        <v>2036</v>
      </c>
      <c r="B1046" s="47" t="s">
        <v>2028</v>
      </c>
      <c r="C1046" s="47" t="s">
        <v>834</v>
      </c>
      <c r="D1046" s="47" t="s">
        <v>16</v>
      </c>
      <c r="E1046" s="47" t="s">
        <v>44</v>
      </c>
      <c r="F1046" s="47" t="s">
        <v>45</v>
      </c>
      <c r="G1046" s="47" t="s">
        <v>38</v>
      </c>
      <c r="H1046" s="47" t="s">
        <v>46</v>
      </c>
      <c r="I1046" s="47" t="s">
        <v>46</v>
      </c>
      <c r="J1046" s="47" t="s">
        <v>22</v>
      </c>
      <c r="K1046" s="59" t="s">
        <v>23</v>
      </c>
      <c r="L1046" s="59" t="s">
        <v>23</v>
      </c>
      <c r="M1046" s="47" t="s">
        <v>99</v>
      </c>
    </row>
    <row r="1047" customHeight="1" spans="1:13">
      <c r="A1047" s="47" t="s">
        <v>2037</v>
      </c>
      <c r="B1047" s="47" t="s">
        <v>2028</v>
      </c>
      <c r="C1047" s="47" t="s">
        <v>708</v>
      </c>
      <c r="D1047" s="47" t="s">
        <v>107</v>
      </c>
      <c r="E1047" s="47" t="s">
        <v>17</v>
      </c>
      <c r="F1047" s="47" t="s">
        <v>18</v>
      </c>
      <c r="G1047" s="47" t="s">
        <v>38</v>
      </c>
      <c r="H1047" s="59" t="s">
        <v>23</v>
      </c>
      <c r="I1047" s="47" t="s">
        <v>20</v>
      </c>
      <c r="J1047" s="47" t="s">
        <v>32</v>
      </c>
      <c r="K1047" s="59" t="s">
        <v>23</v>
      </c>
      <c r="L1047" s="59" t="s">
        <v>23</v>
      </c>
      <c r="M1047" s="47" t="s">
        <v>24</v>
      </c>
    </row>
    <row r="1048" customHeight="1" spans="1:13">
      <c r="A1048" s="47" t="s">
        <v>2038</v>
      </c>
      <c r="B1048" s="47" t="s">
        <v>2039</v>
      </c>
      <c r="C1048" s="47" t="s">
        <v>780</v>
      </c>
      <c r="D1048" s="47" t="s">
        <v>107</v>
      </c>
      <c r="E1048" s="47" t="s">
        <v>57</v>
      </c>
      <c r="F1048" s="47" t="s">
        <v>28</v>
      </c>
      <c r="G1048" s="47" t="s">
        <v>38</v>
      </c>
      <c r="H1048" s="47" t="s">
        <v>58</v>
      </c>
      <c r="I1048" s="47" t="s">
        <v>58</v>
      </c>
      <c r="J1048" s="47" t="s">
        <v>32</v>
      </c>
      <c r="K1048" s="59" t="s">
        <v>23</v>
      </c>
      <c r="L1048" s="59" t="s">
        <v>23</v>
      </c>
      <c r="M1048" s="47" t="s">
        <v>73</v>
      </c>
    </row>
    <row r="1049" customHeight="1" spans="1:13">
      <c r="A1049" s="47" t="s">
        <v>2040</v>
      </c>
      <c r="B1049" s="47" t="s">
        <v>2039</v>
      </c>
      <c r="C1049" s="47" t="s">
        <v>899</v>
      </c>
      <c r="D1049" s="47" t="s">
        <v>43</v>
      </c>
      <c r="E1049" s="47" t="s">
        <v>1816</v>
      </c>
      <c r="F1049" s="47" t="s">
        <v>28</v>
      </c>
      <c r="G1049" s="47" t="s">
        <v>38</v>
      </c>
      <c r="H1049" s="47" t="s">
        <v>30</v>
      </c>
      <c r="I1049" s="47" t="s">
        <v>30</v>
      </c>
      <c r="J1049" s="47" t="s">
        <v>32</v>
      </c>
      <c r="K1049" s="59" t="s">
        <v>23</v>
      </c>
      <c r="L1049" s="47" t="s">
        <v>29</v>
      </c>
      <c r="M1049" s="47" t="s">
        <v>73</v>
      </c>
    </row>
    <row r="1050" customHeight="1" spans="1:13">
      <c r="A1050" s="47" t="s">
        <v>2041</v>
      </c>
      <c r="B1050" s="47" t="s">
        <v>2039</v>
      </c>
      <c r="C1050" s="47" t="s">
        <v>187</v>
      </c>
      <c r="D1050" s="47" t="s">
        <v>43</v>
      </c>
      <c r="E1050" s="47" t="s">
        <v>367</v>
      </c>
      <c r="F1050" s="47" t="s">
        <v>109</v>
      </c>
      <c r="G1050" s="47" t="s">
        <v>38</v>
      </c>
      <c r="H1050" s="47" t="s">
        <v>110</v>
      </c>
      <c r="I1050" s="47" t="s">
        <v>110</v>
      </c>
      <c r="J1050" s="47" t="s">
        <v>32</v>
      </c>
      <c r="K1050" s="59" t="s">
        <v>23</v>
      </c>
      <c r="L1050" s="47" t="s">
        <v>65</v>
      </c>
      <c r="M1050" s="47" t="s">
        <v>47</v>
      </c>
    </row>
    <row r="1051" customHeight="1" spans="1:13">
      <c r="A1051" s="47" t="s">
        <v>2042</v>
      </c>
      <c r="B1051" s="47" t="s">
        <v>2039</v>
      </c>
      <c r="C1051" s="47" t="s">
        <v>1036</v>
      </c>
      <c r="D1051" s="47" t="s">
        <v>43</v>
      </c>
      <c r="E1051" s="47" t="s">
        <v>103</v>
      </c>
      <c r="F1051" s="47" t="s">
        <v>37</v>
      </c>
      <c r="G1051" s="47" t="s">
        <v>19</v>
      </c>
      <c r="H1051" s="47" t="s">
        <v>77</v>
      </c>
      <c r="I1051" s="47" t="s">
        <v>96</v>
      </c>
      <c r="J1051" s="47" t="s">
        <v>32</v>
      </c>
      <c r="K1051" s="59" t="s">
        <v>23</v>
      </c>
      <c r="L1051" s="47" t="s">
        <v>54</v>
      </c>
      <c r="M1051" s="47" t="s">
        <v>33</v>
      </c>
    </row>
    <row r="1052" customHeight="1" spans="1:13">
      <c r="A1052" s="47" t="s">
        <v>2043</v>
      </c>
      <c r="B1052" s="47" t="s">
        <v>2044</v>
      </c>
      <c r="C1052" s="47" t="s">
        <v>335</v>
      </c>
      <c r="D1052" s="47" t="s">
        <v>16</v>
      </c>
      <c r="E1052" s="47" t="s">
        <v>647</v>
      </c>
      <c r="F1052" s="47" t="s">
        <v>45</v>
      </c>
      <c r="G1052" s="47" t="s">
        <v>38</v>
      </c>
      <c r="H1052" s="47" t="s">
        <v>227</v>
      </c>
      <c r="I1052" s="47" t="s">
        <v>227</v>
      </c>
      <c r="J1052" s="47" t="s">
        <v>22</v>
      </c>
      <c r="K1052" s="59" t="s">
        <v>23</v>
      </c>
      <c r="L1052" s="59" t="s">
        <v>23</v>
      </c>
      <c r="M1052" s="47" t="s">
        <v>40</v>
      </c>
    </row>
    <row r="1053" customHeight="1" spans="1:13">
      <c r="A1053" s="47" t="s">
        <v>2045</v>
      </c>
      <c r="B1053" s="47" t="s">
        <v>2039</v>
      </c>
      <c r="C1053" s="47" t="s">
        <v>2046</v>
      </c>
      <c r="D1053" s="47" t="s">
        <v>16</v>
      </c>
      <c r="E1053" s="47" t="s">
        <v>17</v>
      </c>
      <c r="F1053" s="47" t="s">
        <v>18</v>
      </c>
      <c r="G1053" s="47" t="s">
        <v>38</v>
      </c>
      <c r="H1053" s="47" t="s">
        <v>20</v>
      </c>
      <c r="I1053" s="47" t="s">
        <v>20</v>
      </c>
      <c r="J1053" s="47" t="s">
        <v>22</v>
      </c>
      <c r="K1053" s="59" t="s">
        <v>23</v>
      </c>
      <c r="L1053" s="47" t="s">
        <v>65</v>
      </c>
      <c r="M1053" s="47" t="s">
        <v>33</v>
      </c>
    </row>
    <row r="1054" customHeight="1" spans="1:13">
      <c r="A1054" s="47" t="s">
        <v>2047</v>
      </c>
      <c r="B1054" s="47" t="s">
        <v>2048</v>
      </c>
      <c r="C1054" s="47" t="s">
        <v>2049</v>
      </c>
      <c r="D1054" s="47" t="s">
        <v>16</v>
      </c>
      <c r="E1054" s="47" t="s">
        <v>103</v>
      </c>
      <c r="F1054" s="59" t="s">
        <v>23</v>
      </c>
      <c r="G1054" s="47" t="s">
        <v>38</v>
      </c>
      <c r="H1054" s="47" t="s">
        <v>77</v>
      </c>
      <c r="I1054" s="47" t="s">
        <v>77</v>
      </c>
      <c r="J1054" s="47" t="s">
        <v>32</v>
      </c>
      <c r="K1054" s="59" t="s">
        <v>23</v>
      </c>
      <c r="L1054" s="47" t="s">
        <v>65</v>
      </c>
      <c r="M1054" s="47" t="s">
        <v>33</v>
      </c>
    </row>
    <row r="1055" customHeight="1" spans="1:13">
      <c r="A1055" s="47" t="s">
        <v>2050</v>
      </c>
      <c r="B1055" s="47" t="s">
        <v>2051</v>
      </c>
      <c r="C1055" s="47" t="s">
        <v>2052</v>
      </c>
      <c r="D1055" s="47" t="s">
        <v>16</v>
      </c>
      <c r="E1055" s="47" t="s">
        <v>17</v>
      </c>
      <c r="F1055" s="47" t="s">
        <v>18</v>
      </c>
      <c r="G1055" s="47" t="s">
        <v>38</v>
      </c>
      <c r="H1055" s="47" t="s">
        <v>20</v>
      </c>
      <c r="I1055" s="59" t="s">
        <v>23</v>
      </c>
      <c r="J1055" s="47" t="s">
        <v>22</v>
      </c>
      <c r="K1055" s="59" t="s">
        <v>23</v>
      </c>
      <c r="L1055" s="59" t="s">
        <v>23</v>
      </c>
      <c r="M1055" s="47" t="s">
        <v>24</v>
      </c>
    </row>
    <row r="1056" customHeight="1" spans="1:13">
      <c r="A1056" s="47" t="s">
        <v>2053</v>
      </c>
      <c r="B1056" s="47" t="s">
        <v>2048</v>
      </c>
      <c r="C1056" s="47" t="s">
        <v>1227</v>
      </c>
      <c r="D1056" s="47" t="s">
        <v>107</v>
      </c>
      <c r="E1056" s="47" t="s">
        <v>27</v>
      </c>
      <c r="F1056" s="47" t="s">
        <v>28</v>
      </c>
      <c r="G1056" s="47" t="s">
        <v>38</v>
      </c>
      <c r="H1056" s="47" t="s">
        <v>30</v>
      </c>
      <c r="I1056" s="47" t="s">
        <v>2054</v>
      </c>
      <c r="J1056" s="47" t="s">
        <v>22</v>
      </c>
      <c r="K1056" s="47" t="s">
        <v>53</v>
      </c>
      <c r="L1056" s="59" t="s">
        <v>23</v>
      </c>
      <c r="M1056" s="47" t="s">
        <v>220</v>
      </c>
    </row>
    <row r="1057" customHeight="1" spans="1:13">
      <c r="A1057" s="47" t="s">
        <v>2055</v>
      </c>
      <c r="B1057" s="47" t="s">
        <v>2051</v>
      </c>
      <c r="C1057" s="47" t="s">
        <v>1650</v>
      </c>
      <c r="D1057" s="47" t="s">
        <v>107</v>
      </c>
      <c r="E1057" s="47" t="s">
        <v>63</v>
      </c>
      <c r="F1057" s="59" t="s">
        <v>23</v>
      </c>
      <c r="G1057" s="47" t="s">
        <v>38</v>
      </c>
      <c r="H1057" s="47" t="s">
        <v>64</v>
      </c>
      <c r="I1057" s="59" t="s">
        <v>23</v>
      </c>
      <c r="J1057" s="47" t="s">
        <v>22</v>
      </c>
      <c r="K1057" s="47" t="s">
        <v>143</v>
      </c>
      <c r="L1057" s="47" t="s">
        <v>29</v>
      </c>
      <c r="M1057" s="47" t="s">
        <v>437</v>
      </c>
    </row>
    <row r="1058" customHeight="1" spans="1:13">
      <c r="A1058" s="47" t="s">
        <v>2055</v>
      </c>
      <c r="B1058" s="47" t="s">
        <v>2051</v>
      </c>
      <c r="C1058" s="47" t="s">
        <v>1650</v>
      </c>
      <c r="D1058" s="47" t="s">
        <v>125</v>
      </c>
      <c r="E1058" s="47" t="s">
        <v>63</v>
      </c>
      <c r="F1058" s="47" t="s">
        <v>18</v>
      </c>
      <c r="G1058" s="47" t="s">
        <v>38</v>
      </c>
      <c r="H1058" s="47" t="s">
        <v>64</v>
      </c>
      <c r="I1058" s="47" t="s">
        <v>1079</v>
      </c>
      <c r="J1058" s="47" t="s">
        <v>22</v>
      </c>
      <c r="K1058" s="47" t="s">
        <v>143</v>
      </c>
      <c r="L1058" s="47" t="s">
        <v>29</v>
      </c>
      <c r="M1058" s="47" t="s">
        <v>24</v>
      </c>
    </row>
    <row r="1059" customHeight="1" spans="1:13">
      <c r="A1059" s="47" t="s">
        <v>2056</v>
      </c>
      <c r="B1059" s="47" t="s">
        <v>2057</v>
      </c>
      <c r="C1059" s="47" t="s">
        <v>139</v>
      </c>
      <c r="D1059" s="47" t="s">
        <v>43</v>
      </c>
      <c r="E1059" s="47" t="s">
        <v>95</v>
      </c>
      <c r="F1059" s="47" t="s">
        <v>45</v>
      </c>
      <c r="G1059" s="47" t="s">
        <v>19</v>
      </c>
      <c r="H1059" s="47" t="s">
        <v>77</v>
      </c>
      <c r="I1059" s="47" t="s">
        <v>96</v>
      </c>
      <c r="J1059" s="47" t="s">
        <v>32</v>
      </c>
      <c r="K1059" s="59" t="s">
        <v>23</v>
      </c>
      <c r="L1059" s="47" t="s">
        <v>65</v>
      </c>
      <c r="M1059" s="47" t="s">
        <v>73</v>
      </c>
    </row>
    <row r="1060" customHeight="1" spans="1:13">
      <c r="A1060" s="47" t="s">
        <v>2058</v>
      </c>
      <c r="B1060" s="47" t="s">
        <v>2048</v>
      </c>
      <c r="C1060" s="47" t="s">
        <v>629</v>
      </c>
      <c r="D1060" s="47" t="s">
        <v>43</v>
      </c>
      <c r="E1060" s="47" t="s">
        <v>2059</v>
      </c>
      <c r="F1060" s="47" t="s">
        <v>45</v>
      </c>
      <c r="G1060" s="47" t="s">
        <v>29</v>
      </c>
      <c r="H1060" s="47" t="s">
        <v>77</v>
      </c>
      <c r="I1060" s="47" t="s">
        <v>90</v>
      </c>
      <c r="J1060" s="47" t="s">
        <v>32</v>
      </c>
      <c r="K1060" s="47" t="s">
        <v>53</v>
      </c>
      <c r="L1060" s="59" t="s">
        <v>23</v>
      </c>
      <c r="M1060" s="47" t="s">
        <v>47</v>
      </c>
    </row>
    <row r="1061" customHeight="1" spans="1:13">
      <c r="A1061" s="47" t="s">
        <v>2060</v>
      </c>
      <c r="B1061" s="47" t="s">
        <v>2048</v>
      </c>
      <c r="C1061" s="47" t="s">
        <v>573</v>
      </c>
      <c r="D1061" s="47" t="s">
        <v>107</v>
      </c>
      <c r="E1061" s="47" t="s">
        <v>103</v>
      </c>
      <c r="F1061" s="47" t="s">
        <v>37</v>
      </c>
      <c r="G1061" s="47" t="s">
        <v>38</v>
      </c>
      <c r="H1061" s="47" t="s">
        <v>77</v>
      </c>
      <c r="I1061" s="47" t="s">
        <v>77</v>
      </c>
      <c r="J1061" s="47" t="s">
        <v>22</v>
      </c>
      <c r="K1061" s="59" t="s">
        <v>23</v>
      </c>
      <c r="L1061" s="47" t="s">
        <v>54</v>
      </c>
      <c r="M1061" s="47" t="s">
        <v>33</v>
      </c>
    </row>
    <row r="1062" customHeight="1" spans="1:13">
      <c r="A1062" s="47" t="s">
        <v>2061</v>
      </c>
      <c r="B1062" s="47" t="s">
        <v>2048</v>
      </c>
      <c r="C1062" s="47" t="s">
        <v>459</v>
      </c>
      <c r="D1062" s="47" t="s">
        <v>43</v>
      </c>
      <c r="E1062" s="47" t="s">
        <v>103</v>
      </c>
      <c r="F1062" s="47" t="s">
        <v>37</v>
      </c>
      <c r="G1062" s="47" t="s">
        <v>29</v>
      </c>
      <c r="H1062" s="47" t="s">
        <v>77</v>
      </c>
      <c r="I1062" s="47" t="s">
        <v>30</v>
      </c>
      <c r="J1062" s="47" t="s">
        <v>22</v>
      </c>
      <c r="K1062" s="59" t="s">
        <v>23</v>
      </c>
      <c r="L1062" s="59" t="s">
        <v>23</v>
      </c>
      <c r="M1062" s="47" t="s">
        <v>47</v>
      </c>
    </row>
    <row r="1063" customHeight="1" spans="1:13">
      <c r="A1063" s="47" t="s">
        <v>2062</v>
      </c>
      <c r="B1063" s="47" t="s">
        <v>2048</v>
      </c>
      <c r="C1063" s="47" t="s">
        <v>75</v>
      </c>
      <c r="D1063" s="47" t="s">
        <v>107</v>
      </c>
      <c r="E1063" s="47" t="s">
        <v>103</v>
      </c>
      <c r="F1063" s="47" t="s">
        <v>37</v>
      </c>
      <c r="G1063" s="47" t="s">
        <v>38</v>
      </c>
      <c r="H1063" s="47" t="s">
        <v>77</v>
      </c>
      <c r="I1063" s="47" t="s">
        <v>416</v>
      </c>
      <c r="J1063" s="47" t="s">
        <v>22</v>
      </c>
      <c r="K1063" s="59" t="s">
        <v>23</v>
      </c>
      <c r="L1063" s="59" t="s">
        <v>23</v>
      </c>
      <c r="M1063" s="47" t="s">
        <v>40</v>
      </c>
    </row>
    <row r="1064" customHeight="1" spans="1:13">
      <c r="A1064" s="47" t="s">
        <v>2063</v>
      </c>
      <c r="B1064" s="47" t="s">
        <v>2048</v>
      </c>
      <c r="C1064" s="47" t="s">
        <v>1809</v>
      </c>
      <c r="D1064" s="47" t="s">
        <v>43</v>
      </c>
      <c r="E1064" s="47" t="s">
        <v>63</v>
      </c>
      <c r="F1064" s="47" t="s">
        <v>18</v>
      </c>
      <c r="G1064" s="47" t="s">
        <v>29</v>
      </c>
      <c r="H1064" s="47" t="s">
        <v>64</v>
      </c>
      <c r="I1064" s="47" t="s">
        <v>227</v>
      </c>
      <c r="J1064" s="47" t="s">
        <v>32</v>
      </c>
      <c r="K1064" s="59" t="s">
        <v>23</v>
      </c>
      <c r="L1064" s="59" t="s">
        <v>23</v>
      </c>
      <c r="M1064" s="47" t="s">
        <v>40</v>
      </c>
    </row>
    <row r="1065" customHeight="1" spans="1:13">
      <c r="A1065" s="47" t="s">
        <v>2064</v>
      </c>
      <c r="B1065" s="47" t="s">
        <v>2048</v>
      </c>
      <c r="C1065" s="47" t="s">
        <v>586</v>
      </c>
      <c r="D1065" s="47" t="s">
        <v>16</v>
      </c>
      <c r="E1065" s="47" t="s">
        <v>57</v>
      </c>
      <c r="F1065" s="47" t="s">
        <v>28</v>
      </c>
      <c r="G1065" s="47" t="s">
        <v>38</v>
      </c>
      <c r="H1065" s="47" t="s">
        <v>1408</v>
      </c>
      <c r="I1065" s="47" t="s">
        <v>58</v>
      </c>
      <c r="J1065" s="47" t="s">
        <v>32</v>
      </c>
      <c r="K1065" s="59" t="s">
        <v>23</v>
      </c>
      <c r="L1065" s="47" t="s">
        <v>54</v>
      </c>
      <c r="M1065" s="47" t="s">
        <v>73</v>
      </c>
    </row>
    <row r="1066" customHeight="1" spans="1:13">
      <c r="A1066" s="47" t="s">
        <v>2065</v>
      </c>
      <c r="B1066" s="47" t="s">
        <v>2048</v>
      </c>
      <c r="C1066" s="47" t="s">
        <v>489</v>
      </c>
      <c r="D1066" s="47" t="s">
        <v>16</v>
      </c>
      <c r="E1066" s="47" t="s">
        <v>146</v>
      </c>
      <c r="F1066" s="47" t="s">
        <v>28</v>
      </c>
      <c r="G1066" s="47" t="s">
        <v>38</v>
      </c>
      <c r="H1066" s="47" t="s">
        <v>147</v>
      </c>
      <c r="I1066" s="47" t="s">
        <v>147</v>
      </c>
      <c r="J1066" s="47" t="s">
        <v>22</v>
      </c>
      <c r="K1066" s="59" t="s">
        <v>23</v>
      </c>
      <c r="L1066" s="59" t="s">
        <v>23</v>
      </c>
      <c r="M1066" s="47" t="s">
        <v>40</v>
      </c>
    </row>
    <row r="1067" customHeight="1" spans="1:13">
      <c r="A1067" s="47" t="s">
        <v>2066</v>
      </c>
      <c r="B1067" s="47" t="s">
        <v>2067</v>
      </c>
      <c r="C1067" s="47" t="s">
        <v>653</v>
      </c>
      <c r="D1067" s="47" t="s">
        <v>16</v>
      </c>
      <c r="E1067" s="47" t="s">
        <v>63</v>
      </c>
      <c r="F1067" s="47" t="s">
        <v>18</v>
      </c>
      <c r="G1067" s="47" t="s">
        <v>38</v>
      </c>
      <c r="H1067" s="47" t="s">
        <v>64</v>
      </c>
      <c r="I1067" s="59" t="s">
        <v>23</v>
      </c>
      <c r="J1067" s="47" t="s">
        <v>22</v>
      </c>
      <c r="K1067" s="59" t="s">
        <v>23</v>
      </c>
      <c r="L1067" s="59" t="s">
        <v>23</v>
      </c>
      <c r="M1067" s="47" t="s">
        <v>24</v>
      </c>
    </row>
    <row r="1068" customHeight="1" spans="1:13">
      <c r="A1068" s="47" t="s">
        <v>2068</v>
      </c>
      <c r="B1068" s="47" t="s">
        <v>2069</v>
      </c>
      <c r="C1068" s="47" t="s">
        <v>2070</v>
      </c>
      <c r="D1068" s="47" t="s">
        <v>16</v>
      </c>
      <c r="E1068" s="47" t="s">
        <v>81</v>
      </c>
      <c r="F1068" s="47" t="s">
        <v>37</v>
      </c>
      <c r="G1068" s="47" t="s">
        <v>38</v>
      </c>
      <c r="H1068" s="47" t="s">
        <v>82</v>
      </c>
      <c r="I1068" s="47" t="s">
        <v>82</v>
      </c>
      <c r="J1068" s="47" t="s">
        <v>32</v>
      </c>
      <c r="K1068" s="59" t="s">
        <v>23</v>
      </c>
      <c r="L1068" s="59" t="s">
        <v>23</v>
      </c>
      <c r="M1068" s="47" t="s">
        <v>40</v>
      </c>
    </row>
    <row r="1069" customHeight="1" spans="1:13">
      <c r="A1069" s="47" t="s">
        <v>2071</v>
      </c>
      <c r="B1069" s="47" t="s">
        <v>2069</v>
      </c>
      <c r="C1069" s="47" t="s">
        <v>2072</v>
      </c>
      <c r="D1069" s="47" t="s">
        <v>107</v>
      </c>
      <c r="E1069" s="47" t="s">
        <v>50</v>
      </c>
      <c r="F1069" s="47" t="s">
        <v>28</v>
      </c>
      <c r="G1069" s="47" t="s">
        <v>19</v>
      </c>
      <c r="H1069" s="47" t="s">
        <v>52</v>
      </c>
      <c r="I1069" s="47" t="s">
        <v>425</v>
      </c>
      <c r="J1069" s="47" t="s">
        <v>32</v>
      </c>
      <c r="K1069" s="59" t="s">
        <v>23</v>
      </c>
      <c r="L1069" s="47" t="s">
        <v>54</v>
      </c>
      <c r="M1069" s="47" t="s">
        <v>40</v>
      </c>
    </row>
    <row r="1070" customHeight="1" spans="1:13">
      <c r="A1070" s="47" t="s">
        <v>2073</v>
      </c>
      <c r="B1070" s="47" t="s">
        <v>2069</v>
      </c>
      <c r="C1070" s="47" t="s">
        <v>1957</v>
      </c>
      <c r="D1070" s="47" t="s">
        <v>16</v>
      </c>
      <c r="E1070" s="47" t="s">
        <v>50</v>
      </c>
      <c r="F1070" s="47" t="s">
        <v>28</v>
      </c>
      <c r="G1070" s="47" t="s">
        <v>38</v>
      </c>
      <c r="H1070" s="47" t="s">
        <v>52</v>
      </c>
      <c r="I1070" s="47" t="s">
        <v>52</v>
      </c>
      <c r="J1070" s="47" t="s">
        <v>22</v>
      </c>
      <c r="K1070" s="59" t="s">
        <v>23</v>
      </c>
      <c r="L1070" s="59" t="s">
        <v>23</v>
      </c>
      <c r="M1070" s="47" t="s">
        <v>73</v>
      </c>
    </row>
    <row r="1071" customHeight="1" spans="1:13">
      <c r="A1071" s="47" t="s">
        <v>2074</v>
      </c>
      <c r="B1071" s="47" t="s">
        <v>2069</v>
      </c>
      <c r="C1071" s="47" t="s">
        <v>2075</v>
      </c>
      <c r="D1071" s="47" t="s">
        <v>156</v>
      </c>
      <c r="E1071" s="47" t="s">
        <v>17</v>
      </c>
      <c r="F1071" s="47" t="s">
        <v>18</v>
      </c>
      <c r="G1071" s="47" t="s">
        <v>38</v>
      </c>
      <c r="H1071" s="47" t="s">
        <v>20</v>
      </c>
      <c r="I1071" s="47" t="s">
        <v>20</v>
      </c>
      <c r="J1071" s="47" t="s">
        <v>22</v>
      </c>
      <c r="K1071" s="59" t="s">
        <v>23</v>
      </c>
      <c r="L1071" s="59" t="s">
        <v>23</v>
      </c>
      <c r="M1071" s="47" t="s">
        <v>73</v>
      </c>
    </row>
    <row r="1072" customHeight="1" spans="1:13">
      <c r="A1072" s="47" t="s">
        <v>2076</v>
      </c>
      <c r="B1072" s="47" t="s">
        <v>2069</v>
      </c>
      <c r="C1072" s="47" t="s">
        <v>2077</v>
      </c>
      <c r="D1072" s="47" t="s">
        <v>16</v>
      </c>
      <c r="E1072" s="47" t="s">
        <v>17</v>
      </c>
      <c r="F1072" s="47" t="s">
        <v>18</v>
      </c>
      <c r="G1072" s="47" t="s">
        <v>38</v>
      </c>
      <c r="H1072" s="47" t="s">
        <v>20</v>
      </c>
      <c r="I1072" s="47" t="s">
        <v>20</v>
      </c>
      <c r="J1072" s="47" t="s">
        <v>22</v>
      </c>
      <c r="K1072" s="59" t="s">
        <v>23</v>
      </c>
      <c r="L1072" s="59" t="s">
        <v>23</v>
      </c>
      <c r="M1072" s="47" t="s">
        <v>40</v>
      </c>
    </row>
    <row r="1073" customHeight="1" spans="1:13">
      <c r="A1073" s="47" t="s">
        <v>2078</v>
      </c>
      <c r="B1073" s="47" t="s">
        <v>2069</v>
      </c>
      <c r="C1073" s="47" t="s">
        <v>142</v>
      </c>
      <c r="D1073" s="47" t="s">
        <v>513</v>
      </c>
      <c r="E1073" s="47" t="s">
        <v>63</v>
      </c>
      <c r="F1073" s="47" t="s">
        <v>18</v>
      </c>
      <c r="G1073" s="47" t="s">
        <v>38</v>
      </c>
      <c r="H1073" s="47" t="s">
        <v>64</v>
      </c>
      <c r="I1073" s="47" t="s">
        <v>64</v>
      </c>
      <c r="J1073" s="47" t="s">
        <v>753</v>
      </c>
      <c r="K1073" s="59" t="s">
        <v>23</v>
      </c>
      <c r="L1073" s="59" t="s">
        <v>23</v>
      </c>
      <c r="M1073" s="47" t="s">
        <v>33</v>
      </c>
    </row>
    <row r="1074" customHeight="1" spans="1:13">
      <c r="A1074" s="47" t="s">
        <v>2079</v>
      </c>
      <c r="B1074" s="47" t="s">
        <v>2069</v>
      </c>
      <c r="C1074" s="47" t="s">
        <v>1289</v>
      </c>
      <c r="D1074" s="47" t="s">
        <v>43</v>
      </c>
      <c r="E1074" s="47" t="s">
        <v>63</v>
      </c>
      <c r="F1074" s="47" t="s">
        <v>18</v>
      </c>
      <c r="G1074" s="47" t="s">
        <v>19</v>
      </c>
      <c r="H1074" s="47" t="s">
        <v>64</v>
      </c>
      <c r="I1074" s="47" t="s">
        <v>39</v>
      </c>
      <c r="J1074" s="47" t="s">
        <v>32</v>
      </c>
      <c r="K1074" s="59" t="s">
        <v>23</v>
      </c>
      <c r="L1074" s="47" t="s">
        <v>65</v>
      </c>
      <c r="M1074" s="47" t="s">
        <v>47</v>
      </c>
    </row>
    <row r="1075" customHeight="1" spans="1:13">
      <c r="A1075" s="47" t="s">
        <v>2080</v>
      </c>
      <c r="B1075" s="47" t="s">
        <v>2069</v>
      </c>
      <c r="C1075" s="47" t="s">
        <v>231</v>
      </c>
      <c r="D1075" s="47" t="s">
        <v>137</v>
      </c>
      <c r="E1075" s="47" t="s">
        <v>50</v>
      </c>
      <c r="F1075" s="47" t="s">
        <v>28</v>
      </c>
      <c r="G1075" s="47" t="s">
        <v>29</v>
      </c>
      <c r="H1075" s="47" t="s">
        <v>52</v>
      </c>
      <c r="I1075" s="47" t="s">
        <v>2081</v>
      </c>
      <c r="J1075" s="47" t="s">
        <v>32</v>
      </c>
      <c r="K1075" s="47" t="s">
        <v>53</v>
      </c>
      <c r="L1075" s="47" t="s">
        <v>54</v>
      </c>
      <c r="M1075" s="47" t="s">
        <v>73</v>
      </c>
    </row>
    <row r="1076" customHeight="1" spans="1:13">
      <c r="A1076" s="47" t="s">
        <v>2082</v>
      </c>
      <c r="B1076" s="47" t="s">
        <v>2069</v>
      </c>
      <c r="C1076" s="47" t="s">
        <v>1576</v>
      </c>
      <c r="D1076" s="47" t="s">
        <v>16</v>
      </c>
      <c r="E1076" s="47" t="s">
        <v>57</v>
      </c>
      <c r="F1076" s="47" t="s">
        <v>28</v>
      </c>
      <c r="G1076" s="47" t="s">
        <v>38</v>
      </c>
      <c r="H1076" s="59" t="s">
        <v>23</v>
      </c>
      <c r="I1076" s="47" t="s">
        <v>58</v>
      </c>
      <c r="J1076" s="47" t="s">
        <v>22</v>
      </c>
      <c r="K1076" s="59" t="s">
        <v>23</v>
      </c>
      <c r="L1076" s="59" t="s">
        <v>23</v>
      </c>
      <c r="M1076" s="47" t="s">
        <v>73</v>
      </c>
    </row>
    <row r="1077" customHeight="1" spans="1:13">
      <c r="A1077" s="47" t="s">
        <v>2082</v>
      </c>
      <c r="B1077" s="47" t="s">
        <v>2069</v>
      </c>
      <c r="C1077" s="47" t="s">
        <v>1576</v>
      </c>
      <c r="D1077" s="47" t="s">
        <v>16</v>
      </c>
      <c r="E1077" s="47" t="s">
        <v>57</v>
      </c>
      <c r="F1077" s="47" t="s">
        <v>28</v>
      </c>
      <c r="G1077" s="47" t="s">
        <v>38</v>
      </c>
      <c r="H1077" s="47" t="s">
        <v>58</v>
      </c>
      <c r="I1077" s="47" t="s">
        <v>58</v>
      </c>
      <c r="J1077" s="47" t="s">
        <v>22</v>
      </c>
      <c r="K1077" s="59" t="s">
        <v>23</v>
      </c>
      <c r="L1077" s="59" t="s">
        <v>23</v>
      </c>
      <c r="M1077" s="47" t="s">
        <v>73</v>
      </c>
    </row>
    <row r="1078" customHeight="1" spans="1:13">
      <c r="A1078" s="47" t="s">
        <v>2083</v>
      </c>
      <c r="B1078" s="47" t="s">
        <v>2084</v>
      </c>
      <c r="C1078" s="47" t="s">
        <v>1809</v>
      </c>
      <c r="D1078" s="47" t="s">
        <v>43</v>
      </c>
      <c r="E1078" s="47" t="s">
        <v>81</v>
      </c>
      <c r="F1078" s="47" t="s">
        <v>37</v>
      </c>
      <c r="G1078" s="47" t="s">
        <v>19</v>
      </c>
      <c r="H1078" s="47" t="s">
        <v>82</v>
      </c>
      <c r="I1078" s="47" t="s">
        <v>184</v>
      </c>
      <c r="J1078" s="47" t="s">
        <v>32</v>
      </c>
      <c r="K1078" s="59" t="s">
        <v>23</v>
      </c>
      <c r="L1078" s="59" t="s">
        <v>23</v>
      </c>
      <c r="M1078" s="47" t="s">
        <v>73</v>
      </c>
    </row>
    <row r="1079" customHeight="1" spans="1:13">
      <c r="A1079" s="47" t="s">
        <v>2085</v>
      </c>
      <c r="B1079" s="47" t="s">
        <v>2069</v>
      </c>
      <c r="C1079" s="47" t="s">
        <v>471</v>
      </c>
      <c r="D1079" s="47" t="s">
        <v>43</v>
      </c>
      <c r="E1079" s="47" t="s">
        <v>367</v>
      </c>
      <c r="F1079" s="47" t="s">
        <v>109</v>
      </c>
      <c r="G1079" s="47" t="s">
        <v>19</v>
      </c>
      <c r="H1079" s="47" t="s">
        <v>110</v>
      </c>
      <c r="I1079" s="47" t="s">
        <v>525</v>
      </c>
      <c r="J1079" s="47" t="s">
        <v>22</v>
      </c>
      <c r="K1079" s="47" t="s">
        <v>53</v>
      </c>
      <c r="L1079" s="59" t="s">
        <v>23</v>
      </c>
      <c r="M1079" s="47" t="s">
        <v>73</v>
      </c>
    </row>
    <row r="1080" customHeight="1" spans="1:13">
      <c r="A1080" s="47" t="s">
        <v>2086</v>
      </c>
      <c r="B1080" s="47" t="s">
        <v>2087</v>
      </c>
      <c r="C1080" s="47" t="s">
        <v>1291</v>
      </c>
      <c r="D1080" s="47" t="s">
        <v>16</v>
      </c>
      <c r="E1080" s="47" t="s">
        <v>57</v>
      </c>
      <c r="F1080" s="47" t="s">
        <v>28</v>
      </c>
      <c r="G1080" s="47" t="s">
        <v>19</v>
      </c>
      <c r="H1080" s="47" t="s">
        <v>58</v>
      </c>
      <c r="I1080" s="47" t="s">
        <v>657</v>
      </c>
      <c r="J1080" s="47" t="s">
        <v>22</v>
      </c>
      <c r="K1080" s="47" t="s">
        <v>119</v>
      </c>
      <c r="L1080" s="47" t="s">
        <v>54</v>
      </c>
      <c r="M1080" s="47" t="s">
        <v>320</v>
      </c>
    </row>
    <row r="1081" customHeight="1" spans="1:13">
      <c r="A1081" s="47" t="s">
        <v>2088</v>
      </c>
      <c r="B1081" s="47" t="s">
        <v>2089</v>
      </c>
      <c r="C1081" s="47" t="s">
        <v>2090</v>
      </c>
      <c r="D1081" s="47" t="s">
        <v>107</v>
      </c>
      <c r="E1081" s="47" t="s">
        <v>57</v>
      </c>
      <c r="F1081" s="47" t="s">
        <v>28</v>
      </c>
      <c r="G1081" s="47" t="s">
        <v>19</v>
      </c>
      <c r="H1081" s="47" t="s">
        <v>58</v>
      </c>
      <c r="I1081" s="47" t="s">
        <v>140</v>
      </c>
      <c r="J1081" s="47" t="s">
        <v>22</v>
      </c>
      <c r="K1081" s="59" t="s">
        <v>23</v>
      </c>
      <c r="L1081" s="59" t="s">
        <v>23</v>
      </c>
      <c r="M1081" s="47" t="s">
        <v>40</v>
      </c>
    </row>
    <row r="1082" customHeight="1" spans="1:13">
      <c r="A1082" s="47" t="s">
        <v>2091</v>
      </c>
      <c r="B1082" s="47" t="s">
        <v>2089</v>
      </c>
      <c r="C1082" s="47" t="s">
        <v>1889</v>
      </c>
      <c r="D1082" s="47" t="s">
        <v>16</v>
      </c>
      <c r="E1082" s="47" t="s">
        <v>27</v>
      </c>
      <c r="F1082" s="47" t="s">
        <v>28</v>
      </c>
      <c r="G1082" s="47" t="s">
        <v>38</v>
      </c>
      <c r="H1082" s="47" t="s">
        <v>30</v>
      </c>
      <c r="I1082" s="47" t="s">
        <v>30</v>
      </c>
      <c r="J1082" s="47" t="s">
        <v>22</v>
      </c>
      <c r="K1082" s="59" t="s">
        <v>23</v>
      </c>
      <c r="L1082" s="59" t="s">
        <v>23</v>
      </c>
      <c r="M1082" s="47" t="s">
        <v>73</v>
      </c>
    </row>
    <row r="1083" customHeight="1" spans="1:13">
      <c r="A1083" s="47" t="s">
        <v>2092</v>
      </c>
      <c r="B1083" s="47" t="s">
        <v>2093</v>
      </c>
      <c r="C1083" s="47" t="s">
        <v>924</v>
      </c>
      <c r="D1083" s="47" t="s">
        <v>16</v>
      </c>
      <c r="E1083" s="47" t="s">
        <v>36</v>
      </c>
      <c r="F1083" s="47" t="s">
        <v>37</v>
      </c>
      <c r="G1083" s="47" t="s">
        <v>38</v>
      </c>
      <c r="H1083" s="47" t="s">
        <v>39</v>
      </c>
      <c r="I1083" s="47" t="s">
        <v>2094</v>
      </c>
      <c r="J1083" s="47" t="s">
        <v>22</v>
      </c>
      <c r="K1083" s="47" t="s">
        <v>53</v>
      </c>
      <c r="L1083" s="47" t="s">
        <v>65</v>
      </c>
      <c r="M1083" s="47" t="s">
        <v>73</v>
      </c>
    </row>
    <row r="1084" customHeight="1" spans="1:13">
      <c r="A1084" s="47" t="s">
        <v>2095</v>
      </c>
      <c r="B1084" s="47" t="s">
        <v>2089</v>
      </c>
      <c r="C1084" s="47" t="s">
        <v>405</v>
      </c>
      <c r="D1084" s="47" t="s">
        <v>1369</v>
      </c>
      <c r="E1084" s="47" t="s">
        <v>81</v>
      </c>
      <c r="F1084" s="47" t="s">
        <v>37</v>
      </c>
      <c r="G1084" s="47" t="s">
        <v>38</v>
      </c>
      <c r="H1084" s="47" t="s">
        <v>82</v>
      </c>
      <c r="I1084" s="47" t="s">
        <v>82</v>
      </c>
      <c r="J1084" s="47" t="s">
        <v>22</v>
      </c>
      <c r="K1084" s="59" t="s">
        <v>23</v>
      </c>
      <c r="L1084" s="59" t="s">
        <v>23</v>
      </c>
      <c r="M1084" s="47" t="s">
        <v>24</v>
      </c>
    </row>
    <row r="1085" customHeight="1" spans="1:13">
      <c r="A1085" s="47" t="s">
        <v>2096</v>
      </c>
      <c r="B1085" s="47" t="s">
        <v>2089</v>
      </c>
      <c r="C1085" s="47" t="s">
        <v>629</v>
      </c>
      <c r="D1085" s="47" t="s">
        <v>16</v>
      </c>
      <c r="E1085" s="47" t="s">
        <v>81</v>
      </c>
      <c r="F1085" s="47" t="s">
        <v>37</v>
      </c>
      <c r="G1085" s="47" t="s">
        <v>38</v>
      </c>
      <c r="H1085" s="47" t="s">
        <v>82</v>
      </c>
      <c r="I1085" s="47" t="s">
        <v>82</v>
      </c>
      <c r="J1085" s="47" t="s">
        <v>32</v>
      </c>
      <c r="K1085" s="59" t="s">
        <v>23</v>
      </c>
      <c r="L1085" s="47" t="s">
        <v>65</v>
      </c>
      <c r="M1085" s="47" t="s">
        <v>33</v>
      </c>
    </row>
    <row r="1086" customHeight="1" spans="1:13">
      <c r="A1086" s="47" t="s">
        <v>2097</v>
      </c>
      <c r="B1086" s="47" t="s">
        <v>2089</v>
      </c>
      <c r="C1086" s="47" t="s">
        <v>271</v>
      </c>
      <c r="D1086" s="47" t="s">
        <v>16</v>
      </c>
      <c r="E1086" s="47" t="s">
        <v>647</v>
      </c>
      <c r="F1086" s="47" t="s">
        <v>45</v>
      </c>
      <c r="G1086" s="47" t="s">
        <v>19</v>
      </c>
      <c r="H1086" s="47" t="s">
        <v>227</v>
      </c>
      <c r="I1086" s="47" t="s">
        <v>761</v>
      </c>
      <c r="J1086" s="47" t="s">
        <v>32</v>
      </c>
      <c r="K1086" s="59" t="s">
        <v>23</v>
      </c>
      <c r="L1086" s="59" t="s">
        <v>23</v>
      </c>
      <c r="M1086" s="47" t="s">
        <v>33</v>
      </c>
    </row>
    <row r="1087" customHeight="1" spans="1:13">
      <c r="A1087" s="47" t="s">
        <v>2098</v>
      </c>
      <c r="B1087" s="47" t="s">
        <v>2089</v>
      </c>
      <c r="C1087" s="47" t="s">
        <v>1573</v>
      </c>
      <c r="D1087" s="47" t="s">
        <v>16</v>
      </c>
      <c r="E1087" s="47" t="s">
        <v>63</v>
      </c>
      <c r="F1087" s="47" t="s">
        <v>18</v>
      </c>
      <c r="G1087" s="47" t="s">
        <v>38</v>
      </c>
      <c r="H1087" s="47" t="s">
        <v>64</v>
      </c>
      <c r="I1087" s="47" t="s">
        <v>64</v>
      </c>
      <c r="J1087" s="47" t="s">
        <v>22</v>
      </c>
      <c r="K1087" s="59" t="s">
        <v>23</v>
      </c>
      <c r="L1087" s="59" t="s">
        <v>23</v>
      </c>
      <c r="M1087" s="47" t="s">
        <v>24</v>
      </c>
    </row>
    <row r="1088" customHeight="1" spans="1:13">
      <c r="A1088" s="47" t="s">
        <v>2099</v>
      </c>
      <c r="B1088" s="47" t="s">
        <v>2089</v>
      </c>
      <c r="C1088" s="47" t="s">
        <v>1038</v>
      </c>
      <c r="D1088" s="47" t="s">
        <v>43</v>
      </c>
      <c r="E1088" s="47" t="s">
        <v>341</v>
      </c>
      <c r="F1088" s="47" t="s">
        <v>28</v>
      </c>
      <c r="G1088" s="47" t="s">
        <v>19</v>
      </c>
      <c r="H1088" s="47" t="s">
        <v>147</v>
      </c>
      <c r="I1088" s="47" t="s">
        <v>2100</v>
      </c>
      <c r="J1088" s="47" t="s">
        <v>22</v>
      </c>
      <c r="K1088" s="47" t="s">
        <v>119</v>
      </c>
      <c r="L1088" s="59" t="s">
        <v>23</v>
      </c>
      <c r="M1088" s="47" t="s">
        <v>73</v>
      </c>
    </row>
    <row r="1089" customHeight="1" spans="1:13">
      <c r="A1089" s="47" t="s">
        <v>2101</v>
      </c>
      <c r="B1089" s="47" t="s">
        <v>2089</v>
      </c>
      <c r="C1089" s="47" t="s">
        <v>1914</v>
      </c>
      <c r="D1089" s="47" t="s">
        <v>134</v>
      </c>
      <c r="E1089" s="47" t="s">
        <v>103</v>
      </c>
      <c r="F1089" s="47" t="s">
        <v>37</v>
      </c>
      <c r="G1089" s="47" t="s">
        <v>38</v>
      </c>
      <c r="H1089" s="47" t="s">
        <v>77</v>
      </c>
      <c r="I1089" s="47" t="s">
        <v>77</v>
      </c>
      <c r="J1089" s="47" t="s">
        <v>32</v>
      </c>
      <c r="K1089" s="59" t="s">
        <v>23</v>
      </c>
      <c r="L1089" s="47" t="s">
        <v>65</v>
      </c>
      <c r="M1089" s="47" t="s">
        <v>40</v>
      </c>
    </row>
    <row r="1090" customHeight="1" spans="1:13">
      <c r="A1090" s="47" t="s">
        <v>2102</v>
      </c>
      <c r="B1090" s="47" t="s">
        <v>2103</v>
      </c>
      <c r="C1090" s="47" t="s">
        <v>468</v>
      </c>
      <c r="D1090" s="47" t="s">
        <v>16</v>
      </c>
      <c r="E1090" s="47" t="s">
        <v>188</v>
      </c>
      <c r="F1090" s="47" t="s">
        <v>37</v>
      </c>
      <c r="G1090" s="47" t="s">
        <v>38</v>
      </c>
      <c r="H1090" s="47" t="s">
        <v>77</v>
      </c>
      <c r="I1090" s="47" t="s">
        <v>77</v>
      </c>
      <c r="J1090" s="47" t="s">
        <v>32</v>
      </c>
      <c r="K1090" s="59" t="s">
        <v>23</v>
      </c>
      <c r="L1090" s="59" t="s">
        <v>23</v>
      </c>
      <c r="M1090" s="47" t="s">
        <v>73</v>
      </c>
    </row>
    <row r="1091" customHeight="1" spans="1:13">
      <c r="A1091" s="47" t="s">
        <v>2104</v>
      </c>
      <c r="B1091" s="47" t="s">
        <v>2089</v>
      </c>
      <c r="C1091" s="47" t="s">
        <v>1330</v>
      </c>
      <c r="D1091" s="47" t="s">
        <v>43</v>
      </c>
      <c r="E1091" s="47" t="s">
        <v>36</v>
      </c>
      <c r="F1091" s="47" t="s">
        <v>37</v>
      </c>
      <c r="G1091" s="47" t="s">
        <v>38</v>
      </c>
      <c r="H1091" s="47" t="s">
        <v>130</v>
      </c>
      <c r="I1091" s="47" t="s">
        <v>987</v>
      </c>
      <c r="J1091" s="47" t="s">
        <v>22</v>
      </c>
      <c r="K1091" s="47" t="s">
        <v>119</v>
      </c>
      <c r="L1091" s="59" t="s">
        <v>23</v>
      </c>
      <c r="M1091" s="47" t="s">
        <v>33</v>
      </c>
    </row>
    <row r="1092" customHeight="1" spans="1:13">
      <c r="A1092" s="47" t="s">
        <v>2105</v>
      </c>
      <c r="B1092" s="47" t="s">
        <v>2106</v>
      </c>
      <c r="C1092" s="47" t="s">
        <v>2107</v>
      </c>
      <c r="D1092" s="47" t="s">
        <v>16</v>
      </c>
      <c r="E1092" s="47" t="s">
        <v>27</v>
      </c>
      <c r="F1092" s="47" t="s">
        <v>28</v>
      </c>
      <c r="G1092" s="47" t="s">
        <v>38</v>
      </c>
      <c r="H1092" s="47" t="s">
        <v>30</v>
      </c>
      <c r="I1092" s="47" t="s">
        <v>30</v>
      </c>
      <c r="J1092" s="47" t="s">
        <v>32</v>
      </c>
      <c r="K1092" s="59" t="s">
        <v>23</v>
      </c>
      <c r="L1092" s="59" t="s">
        <v>23</v>
      </c>
      <c r="M1092" s="47" t="s">
        <v>73</v>
      </c>
    </row>
    <row r="1093" customHeight="1" spans="1:13">
      <c r="A1093" s="47" t="s">
        <v>2108</v>
      </c>
      <c r="B1093" s="47" t="s">
        <v>2106</v>
      </c>
      <c r="C1093" s="47" t="s">
        <v>2109</v>
      </c>
      <c r="D1093" s="47" t="s">
        <v>16</v>
      </c>
      <c r="E1093" s="47" t="s">
        <v>1385</v>
      </c>
      <c r="F1093" s="47" t="s">
        <v>28</v>
      </c>
      <c r="G1093" s="47" t="s">
        <v>19</v>
      </c>
      <c r="H1093" s="47" t="s">
        <v>147</v>
      </c>
      <c r="I1093" s="47" t="s">
        <v>474</v>
      </c>
      <c r="J1093" s="47" t="s">
        <v>22</v>
      </c>
      <c r="K1093" s="59" t="s">
        <v>23</v>
      </c>
      <c r="L1093" s="47" t="s">
        <v>65</v>
      </c>
      <c r="M1093" s="47" t="s">
        <v>73</v>
      </c>
    </row>
    <row r="1094" customHeight="1" spans="1:13">
      <c r="A1094" s="47" t="s">
        <v>2110</v>
      </c>
      <c r="B1094" s="47" t="s">
        <v>2106</v>
      </c>
      <c r="C1094" s="47" t="s">
        <v>67</v>
      </c>
      <c r="D1094" s="47" t="s">
        <v>16</v>
      </c>
      <c r="E1094" s="47" t="s">
        <v>36</v>
      </c>
      <c r="F1094" s="47" t="s">
        <v>37</v>
      </c>
      <c r="G1094" s="47" t="s">
        <v>29</v>
      </c>
      <c r="H1094" s="47" t="s">
        <v>39</v>
      </c>
      <c r="I1094" s="47" t="s">
        <v>761</v>
      </c>
      <c r="J1094" s="47" t="s">
        <v>32</v>
      </c>
      <c r="K1094" s="59" t="s">
        <v>23</v>
      </c>
      <c r="L1094" s="47" t="s">
        <v>65</v>
      </c>
      <c r="M1094" s="47" t="s">
        <v>24</v>
      </c>
    </row>
    <row r="1095" customHeight="1" spans="1:13">
      <c r="A1095" s="47" t="s">
        <v>2111</v>
      </c>
      <c r="B1095" s="47" t="s">
        <v>2106</v>
      </c>
      <c r="C1095" s="47" t="s">
        <v>670</v>
      </c>
      <c r="D1095" s="47" t="s">
        <v>16</v>
      </c>
      <c r="E1095" s="47" t="s">
        <v>146</v>
      </c>
      <c r="F1095" s="47" t="s">
        <v>28</v>
      </c>
      <c r="G1095" s="47" t="s">
        <v>38</v>
      </c>
      <c r="H1095" s="47" t="s">
        <v>147</v>
      </c>
      <c r="I1095" s="59" t="s">
        <v>23</v>
      </c>
      <c r="J1095" s="47" t="s">
        <v>32</v>
      </c>
      <c r="K1095" s="59" t="s">
        <v>23</v>
      </c>
      <c r="L1095" s="59" t="s">
        <v>23</v>
      </c>
      <c r="M1095" s="47" t="s">
        <v>24</v>
      </c>
    </row>
    <row r="1096" customHeight="1" spans="1:13">
      <c r="A1096" s="47" t="s">
        <v>2112</v>
      </c>
      <c r="B1096" s="47" t="s">
        <v>2106</v>
      </c>
      <c r="C1096" s="47" t="s">
        <v>859</v>
      </c>
      <c r="D1096" s="47" t="s">
        <v>16</v>
      </c>
      <c r="E1096" s="47" t="s">
        <v>146</v>
      </c>
      <c r="F1096" s="47" t="s">
        <v>28</v>
      </c>
      <c r="G1096" s="47" t="s">
        <v>19</v>
      </c>
      <c r="H1096" s="47" t="s">
        <v>147</v>
      </c>
      <c r="I1096" s="47" t="s">
        <v>474</v>
      </c>
      <c r="J1096" s="47" t="s">
        <v>22</v>
      </c>
      <c r="K1096" s="59" t="s">
        <v>23</v>
      </c>
      <c r="L1096" s="59" t="s">
        <v>23</v>
      </c>
      <c r="M1096" s="47" t="s">
        <v>47</v>
      </c>
    </row>
    <row r="1097" customHeight="1" spans="1:13">
      <c r="A1097" s="47" t="s">
        <v>2113</v>
      </c>
      <c r="B1097" s="47" t="s">
        <v>2106</v>
      </c>
      <c r="C1097" s="47" t="s">
        <v>408</v>
      </c>
      <c r="D1097" s="47" t="s">
        <v>43</v>
      </c>
      <c r="E1097" s="47" t="s">
        <v>57</v>
      </c>
      <c r="F1097" s="47" t="s">
        <v>28</v>
      </c>
      <c r="G1097" s="47" t="s">
        <v>38</v>
      </c>
      <c r="H1097" s="47" t="s">
        <v>58</v>
      </c>
      <c r="I1097" s="47" t="s">
        <v>58</v>
      </c>
      <c r="J1097" s="47" t="s">
        <v>32</v>
      </c>
      <c r="K1097" s="59" t="s">
        <v>23</v>
      </c>
      <c r="L1097" s="47" t="s">
        <v>65</v>
      </c>
      <c r="M1097" s="47" t="s">
        <v>40</v>
      </c>
    </row>
    <row r="1098" customHeight="1" spans="1:13">
      <c r="A1098" s="47" t="s">
        <v>2114</v>
      </c>
      <c r="B1098" s="47" t="s">
        <v>2106</v>
      </c>
      <c r="C1098" s="47" t="s">
        <v>674</v>
      </c>
      <c r="D1098" s="47" t="s">
        <v>107</v>
      </c>
      <c r="E1098" s="47" t="s">
        <v>81</v>
      </c>
      <c r="F1098" s="47" t="s">
        <v>37</v>
      </c>
      <c r="G1098" s="47" t="s">
        <v>38</v>
      </c>
      <c r="H1098" s="47" t="s">
        <v>82</v>
      </c>
      <c r="I1098" s="47" t="s">
        <v>683</v>
      </c>
      <c r="J1098" s="47" t="s">
        <v>32</v>
      </c>
      <c r="K1098" s="47" t="s">
        <v>143</v>
      </c>
      <c r="L1098" s="59" t="s">
        <v>23</v>
      </c>
      <c r="M1098" s="47" t="s">
        <v>40</v>
      </c>
    </row>
    <row r="1099" customHeight="1" spans="1:13">
      <c r="A1099" s="47" t="s">
        <v>2115</v>
      </c>
      <c r="B1099" s="47" t="s">
        <v>2106</v>
      </c>
      <c r="C1099" s="47" t="s">
        <v>471</v>
      </c>
      <c r="D1099" s="47" t="s">
        <v>16</v>
      </c>
      <c r="E1099" s="47" t="s">
        <v>396</v>
      </c>
      <c r="F1099" s="47" t="s">
        <v>18</v>
      </c>
      <c r="G1099" s="47" t="s">
        <v>38</v>
      </c>
      <c r="H1099" s="47" t="s">
        <v>64</v>
      </c>
      <c r="I1099" s="47" t="s">
        <v>64</v>
      </c>
      <c r="J1099" s="47" t="s">
        <v>32</v>
      </c>
      <c r="K1099" s="59" t="s">
        <v>23</v>
      </c>
      <c r="L1099" s="59" t="s">
        <v>23</v>
      </c>
      <c r="M1099" s="47" t="s">
        <v>33</v>
      </c>
    </row>
    <row r="1100" customHeight="1" spans="1:13">
      <c r="A1100" s="47" t="s">
        <v>2116</v>
      </c>
      <c r="B1100" s="47" t="s">
        <v>2106</v>
      </c>
      <c r="C1100" s="47" t="s">
        <v>1291</v>
      </c>
      <c r="D1100" s="47" t="s">
        <v>16</v>
      </c>
      <c r="E1100" s="47" t="s">
        <v>50</v>
      </c>
      <c r="F1100" s="47" t="s">
        <v>28</v>
      </c>
      <c r="G1100" s="47" t="s">
        <v>19</v>
      </c>
      <c r="H1100" s="47" t="s">
        <v>347</v>
      </c>
      <c r="I1100" s="47" t="s">
        <v>425</v>
      </c>
      <c r="J1100" s="47" t="s">
        <v>32</v>
      </c>
      <c r="K1100" s="47" t="s">
        <v>143</v>
      </c>
      <c r="L1100" s="59" t="s">
        <v>23</v>
      </c>
      <c r="M1100" s="47" t="s">
        <v>24</v>
      </c>
    </row>
    <row r="1101" customHeight="1" spans="1:13">
      <c r="A1101" s="47" t="s">
        <v>2117</v>
      </c>
      <c r="B1101" s="47" t="s">
        <v>2118</v>
      </c>
      <c r="C1101" s="47" t="s">
        <v>1052</v>
      </c>
      <c r="D1101" s="47" t="s">
        <v>43</v>
      </c>
      <c r="E1101" s="47" t="s">
        <v>57</v>
      </c>
      <c r="F1101" s="47" t="s">
        <v>28</v>
      </c>
      <c r="G1101" s="47" t="s">
        <v>38</v>
      </c>
      <c r="H1101" s="47" t="s">
        <v>58</v>
      </c>
      <c r="I1101" s="47" t="s">
        <v>58</v>
      </c>
      <c r="J1101" s="47" t="s">
        <v>32</v>
      </c>
      <c r="K1101" s="59" t="s">
        <v>23</v>
      </c>
      <c r="L1101" s="59" t="s">
        <v>23</v>
      </c>
      <c r="M1101" s="47" t="s">
        <v>24</v>
      </c>
    </row>
    <row r="1102" customHeight="1" spans="1:13">
      <c r="A1102" s="47" t="s">
        <v>2119</v>
      </c>
      <c r="B1102" s="47" t="s">
        <v>2118</v>
      </c>
      <c r="C1102" s="47" t="s">
        <v>646</v>
      </c>
      <c r="D1102" s="47" t="s">
        <v>16</v>
      </c>
      <c r="E1102" s="47" t="s">
        <v>17</v>
      </c>
      <c r="F1102" s="47" t="s">
        <v>18</v>
      </c>
      <c r="G1102" s="47" t="s">
        <v>38</v>
      </c>
      <c r="H1102" s="47" t="s">
        <v>20</v>
      </c>
      <c r="I1102" s="47" t="s">
        <v>20</v>
      </c>
      <c r="J1102" s="47" t="s">
        <v>32</v>
      </c>
      <c r="K1102" s="59" t="s">
        <v>23</v>
      </c>
      <c r="L1102" s="59" t="s">
        <v>23</v>
      </c>
      <c r="M1102" s="47" t="s">
        <v>743</v>
      </c>
    </row>
    <row r="1103" customHeight="1" spans="1:13">
      <c r="A1103" s="47" t="s">
        <v>2120</v>
      </c>
      <c r="B1103" s="47" t="s">
        <v>2121</v>
      </c>
      <c r="C1103" s="47" t="s">
        <v>837</v>
      </c>
      <c r="D1103" s="47" t="s">
        <v>16</v>
      </c>
      <c r="E1103" s="47" t="s">
        <v>63</v>
      </c>
      <c r="F1103" s="47" t="s">
        <v>18</v>
      </c>
      <c r="G1103" s="47" t="s">
        <v>38</v>
      </c>
      <c r="H1103" s="47" t="s">
        <v>64</v>
      </c>
      <c r="I1103" s="47" t="s">
        <v>64</v>
      </c>
      <c r="J1103" s="47" t="s">
        <v>32</v>
      </c>
      <c r="K1103" s="59" t="s">
        <v>23</v>
      </c>
      <c r="L1103" s="59" t="s">
        <v>23</v>
      </c>
      <c r="M1103" s="47" t="s">
        <v>358</v>
      </c>
    </row>
    <row r="1104" customHeight="1" spans="1:13">
      <c r="A1104" s="47" t="s">
        <v>2122</v>
      </c>
      <c r="B1104" s="47" t="s">
        <v>2123</v>
      </c>
      <c r="C1104" s="47" t="s">
        <v>1038</v>
      </c>
      <c r="D1104" s="47" t="s">
        <v>134</v>
      </c>
      <c r="E1104" s="47" t="s">
        <v>36</v>
      </c>
      <c r="F1104" s="47" t="s">
        <v>37</v>
      </c>
      <c r="G1104" s="47" t="s">
        <v>38</v>
      </c>
      <c r="H1104" s="47" t="s">
        <v>39</v>
      </c>
      <c r="I1104" s="59" t="s">
        <v>23</v>
      </c>
      <c r="J1104" s="47" t="s">
        <v>22</v>
      </c>
      <c r="K1104" s="59" t="s">
        <v>23</v>
      </c>
      <c r="L1104" s="47" t="s">
        <v>65</v>
      </c>
      <c r="M1104" s="47" t="s">
        <v>47</v>
      </c>
    </row>
    <row r="1105" customHeight="1" spans="1:13">
      <c r="A1105" s="47" t="s">
        <v>2124</v>
      </c>
      <c r="B1105" s="47" t="s">
        <v>2118</v>
      </c>
      <c r="C1105" s="47" t="s">
        <v>1011</v>
      </c>
      <c r="D1105" s="47" t="s">
        <v>16</v>
      </c>
      <c r="E1105" s="47" t="s">
        <v>63</v>
      </c>
      <c r="F1105" s="47" t="s">
        <v>18</v>
      </c>
      <c r="G1105" s="47" t="s">
        <v>38</v>
      </c>
      <c r="H1105" s="47" t="s">
        <v>64</v>
      </c>
      <c r="I1105" s="47" t="s">
        <v>64</v>
      </c>
      <c r="J1105" s="47" t="s">
        <v>22</v>
      </c>
      <c r="K1105" s="59" t="s">
        <v>23</v>
      </c>
      <c r="L1105" s="59" t="s">
        <v>23</v>
      </c>
      <c r="M1105" s="47" t="s">
        <v>1066</v>
      </c>
    </row>
    <row r="1106" customHeight="1" spans="1:13">
      <c r="A1106" s="47" t="s">
        <v>2125</v>
      </c>
      <c r="B1106" s="47" t="s">
        <v>2118</v>
      </c>
      <c r="C1106" s="47" t="s">
        <v>553</v>
      </c>
      <c r="D1106" s="47" t="s">
        <v>43</v>
      </c>
      <c r="E1106" s="47" t="s">
        <v>81</v>
      </c>
      <c r="F1106" s="47" t="s">
        <v>37</v>
      </c>
      <c r="G1106" s="47" t="s">
        <v>29</v>
      </c>
      <c r="H1106" s="47" t="s">
        <v>82</v>
      </c>
      <c r="I1106" s="47" t="s">
        <v>58</v>
      </c>
      <c r="J1106" s="47" t="s">
        <v>22</v>
      </c>
      <c r="K1106" s="59" t="s">
        <v>23</v>
      </c>
      <c r="L1106" s="59" t="s">
        <v>23</v>
      </c>
      <c r="M1106" s="47" t="s">
        <v>47</v>
      </c>
    </row>
    <row r="1107" customHeight="1" spans="1:13">
      <c r="A1107" s="47" t="s">
        <v>2126</v>
      </c>
      <c r="B1107" s="47" t="s">
        <v>2127</v>
      </c>
      <c r="C1107" s="47" t="s">
        <v>2128</v>
      </c>
      <c r="D1107" s="47" t="s">
        <v>43</v>
      </c>
      <c r="E1107" s="47" t="s">
        <v>44</v>
      </c>
      <c r="F1107" s="47" t="s">
        <v>45</v>
      </c>
      <c r="G1107" s="47" t="s">
        <v>19</v>
      </c>
      <c r="H1107" s="47" t="s">
        <v>46</v>
      </c>
      <c r="I1107" s="47" t="s">
        <v>114</v>
      </c>
      <c r="J1107" s="47" t="s">
        <v>22</v>
      </c>
      <c r="K1107" s="59" t="s">
        <v>23</v>
      </c>
      <c r="L1107" s="59" t="s">
        <v>23</v>
      </c>
      <c r="M1107" s="47" t="s">
        <v>47</v>
      </c>
    </row>
    <row r="1108" customHeight="1" spans="1:13">
      <c r="A1108" s="47" t="s">
        <v>2129</v>
      </c>
      <c r="B1108" s="47" t="s">
        <v>2130</v>
      </c>
      <c r="C1108" s="47" t="s">
        <v>294</v>
      </c>
      <c r="D1108" s="47" t="s">
        <v>43</v>
      </c>
      <c r="E1108" s="47" t="s">
        <v>367</v>
      </c>
      <c r="F1108" s="47" t="s">
        <v>109</v>
      </c>
      <c r="G1108" s="47" t="s">
        <v>38</v>
      </c>
      <c r="H1108" s="47" t="s">
        <v>110</v>
      </c>
      <c r="I1108" s="47" t="s">
        <v>110</v>
      </c>
      <c r="J1108" s="47" t="s">
        <v>32</v>
      </c>
      <c r="K1108" s="59" t="s">
        <v>23</v>
      </c>
      <c r="L1108" s="59" t="s">
        <v>23</v>
      </c>
      <c r="M1108" s="47" t="s">
        <v>33</v>
      </c>
    </row>
    <row r="1109" customHeight="1" spans="1:13">
      <c r="A1109" s="47" t="s">
        <v>2131</v>
      </c>
      <c r="B1109" s="47" t="s">
        <v>2132</v>
      </c>
      <c r="C1109" s="47" t="s">
        <v>300</v>
      </c>
      <c r="D1109" s="47" t="s">
        <v>2133</v>
      </c>
      <c r="E1109" s="47" t="s">
        <v>367</v>
      </c>
      <c r="F1109" s="47" t="s">
        <v>109</v>
      </c>
      <c r="G1109" s="47" t="s">
        <v>38</v>
      </c>
      <c r="H1109" s="47" t="s">
        <v>110</v>
      </c>
      <c r="I1109" s="47" t="s">
        <v>110</v>
      </c>
      <c r="J1109" s="47" t="s">
        <v>32</v>
      </c>
      <c r="K1109" s="59" t="s">
        <v>23</v>
      </c>
      <c r="L1109" s="59" t="s">
        <v>23</v>
      </c>
      <c r="M1109" s="47" t="s">
        <v>24</v>
      </c>
    </row>
    <row r="1110" customHeight="1" spans="1:13">
      <c r="A1110" s="47" t="s">
        <v>2134</v>
      </c>
      <c r="B1110" s="47" t="s">
        <v>2135</v>
      </c>
      <c r="C1110" s="47" t="s">
        <v>695</v>
      </c>
      <c r="D1110" s="47" t="s">
        <v>16</v>
      </c>
      <c r="E1110" s="47" t="s">
        <v>44</v>
      </c>
      <c r="F1110" s="47" t="s">
        <v>45</v>
      </c>
      <c r="G1110" s="47" t="s">
        <v>38</v>
      </c>
      <c r="H1110" s="47" t="s">
        <v>46</v>
      </c>
      <c r="I1110" s="47" t="s">
        <v>46</v>
      </c>
      <c r="J1110" s="47" t="s">
        <v>32</v>
      </c>
      <c r="K1110" s="59" t="s">
        <v>23</v>
      </c>
      <c r="L1110" s="47" t="s">
        <v>65</v>
      </c>
      <c r="M1110" s="47" t="s">
        <v>40</v>
      </c>
    </row>
    <row r="1111" customHeight="1" spans="1:13">
      <c r="A1111" s="47" t="s">
        <v>2134</v>
      </c>
      <c r="B1111" s="47" t="s">
        <v>2132</v>
      </c>
      <c r="C1111" s="47" t="s">
        <v>695</v>
      </c>
      <c r="D1111" s="47" t="s">
        <v>16</v>
      </c>
      <c r="E1111" s="47" t="s">
        <v>1257</v>
      </c>
      <c r="F1111" s="47" t="s">
        <v>45</v>
      </c>
      <c r="G1111" s="47" t="s">
        <v>38</v>
      </c>
      <c r="H1111" s="47" t="s">
        <v>46</v>
      </c>
      <c r="I1111" s="47" t="s">
        <v>46</v>
      </c>
      <c r="J1111" s="47" t="s">
        <v>485</v>
      </c>
      <c r="K1111" s="59" t="s">
        <v>23</v>
      </c>
      <c r="L1111" s="47" t="s">
        <v>65</v>
      </c>
      <c r="M1111" s="47" t="s">
        <v>40</v>
      </c>
    </row>
    <row r="1112" customHeight="1" spans="1:13">
      <c r="A1112" s="47" t="s">
        <v>2136</v>
      </c>
      <c r="B1112" s="47" t="s">
        <v>2135</v>
      </c>
      <c r="C1112" s="47" t="s">
        <v>196</v>
      </c>
      <c r="D1112" s="47" t="s">
        <v>71</v>
      </c>
      <c r="E1112" s="47" t="s">
        <v>50</v>
      </c>
      <c r="F1112" s="47" t="s">
        <v>28</v>
      </c>
      <c r="G1112" s="47" t="s">
        <v>38</v>
      </c>
      <c r="H1112" s="47" t="s">
        <v>52</v>
      </c>
      <c r="I1112" s="47" t="s">
        <v>52</v>
      </c>
      <c r="J1112" s="47" t="s">
        <v>32</v>
      </c>
      <c r="K1112" s="59" t="s">
        <v>23</v>
      </c>
      <c r="L1112" s="59" t="s">
        <v>23</v>
      </c>
      <c r="M1112" s="47" t="s">
        <v>47</v>
      </c>
    </row>
    <row r="1113" customHeight="1" spans="1:13">
      <c r="A1113" s="47" t="s">
        <v>2137</v>
      </c>
      <c r="B1113" s="47" t="s">
        <v>2135</v>
      </c>
      <c r="C1113" s="47" t="s">
        <v>605</v>
      </c>
      <c r="D1113" s="47" t="s">
        <v>16</v>
      </c>
      <c r="E1113" s="47" t="s">
        <v>199</v>
      </c>
      <c r="F1113" s="47" t="s">
        <v>18</v>
      </c>
      <c r="G1113" s="47" t="s">
        <v>38</v>
      </c>
      <c r="H1113" s="47" t="s">
        <v>39</v>
      </c>
      <c r="I1113" s="47" t="s">
        <v>39</v>
      </c>
      <c r="J1113" s="47" t="s">
        <v>22</v>
      </c>
      <c r="K1113" s="59" t="s">
        <v>23</v>
      </c>
      <c r="L1113" s="47" t="s">
        <v>54</v>
      </c>
      <c r="M1113" s="47" t="s">
        <v>24</v>
      </c>
    </row>
    <row r="1114" customHeight="1" spans="1:13">
      <c r="A1114" s="47" t="s">
        <v>2138</v>
      </c>
      <c r="B1114" s="47" t="s">
        <v>2135</v>
      </c>
      <c r="C1114" s="47" t="s">
        <v>331</v>
      </c>
      <c r="D1114" s="47" t="s">
        <v>16</v>
      </c>
      <c r="E1114" s="47" t="s">
        <v>36</v>
      </c>
      <c r="F1114" s="47" t="s">
        <v>37</v>
      </c>
      <c r="G1114" s="47" t="s">
        <v>38</v>
      </c>
      <c r="H1114" s="47" t="s">
        <v>39</v>
      </c>
      <c r="I1114" s="47" t="s">
        <v>39</v>
      </c>
      <c r="J1114" s="47" t="s">
        <v>22</v>
      </c>
      <c r="K1114" s="59" t="s">
        <v>23</v>
      </c>
      <c r="L1114" s="59" t="s">
        <v>23</v>
      </c>
      <c r="M1114" s="47" t="s">
        <v>40</v>
      </c>
    </row>
    <row r="1115" customHeight="1" spans="1:13">
      <c r="A1115" s="47" t="s">
        <v>2139</v>
      </c>
      <c r="B1115" s="47" t="s">
        <v>2135</v>
      </c>
      <c r="C1115" s="47" t="s">
        <v>489</v>
      </c>
      <c r="D1115" s="47" t="s">
        <v>43</v>
      </c>
      <c r="E1115" s="47" t="s">
        <v>161</v>
      </c>
      <c r="F1115" s="47" t="s">
        <v>18</v>
      </c>
      <c r="G1115" s="47" t="s">
        <v>38</v>
      </c>
      <c r="H1115" s="47" t="s">
        <v>64</v>
      </c>
      <c r="I1115" s="47" t="s">
        <v>64</v>
      </c>
      <c r="J1115" s="47" t="s">
        <v>22</v>
      </c>
      <c r="K1115" s="59" t="s">
        <v>23</v>
      </c>
      <c r="L1115" s="59" t="s">
        <v>23</v>
      </c>
      <c r="M1115" s="47" t="s">
        <v>33</v>
      </c>
    </row>
    <row r="1116" customHeight="1" spans="1:13">
      <c r="A1116" s="47" t="s">
        <v>2140</v>
      </c>
      <c r="B1116" s="47" t="s">
        <v>2135</v>
      </c>
      <c r="C1116" s="47" t="s">
        <v>2141</v>
      </c>
      <c r="D1116" s="47" t="s">
        <v>43</v>
      </c>
      <c r="E1116" s="47" t="s">
        <v>103</v>
      </c>
      <c r="F1116" s="47" t="s">
        <v>37</v>
      </c>
      <c r="G1116" s="47" t="s">
        <v>38</v>
      </c>
      <c r="H1116" s="47" t="s">
        <v>77</v>
      </c>
      <c r="I1116" s="47" t="s">
        <v>77</v>
      </c>
      <c r="J1116" s="47" t="s">
        <v>22</v>
      </c>
      <c r="K1116" s="59" t="s">
        <v>23</v>
      </c>
      <c r="L1116" s="59" t="s">
        <v>23</v>
      </c>
      <c r="M1116" s="47" t="s">
        <v>73</v>
      </c>
    </row>
    <row r="1117" customHeight="1" spans="1:13">
      <c r="A1117" s="47" t="s">
        <v>2142</v>
      </c>
      <c r="B1117" s="47" t="s">
        <v>2143</v>
      </c>
      <c r="C1117" s="47" t="s">
        <v>1363</v>
      </c>
      <c r="D1117" s="47" t="s">
        <v>107</v>
      </c>
      <c r="E1117" s="47" t="s">
        <v>44</v>
      </c>
      <c r="F1117" s="47" t="s">
        <v>45</v>
      </c>
      <c r="G1117" s="47" t="s">
        <v>19</v>
      </c>
      <c r="H1117" s="47" t="s">
        <v>46</v>
      </c>
      <c r="I1117" s="47" t="s">
        <v>114</v>
      </c>
      <c r="J1117" s="47" t="s">
        <v>753</v>
      </c>
      <c r="K1117" s="59" t="s">
        <v>23</v>
      </c>
      <c r="L1117" s="59" t="s">
        <v>23</v>
      </c>
      <c r="M1117" s="47" t="s">
        <v>40</v>
      </c>
    </row>
    <row r="1118" customHeight="1" spans="1:13">
      <c r="A1118" s="47" t="s">
        <v>2144</v>
      </c>
      <c r="B1118" s="47" t="s">
        <v>2143</v>
      </c>
      <c r="C1118" s="47" t="s">
        <v>2145</v>
      </c>
      <c r="D1118" s="47" t="s">
        <v>107</v>
      </c>
      <c r="E1118" s="47" t="s">
        <v>17</v>
      </c>
      <c r="F1118" s="47" t="s">
        <v>18</v>
      </c>
      <c r="G1118" s="47" t="s">
        <v>38</v>
      </c>
      <c r="H1118" s="47" t="s">
        <v>20</v>
      </c>
      <c r="I1118" s="47" t="s">
        <v>20</v>
      </c>
      <c r="J1118" s="47" t="s">
        <v>22</v>
      </c>
      <c r="K1118" s="59" t="s">
        <v>23</v>
      </c>
      <c r="L1118" s="47" t="s">
        <v>29</v>
      </c>
      <c r="M1118" s="47" t="s">
        <v>73</v>
      </c>
    </row>
    <row r="1119" customHeight="1" spans="1:13">
      <c r="A1119" s="47" t="s">
        <v>2146</v>
      </c>
      <c r="B1119" s="47" t="s">
        <v>2143</v>
      </c>
      <c r="C1119" s="47" t="s">
        <v>548</v>
      </c>
      <c r="D1119" s="47" t="s">
        <v>43</v>
      </c>
      <c r="E1119" s="47" t="s">
        <v>103</v>
      </c>
      <c r="F1119" s="47" t="s">
        <v>37</v>
      </c>
      <c r="G1119" s="47" t="s">
        <v>38</v>
      </c>
      <c r="H1119" s="47" t="s">
        <v>77</v>
      </c>
      <c r="I1119" s="47" t="s">
        <v>77</v>
      </c>
      <c r="J1119" s="47" t="s">
        <v>22</v>
      </c>
      <c r="K1119" s="47" t="s">
        <v>53</v>
      </c>
      <c r="L1119" s="59" t="s">
        <v>23</v>
      </c>
      <c r="M1119" s="47" t="s">
        <v>24</v>
      </c>
    </row>
    <row r="1120" customHeight="1" spans="1:13">
      <c r="A1120" s="47" t="s">
        <v>2147</v>
      </c>
      <c r="B1120" s="47" t="s">
        <v>2143</v>
      </c>
      <c r="C1120" s="47" t="s">
        <v>2148</v>
      </c>
      <c r="D1120" s="47" t="s">
        <v>43</v>
      </c>
      <c r="E1120" s="47" t="s">
        <v>146</v>
      </c>
      <c r="F1120" s="47" t="s">
        <v>28</v>
      </c>
      <c r="G1120" s="47" t="s">
        <v>38</v>
      </c>
      <c r="H1120" s="47" t="s">
        <v>147</v>
      </c>
      <c r="I1120" s="47" t="s">
        <v>406</v>
      </c>
      <c r="J1120" s="47" t="s">
        <v>32</v>
      </c>
      <c r="K1120" s="47" t="s">
        <v>143</v>
      </c>
      <c r="L1120" s="59" t="s">
        <v>23</v>
      </c>
      <c r="M1120" s="47" t="s">
        <v>40</v>
      </c>
    </row>
    <row r="1121" customHeight="1" spans="1:13">
      <c r="A1121" s="47" t="s">
        <v>2149</v>
      </c>
      <c r="B1121" s="47" t="s">
        <v>2143</v>
      </c>
      <c r="C1121" s="47" t="s">
        <v>824</v>
      </c>
      <c r="D1121" s="47" t="s">
        <v>1275</v>
      </c>
      <c r="E1121" s="47" t="s">
        <v>103</v>
      </c>
      <c r="F1121" s="47" t="s">
        <v>37</v>
      </c>
      <c r="G1121" s="47" t="s">
        <v>19</v>
      </c>
      <c r="H1121" s="47" t="s">
        <v>77</v>
      </c>
      <c r="I1121" s="47" t="s">
        <v>189</v>
      </c>
      <c r="J1121" s="47" t="s">
        <v>32</v>
      </c>
      <c r="K1121" s="47" t="s">
        <v>143</v>
      </c>
      <c r="L1121" s="59" t="s">
        <v>23</v>
      </c>
      <c r="M1121" s="47" t="s">
        <v>73</v>
      </c>
    </row>
    <row r="1122" customHeight="1" spans="1:13">
      <c r="A1122" s="47" t="s">
        <v>2150</v>
      </c>
      <c r="B1122" s="47" t="s">
        <v>2151</v>
      </c>
      <c r="C1122" s="47" t="s">
        <v>618</v>
      </c>
      <c r="D1122" s="47" t="s">
        <v>107</v>
      </c>
      <c r="E1122" s="47" t="s">
        <v>17</v>
      </c>
      <c r="F1122" s="47" t="s">
        <v>309</v>
      </c>
      <c r="G1122" s="47" t="s">
        <v>38</v>
      </c>
      <c r="H1122" s="47" t="s">
        <v>20</v>
      </c>
      <c r="I1122" s="47" t="s">
        <v>20</v>
      </c>
      <c r="J1122" s="47" t="s">
        <v>32</v>
      </c>
      <c r="K1122" s="59" t="s">
        <v>23</v>
      </c>
      <c r="L1122" s="59" t="s">
        <v>23</v>
      </c>
      <c r="M1122" s="47" t="s">
        <v>24</v>
      </c>
    </row>
    <row r="1123" customHeight="1" spans="1:13">
      <c r="A1123" s="47" t="s">
        <v>2152</v>
      </c>
      <c r="B1123" s="47" t="s">
        <v>2143</v>
      </c>
      <c r="C1123" s="47" t="s">
        <v>498</v>
      </c>
      <c r="D1123" s="47" t="s">
        <v>107</v>
      </c>
      <c r="E1123" s="47" t="s">
        <v>50</v>
      </c>
      <c r="F1123" s="47" t="s">
        <v>28</v>
      </c>
      <c r="G1123" s="47" t="s">
        <v>38</v>
      </c>
      <c r="H1123" s="47" t="s">
        <v>52</v>
      </c>
      <c r="I1123" s="47" t="s">
        <v>730</v>
      </c>
      <c r="J1123" s="47" t="s">
        <v>22</v>
      </c>
      <c r="K1123" s="47" t="s">
        <v>143</v>
      </c>
      <c r="L1123" s="47" t="s">
        <v>65</v>
      </c>
      <c r="M1123" s="47" t="s">
        <v>73</v>
      </c>
    </row>
    <row r="1124" customHeight="1" spans="1:13">
      <c r="A1124" s="47" t="s">
        <v>2153</v>
      </c>
      <c r="B1124" s="47" t="s">
        <v>2143</v>
      </c>
      <c r="C1124" s="47" t="s">
        <v>94</v>
      </c>
      <c r="D1124" s="47" t="s">
        <v>16</v>
      </c>
      <c r="E1124" s="47" t="s">
        <v>103</v>
      </c>
      <c r="F1124" s="47" t="s">
        <v>37</v>
      </c>
      <c r="G1124" s="47" t="s">
        <v>38</v>
      </c>
      <c r="H1124" s="47" t="s">
        <v>77</v>
      </c>
      <c r="I1124" s="47" t="s">
        <v>77</v>
      </c>
      <c r="J1124" s="47" t="s">
        <v>22</v>
      </c>
      <c r="K1124" s="59" t="s">
        <v>23</v>
      </c>
      <c r="L1124" s="59" t="s">
        <v>23</v>
      </c>
      <c r="M1124" s="47" t="s">
        <v>24</v>
      </c>
    </row>
    <row r="1125" customHeight="1" spans="1:13">
      <c r="A1125" s="47" t="s">
        <v>2154</v>
      </c>
      <c r="B1125" s="47" t="s">
        <v>2155</v>
      </c>
      <c r="C1125" s="47" t="s">
        <v>595</v>
      </c>
      <c r="D1125" s="47" t="s">
        <v>16</v>
      </c>
      <c r="E1125" s="47" t="s">
        <v>36</v>
      </c>
      <c r="F1125" s="47" t="s">
        <v>37</v>
      </c>
      <c r="G1125" s="47" t="s">
        <v>29</v>
      </c>
      <c r="H1125" s="47" t="s">
        <v>39</v>
      </c>
      <c r="I1125" s="47" t="s">
        <v>2156</v>
      </c>
      <c r="J1125" s="47" t="s">
        <v>32</v>
      </c>
      <c r="K1125" s="47" t="s">
        <v>143</v>
      </c>
      <c r="L1125" s="47" t="s">
        <v>65</v>
      </c>
      <c r="M1125" s="47" t="s">
        <v>24</v>
      </c>
    </row>
    <row r="1126" customHeight="1" spans="1:13">
      <c r="A1126" s="47" t="s">
        <v>2157</v>
      </c>
      <c r="B1126" s="47" t="s">
        <v>2155</v>
      </c>
      <c r="C1126" s="47" t="s">
        <v>1736</v>
      </c>
      <c r="D1126" s="47" t="s">
        <v>16</v>
      </c>
      <c r="E1126" s="47" t="s">
        <v>63</v>
      </c>
      <c r="F1126" s="47" t="s">
        <v>18</v>
      </c>
      <c r="G1126" s="47" t="s">
        <v>38</v>
      </c>
      <c r="H1126" s="47" t="s">
        <v>64</v>
      </c>
      <c r="I1126" s="47" t="s">
        <v>64</v>
      </c>
      <c r="J1126" s="47" t="s">
        <v>68</v>
      </c>
      <c r="K1126" s="59" t="s">
        <v>23</v>
      </c>
      <c r="L1126" s="47" t="s">
        <v>29</v>
      </c>
      <c r="M1126" s="47" t="s">
        <v>220</v>
      </c>
    </row>
    <row r="1127" customHeight="1" spans="1:13">
      <c r="A1127" s="47" t="s">
        <v>2158</v>
      </c>
      <c r="B1127" s="47" t="s">
        <v>2155</v>
      </c>
      <c r="C1127" s="47" t="s">
        <v>361</v>
      </c>
      <c r="D1127" s="47" t="s">
        <v>43</v>
      </c>
      <c r="E1127" s="47" t="s">
        <v>44</v>
      </c>
      <c r="F1127" s="47" t="s">
        <v>45</v>
      </c>
      <c r="G1127" s="47" t="s">
        <v>38</v>
      </c>
      <c r="H1127" s="47" t="s">
        <v>46</v>
      </c>
      <c r="I1127" s="47" t="s">
        <v>46</v>
      </c>
      <c r="J1127" s="47" t="s">
        <v>22</v>
      </c>
      <c r="K1127" s="59" t="s">
        <v>23</v>
      </c>
      <c r="L1127" s="47" t="s">
        <v>54</v>
      </c>
      <c r="M1127" s="47" t="s">
        <v>47</v>
      </c>
    </row>
    <row r="1128" customHeight="1" spans="1:13">
      <c r="A1128" s="47" t="s">
        <v>2159</v>
      </c>
      <c r="B1128" s="47" t="s">
        <v>2155</v>
      </c>
      <c r="C1128" s="47" t="s">
        <v>2160</v>
      </c>
      <c r="D1128" s="47" t="s">
        <v>125</v>
      </c>
      <c r="E1128" s="47" t="s">
        <v>50</v>
      </c>
      <c r="F1128" s="47" t="s">
        <v>28</v>
      </c>
      <c r="G1128" s="47" t="s">
        <v>38</v>
      </c>
      <c r="H1128" s="47" t="s">
        <v>52</v>
      </c>
      <c r="I1128" s="47" t="s">
        <v>52</v>
      </c>
      <c r="J1128" s="47" t="s">
        <v>32</v>
      </c>
      <c r="K1128" s="59" t="s">
        <v>23</v>
      </c>
      <c r="L1128" s="59" t="s">
        <v>23</v>
      </c>
      <c r="M1128" s="47" t="s">
        <v>47</v>
      </c>
    </row>
    <row r="1129" customHeight="1" spans="1:13">
      <c r="A1129" s="47" t="s">
        <v>2161</v>
      </c>
      <c r="B1129" s="47" t="s">
        <v>2155</v>
      </c>
      <c r="C1129" s="47" t="s">
        <v>2162</v>
      </c>
      <c r="D1129" s="47" t="s">
        <v>107</v>
      </c>
      <c r="E1129" s="47" t="s">
        <v>44</v>
      </c>
      <c r="F1129" s="47" t="s">
        <v>907</v>
      </c>
      <c r="G1129" s="47" t="s">
        <v>38</v>
      </c>
      <c r="H1129" s="47" t="s">
        <v>46</v>
      </c>
      <c r="I1129" s="47" t="s">
        <v>46</v>
      </c>
      <c r="J1129" s="47" t="s">
        <v>32</v>
      </c>
      <c r="K1129" s="59" t="s">
        <v>23</v>
      </c>
      <c r="L1129" s="47" t="s">
        <v>65</v>
      </c>
      <c r="M1129" s="47" t="s">
        <v>24</v>
      </c>
    </row>
    <row r="1130" customHeight="1" spans="1:13">
      <c r="A1130" s="47" t="s">
        <v>2163</v>
      </c>
      <c r="B1130" s="47" t="s">
        <v>2155</v>
      </c>
      <c r="C1130" s="47" t="s">
        <v>2148</v>
      </c>
      <c r="D1130" s="47" t="s">
        <v>107</v>
      </c>
      <c r="E1130" s="47" t="s">
        <v>146</v>
      </c>
      <c r="F1130" s="47" t="s">
        <v>28</v>
      </c>
      <c r="G1130" s="47" t="s">
        <v>38</v>
      </c>
      <c r="H1130" s="47" t="s">
        <v>147</v>
      </c>
      <c r="I1130" s="47" t="s">
        <v>147</v>
      </c>
      <c r="J1130" s="47" t="s">
        <v>22</v>
      </c>
      <c r="K1130" s="59" t="s">
        <v>23</v>
      </c>
      <c r="L1130" s="59" t="s">
        <v>23</v>
      </c>
      <c r="M1130" s="47" t="s">
        <v>73</v>
      </c>
    </row>
    <row r="1131" customHeight="1" spans="1:13">
      <c r="A1131" s="47" t="s">
        <v>2164</v>
      </c>
      <c r="B1131" s="47" t="s">
        <v>2155</v>
      </c>
      <c r="C1131" s="47" t="s">
        <v>229</v>
      </c>
      <c r="D1131" s="47" t="s">
        <v>86</v>
      </c>
      <c r="E1131" s="47" t="s">
        <v>57</v>
      </c>
      <c r="F1131" s="47" t="s">
        <v>28</v>
      </c>
      <c r="G1131" s="47" t="s">
        <v>19</v>
      </c>
      <c r="H1131" s="47" t="s">
        <v>58</v>
      </c>
      <c r="I1131" s="47" t="s">
        <v>140</v>
      </c>
      <c r="J1131" s="47" t="s">
        <v>22</v>
      </c>
      <c r="K1131" s="59" t="s">
        <v>23</v>
      </c>
      <c r="L1131" s="59" t="s">
        <v>23</v>
      </c>
      <c r="M1131" s="47" t="s">
        <v>33</v>
      </c>
    </row>
    <row r="1132" customHeight="1" spans="1:13">
      <c r="A1132" s="47" t="s">
        <v>2165</v>
      </c>
      <c r="B1132" s="47" t="s">
        <v>2155</v>
      </c>
      <c r="C1132" s="47" t="s">
        <v>432</v>
      </c>
      <c r="D1132" s="47" t="s">
        <v>107</v>
      </c>
      <c r="E1132" s="47" t="s">
        <v>367</v>
      </c>
      <c r="F1132" s="47" t="s">
        <v>109</v>
      </c>
      <c r="G1132" s="47" t="s">
        <v>19</v>
      </c>
      <c r="H1132" s="47" t="s">
        <v>110</v>
      </c>
      <c r="I1132" s="47" t="s">
        <v>357</v>
      </c>
      <c r="J1132" s="47" t="s">
        <v>715</v>
      </c>
      <c r="K1132" s="59" t="s">
        <v>23</v>
      </c>
      <c r="L1132" s="59" t="s">
        <v>23</v>
      </c>
      <c r="M1132" s="47" t="s">
        <v>40</v>
      </c>
    </row>
    <row r="1133" customHeight="1" spans="1:13">
      <c r="A1133" s="47" t="s">
        <v>2166</v>
      </c>
      <c r="B1133" s="47" t="s">
        <v>2167</v>
      </c>
      <c r="C1133" s="47" t="s">
        <v>231</v>
      </c>
      <c r="D1133" s="47" t="s">
        <v>43</v>
      </c>
      <c r="E1133" s="47" t="s">
        <v>44</v>
      </c>
      <c r="F1133" s="47" t="s">
        <v>45</v>
      </c>
      <c r="G1133" s="47" t="s">
        <v>38</v>
      </c>
      <c r="H1133" s="47" t="s">
        <v>46</v>
      </c>
      <c r="I1133" s="47" t="s">
        <v>46</v>
      </c>
      <c r="J1133" s="47" t="s">
        <v>32</v>
      </c>
      <c r="K1133" s="59" t="s">
        <v>23</v>
      </c>
      <c r="L1133" s="59" t="s">
        <v>23</v>
      </c>
      <c r="M1133" s="47" t="s">
        <v>664</v>
      </c>
    </row>
    <row r="1134" customHeight="1" spans="1:13">
      <c r="A1134" s="47" t="s">
        <v>2168</v>
      </c>
      <c r="B1134" s="47" t="s">
        <v>2155</v>
      </c>
      <c r="C1134" s="47" t="s">
        <v>967</v>
      </c>
      <c r="D1134" s="47" t="s">
        <v>43</v>
      </c>
      <c r="E1134" s="47" t="s">
        <v>103</v>
      </c>
      <c r="F1134" s="47" t="s">
        <v>37</v>
      </c>
      <c r="G1134" s="47" t="s">
        <v>38</v>
      </c>
      <c r="H1134" s="47" t="s">
        <v>77</v>
      </c>
      <c r="I1134" s="47" t="s">
        <v>77</v>
      </c>
      <c r="J1134" s="47" t="s">
        <v>22</v>
      </c>
      <c r="K1134" s="59" t="s">
        <v>23</v>
      </c>
      <c r="L1134" s="59" t="s">
        <v>23</v>
      </c>
      <c r="M1134" s="47" t="s">
        <v>33</v>
      </c>
    </row>
    <row r="1135" customHeight="1" spans="1:13">
      <c r="A1135" s="47" t="s">
        <v>2169</v>
      </c>
      <c r="B1135" s="47" t="s">
        <v>2155</v>
      </c>
      <c r="C1135" s="47" t="s">
        <v>1056</v>
      </c>
      <c r="D1135" s="47" t="s">
        <v>43</v>
      </c>
      <c r="E1135" s="47" t="s">
        <v>63</v>
      </c>
      <c r="F1135" s="47" t="s">
        <v>18</v>
      </c>
      <c r="G1135" s="47" t="s">
        <v>38</v>
      </c>
      <c r="H1135" s="47" t="s">
        <v>724</v>
      </c>
      <c r="I1135" s="47" t="s">
        <v>64</v>
      </c>
      <c r="J1135" s="47" t="s">
        <v>22</v>
      </c>
      <c r="K1135" s="59" t="s">
        <v>23</v>
      </c>
      <c r="L1135" s="59" t="s">
        <v>23</v>
      </c>
      <c r="M1135" s="47" t="s">
        <v>73</v>
      </c>
    </row>
    <row r="1136" customHeight="1" spans="1:13">
      <c r="A1136" s="47" t="s">
        <v>2169</v>
      </c>
      <c r="B1136" s="47" t="s">
        <v>2155</v>
      </c>
      <c r="C1136" s="47" t="s">
        <v>1056</v>
      </c>
      <c r="D1136" s="47" t="s">
        <v>43</v>
      </c>
      <c r="E1136" s="47" t="s">
        <v>396</v>
      </c>
      <c r="F1136" s="47" t="s">
        <v>18</v>
      </c>
      <c r="G1136" s="47" t="s">
        <v>38</v>
      </c>
      <c r="H1136" s="47" t="s">
        <v>64</v>
      </c>
      <c r="I1136" s="47" t="s">
        <v>64</v>
      </c>
      <c r="J1136" s="47" t="s">
        <v>22</v>
      </c>
      <c r="K1136" s="59" t="s">
        <v>23</v>
      </c>
      <c r="L1136" s="59" t="s">
        <v>23</v>
      </c>
      <c r="M1136" s="47" t="s">
        <v>157</v>
      </c>
    </row>
    <row r="1137" customHeight="1" spans="1:13">
      <c r="A1137" s="47" t="s">
        <v>2170</v>
      </c>
      <c r="B1137" s="47" t="s">
        <v>2155</v>
      </c>
      <c r="C1137" s="47" t="s">
        <v>287</v>
      </c>
      <c r="D1137" s="47" t="s">
        <v>151</v>
      </c>
      <c r="E1137" s="47" t="s">
        <v>17</v>
      </c>
      <c r="F1137" s="47" t="s">
        <v>18</v>
      </c>
      <c r="G1137" s="47" t="s">
        <v>38</v>
      </c>
      <c r="H1137" s="47" t="s">
        <v>20</v>
      </c>
      <c r="I1137" s="47" t="s">
        <v>20</v>
      </c>
      <c r="J1137" s="47" t="s">
        <v>32</v>
      </c>
      <c r="K1137" s="59" t="s">
        <v>23</v>
      </c>
      <c r="L1137" s="47" t="s">
        <v>54</v>
      </c>
      <c r="M1137" s="47" t="s">
        <v>40</v>
      </c>
    </row>
    <row r="1138" customHeight="1" spans="1:13">
      <c r="A1138" s="47" t="s">
        <v>2171</v>
      </c>
      <c r="B1138" s="47" t="s">
        <v>2172</v>
      </c>
      <c r="C1138" s="47" t="s">
        <v>688</v>
      </c>
      <c r="D1138" s="47" t="s">
        <v>107</v>
      </c>
      <c r="E1138" s="47" t="s">
        <v>396</v>
      </c>
      <c r="F1138" s="47" t="s">
        <v>18</v>
      </c>
      <c r="G1138" s="47" t="s">
        <v>19</v>
      </c>
      <c r="H1138" s="47" t="s">
        <v>64</v>
      </c>
      <c r="I1138" s="47" t="s">
        <v>39</v>
      </c>
      <c r="J1138" s="47" t="s">
        <v>22</v>
      </c>
      <c r="K1138" s="59" t="s">
        <v>23</v>
      </c>
      <c r="L1138" s="59" t="s">
        <v>23</v>
      </c>
      <c r="M1138" s="47" t="s">
        <v>40</v>
      </c>
    </row>
    <row r="1139" customHeight="1" spans="1:13">
      <c r="A1139" s="47" t="s">
        <v>2173</v>
      </c>
      <c r="B1139" s="47" t="s">
        <v>2172</v>
      </c>
      <c r="C1139" s="47" t="s">
        <v>2174</v>
      </c>
      <c r="D1139" s="47" t="s">
        <v>16</v>
      </c>
      <c r="E1139" s="47" t="s">
        <v>17</v>
      </c>
      <c r="F1139" s="47" t="s">
        <v>18</v>
      </c>
      <c r="G1139" s="47" t="s">
        <v>19</v>
      </c>
      <c r="H1139" s="47" t="s">
        <v>20</v>
      </c>
      <c r="I1139" s="47" t="s">
        <v>21</v>
      </c>
      <c r="J1139" s="47" t="s">
        <v>32</v>
      </c>
      <c r="K1139" s="59" t="s">
        <v>23</v>
      </c>
      <c r="L1139" s="47" t="s">
        <v>65</v>
      </c>
      <c r="M1139" s="47" t="s">
        <v>47</v>
      </c>
    </row>
    <row r="1140" customHeight="1" spans="1:13">
      <c r="A1140" s="47" t="s">
        <v>2175</v>
      </c>
      <c r="B1140" s="47" t="s">
        <v>2172</v>
      </c>
      <c r="C1140" s="47" t="s">
        <v>1203</v>
      </c>
      <c r="D1140" s="47" t="s">
        <v>16</v>
      </c>
      <c r="E1140" s="47" t="s">
        <v>50</v>
      </c>
      <c r="F1140" s="47" t="s">
        <v>28</v>
      </c>
      <c r="G1140" s="47" t="s">
        <v>38</v>
      </c>
      <c r="H1140" s="47" t="s">
        <v>52</v>
      </c>
      <c r="I1140" s="47" t="s">
        <v>52</v>
      </c>
      <c r="J1140" s="47" t="s">
        <v>22</v>
      </c>
      <c r="K1140" s="59" t="s">
        <v>23</v>
      </c>
      <c r="L1140" s="47" t="s">
        <v>54</v>
      </c>
      <c r="M1140" s="47" t="s">
        <v>157</v>
      </c>
    </row>
    <row r="1141" customHeight="1" spans="1:13">
      <c r="A1141" s="47" t="s">
        <v>2176</v>
      </c>
      <c r="B1141" s="47" t="s">
        <v>2172</v>
      </c>
      <c r="C1141" s="47" t="s">
        <v>88</v>
      </c>
      <c r="D1141" s="47" t="s">
        <v>16</v>
      </c>
      <c r="E1141" s="47" t="s">
        <v>267</v>
      </c>
      <c r="F1141" s="47" t="s">
        <v>18</v>
      </c>
      <c r="G1141" s="47" t="s">
        <v>38</v>
      </c>
      <c r="H1141" s="47" t="s">
        <v>64</v>
      </c>
      <c r="I1141" s="47" t="s">
        <v>162</v>
      </c>
      <c r="J1141" s="47" t="s">
        <v>32</v>
      </c>
      <c r="K1141" s="47" t="s">
        <v>53</v>
      </c>
      <c r="L1141" s="59" t="s">
        <v>23</v>
      </c>
      <c r="M1141" s="47" t="s">
        <v>1066</v>
      </c>
    </row>
    <row r="1142" customHeight="1" spans="1:13">
      <c r="A1142" s="47" t="s">
        <v>2177</v>
      </c>
      <c r="B1142" s="47" t="s">
        <v>2172</v>
      </c>
      <c r="C1142" s="47" t="s">
        <v>826</v>
      </c>
      <c r="D1142" s="47" t="s">
        <v>43</v>
      </c>
      <c r="E1142" s="47" t="s">
        <v>146</v>
      </c>
      <c r="F1142" s="47" t="s">
        <v>28</v>
      </c>
      <c r="G1142" s="47" t="s">
        <v>38</v>
      </c>
      <c r="H1142" s="47" t="s">
        <v>147</v>
      </c>
      <c r="I1142" s="47" t="s">
        <v>608</v>
      </c>
      <c r="J1142" s="47" t="s">
        <v>22</v>
      </c>
      <c r="K1142" s="59" t="s">
        <v>23</v>
      </c>
      <c r="L1142" s="59" t="s">
        <v>23</v>
      </c>
      <c r="M1142" s="47" t="s">
        <v>686</v>
      </c>
    </row>
    <row r="1143" customHeight="1" spans="1:13">
      <c r="A1143" s="47" t="s">
        <v>2178</v>
      </c>
      <c r="B1143" s="47" t="s">
        <v>2179</v>
      </c>
      <c r="C1143" s="47" t="s">
        <v>2180</v>
      </c>
      <c r="D1143" s="47" t="s">
        <v>854</v>
      </c>
      <c r="E1143" s="47" t="s">
        <v>81</v>
      </c>
      <c r="F1143" s="47" t="s">
        <v>37</v>
      </c>
      <c r="G1143" s="47" t="s">
        <v>38</v>
      </c>
      <c r="H1143" s="47" t="s">
        <v>82</v>
      </c>
      <c r="I1143" s="47" t="s">
        <v>82</v>
      </c>
      <c r="J1143" s="47" t="s">
        <v>22</v>
      </c>
      <c r="K1143" s="47" t="s">
        <v>53</v>
      </c>
      <c r="L1143" s="47" t="s">
        <v>29</v>
      </c>
      <c r="M1143" s="47" t="s">
        <v>73</v>
      </c>
    </row>
    <row r="1144" customHeight="1" spans="1:13">
      <c r="A1144" s="47" t="s">
        <v>2181</v>
      </c>
      <c r="B1144" s="47" t="s">
        <v>2172</v>
      </c>
      <c r="C1144" s="47" t="s">
        <v>1622</v>
      </c>
      <c r="D1144" s="47" t="s">
        <v>43</v>
      </c>
      <c r="E1144" s="47" t="s">
        <v>44</v>
      </c>
      <c r="F1144" s="47" t="s">
        <v>45</v>
      </c>
      <c r="G1144" s="47" t="s">
        <v>38</v>
      </c>
      <c r="H1144" s="47" t="s">
        <v>46</v>
      </c>
      <c r="I1144" s="47" t="s">
        <v>46</v>
      </c>
      <c r="J1144" s="47" t="s">
        <v>22</v>
      </c>
      <c r="K1144" s="59" t="s">
        <v>23</v>
      </c>
      <c r="L1144" s="59" t="s">
        <v>23</v>
      </c>
      <c r="M1144" s="47" t="s">
        <v>47</v>
      </c>
    </row>
    <row r="1145" customHeight="1" spans="1:13">
      <c r="A1145" s="47" t="s">
        <v>2182</v>
      </c>
      <c r="B1145" s="47" t="s">
        <v>2183</v>
      </c>
      <c r="C1145" s="47" t="s">
        <v>2141</v>
      </c>
      <c r="D1145" s="47" t="s">
        <v>16</v>
      </c>
      <c r="E1145" s="47" t="s">
        <v>17</v>
      </c>
      <c r="F1145" s="47" t="s">
        <v>18</v>
      </c>
      <c r="G1145" s="47" t="s">
        <v>38</v>
      </c>
      <c r="H1145" s="47" t="s">
        <v>662</v>
      </c>
      <c r="I1145" s="47" t="s">
        <v>20</v>
      </c>
      <c r="J1145" s="47" t="s">
        <v>22</v>
      </c>
      <c r="K1145" s="59" t="s">
        <v>23</v>
      </c>
      <c r="L1145" s="47" t="s">
        <v>29</v>
      </c>
      <c r="M1145" s="47" t="s">
        <v>73</v>
      </c>
    </row>
    <row r="1146" customHeight="1" spans="1:13">
      <c r="A1146" s="47" t="s">
        <v>2184</v>
      </c>
      <c r="B1146" s="47" t="s">
        <v>2185</v>
      </c>
      <c r="C1146" s="47" t="s">
        <v>991</v>
      </c>
      <c r="D1146" s="47" t="s">
        <v>107</v>
      </c>
      <c r="E1146" s="47" t="s">
        <v>36</v>
      </c>
      <c r="F1146" s="47" t="s">
        <v>37</v>
      </c>
      <c r="G1146" s="47" t="s">
        <v>19</v>
      </c>
      <c r="H1146" s="47" t="s">
        <v>39</v>
      </c>
      <c r="I1146" s="47" t="s">
        <v>82</v>
      </c>
      <c r="J1146" s="47" t="s">
        <v>32</v>
      </c>
      <c r="K1146" s="59" t="s">
        <v>23</v>
      </c>
      <c r="L1146" s="59" t="s">
        <v>23</v>
      </c>
      <c r="M1146" s="47" t="s">
        <v>157</v>
      </c>
    </row>
    <row r="1147" customHeight="1" spans="1:13">
      <c r="A1147" s="47" t="s">
        <v>2186</v>
      </c>
      <c r="B1147" s="47" t="s">
        <v>2179</v>
      </c>
      <c r="C1147" s="47" t="s">
        <v>482</v>
      </c>
      <c r="D1147" s="47" t="s">
        <v>43</v>
      </c>
      <c r="E1147" s="47" t="s">
        <v>103</v>
      </c>
      <c r="F1147" s="47" t="s">
        <v>37</v>
      </c>
      <c r="G1147" s="47" t="s">
        <v>38</v>
      </c>
      <c r="H1147" s="47" t="s">
        <v>77</v>
      </c>
      <c r="I1147" s="47" t="s">
        <v>77</v>
      </c>
      <c r="J1147" s="47" t="s">
        <v>22</v>
      </c>
      <c r="K1147" s="59" t="s">
        <v>23</v>
      </c>
      <c r="L1147" s="59" t="s">
        <v>23</v>
      </c>
      <c r="M1147" s="47" t="s">
        <v>24</v>
      </c>
    </row>
    <row r="1148" customHeight="1" spans="1:13">
      <c r="A1148" s="47" t="s">
        <v>2187</v>
      </c>
      <c r="B1148" s="47" t="s">
        <v>2179</v>
      </c>
      <c r="C1148" s="47" t="s">
        <v>802</v>
      </c>
      <c r="D1148" s="47" t="s">
        <v>16</v>
      </c>
      <c r="E1148" s="47" t="s">
        <v>17</v>
      </c>
      <c r="F1148" s="47" t="s">
        <v>18</v>
      </c>
      <c r="G1148" s="47" t="s">
        <v>38</v>
      </c>
      <c r="H1148" s="47" t="s">
        <v>20</v>
      </c>
      <c r="I1148" s="47" t="s">
        <v>20</v>
      </c>
      <c r="J1148" s="47" t="s">
        <v>22</v>
      </c>
      <c r="K1148" s="59" t="s">
        <v>23</v>
      </c>
      <c r="L1148" s="47" t="s">
        <v>65</v>
      </c>
      <c r="M1148" s="47" t="s">
        <v>24</v>
      </c>
    </row>
    <row r="1149" customHeight="1" spans="1:13">
      <c r="A1149" s="47" t="s">
        <v>2188</v>
      </c>
      <c r="B1149" s="47" t="s">
        <v>2179</v>
      </c>
      <c r="C1149" s="47" t="s">
        <v>238</v>
      </c>
      <c r="D1149" s="47" t="s">
        <v>43</v>
      </c>
      <c r="E1149" s="47" t="s">
        <v>36</v>
      </c>
      <c r="F1149" s="47" t="s">
        <v>37</v>
      </c>
      <c r="G1149" s="47" t="s">
        <v>38</v>
      </c>
      <c r="H1149" s="47" t="s">
        <v>39</v>
      </c>
      <c r="I1149" s="47" t="s">
        <v>39</v>
      </c>
      <c r="J1149" s="47" t="s">
        <v>32</v>
      </c>
      <c r="K1149" s="59" t="s">
        <v>23</v>
      </c>
      <c r="L1149" s="59" t="s">
        <v>23</v>
      </c>
      <c r="M1149" s="47" t="s">
        <v>24</v>
      </c>
    </row>
    <row r="1150" customHeight="1" spans="1:13">
      <c r="A1150" s="47" t="s">
        <v>2189</v>
      </c>
      <c r="B1150" s="47" t="s">
        <v>2190</v>
      </c>
      <c r="C1150" s="47" t="s">
        <v>2145</v>
      </c>
      <c r="D1150" s="47" t="s">
        <v>151</v>
      </c>
      <c r="E1150" s="47" t="s">
        <v>50</v>
      </c>
      <c r="F1150" s="47" t="s">
        <v>28</v>
      </c>
      <c r="G1150" s="47" t="s">
        <v>38</v>
      </c>
      <c r="H1150" s="47" t="s">
        <v>52</v>
      </c>
      <c r="I1150" s="47" t="s">
        <v>52</v>
      </c>
      <c r="J1150" s="47" t="s">
        <v>32</v>
      </c>
      <c r="K1150" s="59" t="s">
        <v>23</v>
      </c>
      <c r="L1150" s="59" t="s">
        <v>23</v>
      </c>
      <c r="M1150" s="47" t="s">
        <v>320</v>
      </c>
    </row>
    <row r="1151" customHeight="1" spans="1:13">
      <c r="A1151" s="47" t="s">
        <v>2191</v>
      </c>
      <c r="B1151" s="47" t="s">
        <v>2190</v>
      </c>
      <c r="C1151" s="47" t="s">
        <v>88</v>
      </c>
      <c r="D1151" s="47" t="s">
        <v>107</v>
      </c>
      <c r="E1151" s="47" t="s">
        <v>17</v>
      </c>
      <c r="F1151" s="47" t="s">
        <v>18</v>
      </c>
      <c r="G1151" s="47" t="s">
        <v>19</v>
      </c>
      <c r="H1151" s="59" t="s">
        <v>23</v>
      </c>
      <c r="I1151" s="47" t="s">
        <v>21</v>
      </c>
      <c r="J1151" s="47" t="s">
        <v>22</v>
      </c>
      <c r="K1151" s="59" t="s">
        <v>23</v>
      </c>
      <c r="L1151" s="47" t="s">
        <v>65</v>
      </c>
      <c r="M1151" s="47" t="s">
        <v>686</v>
      </c>
    </row>
    <row r="1152" customHeight="1" spans="1:13">
      <c r="A1152" s="47" t="s">
        <v>2192</v>
      </c>
      <c r="B1152" s="47" t="s">
        <v>2190</v>
      </c>
      <c r="C1152" s="47" t="s">
        <v>250</v>
      </c>
      <c r="D1152" s="47" t="s">
        <v>16</v>
      </c>
      <c r="E1152" s="47" t="s">
        <v>103</v>
      </c>
      <c r="F1152" s="47" t="s">
        <v>37</v>
      </c>
      <c r="G1152" s="47" t="s">
        <v>38</v>
      </c>
      <c r="H1152" s="47" t="s">
        <v>77</v>
      </c>
      <c r="I1152" s="47" t="s">
        <v>77</v>
      </c>
      <c r="J1152" s="47" t="s">
        <v>22</v>
      </c>
      <c r="K1152" s="59" t="s">
        <v>23</v>
      </c>
      <c r="L1152" s="59" t="s">
        <v>23</v>
      </c>
      <c r="M1152" s="47" t="s">
        <v>33</v>
      </c>
    </row>
    <row r="1153" customHeight="1" spans="1:13">
      <c r="A1153" s="47" t="s">
        <v>2193</v>
      </c>
      <c r="B1153" s="47" t="s">
        <v>2190</v>
      </c>
      <c r="C1153" s="47" t="s">
        <v>1637</v>
      </c>
      <c r="D1153" s="47" t="s">
        <v>16</v>
      </c>
      <c r="E1153" s="47" t="s">
        <v>165</v>
      </c>
      <c r="F1153" s="47" t="s">
        <v>109</v>
      </c>
      <c r="G1153" s="47" t="s">
        <v>38</v>
      </c>
      <c r="H1153" s="47" t="s">
        <v>82</v>
      </c>
      <c r="I1153" s="47" t="s">
        <v>82</v>
      </c>
      <c r="J1153" s="47" t="s">
        <v>22</v>
      </c>
      <c r="K1153" s="59" t="s">
        <v>23</v>
      </c>
      <c r="L1153" s="47" t="s">
        <v>65</v>
      </c>
      <c r="M1153" s="47" t="s">
        <v>73</v>
      </c>
    </row>
    <row r="1154" customHeight="1" spans="1:13">
      <c r="A1154" s="47" t="s">
        <v>2194</v>
      </c>
      <c r="B1154" s="47" t="s">
        <v>2195</v>
      </c>
      <c r="C1154" s="47" t="s">
        <v>187</v>
      </c>
      <c r="D1154" s="47" t="s">
        <v>16</v>
      </c>
      <c r="E1154" s="47" t="s">
        <v>63</v>
      </c>
      <c r="F1154" s="47" t="s">
        <v>18</v>
      </c>
      <c r="G1154" s="47" t="s">
        <v>19</v>
      </c>
      <c r="H1154" s="47" t="s">
        <v>64</v>
      </c>
      <c r="I1154" s="59" t="s">
        <v>23</v>
      </c>
      <c r="J1154" s="47" t="s">
        <v>68</v>
      </c>
      <c r="K1154" s="47" t="s">
        <v>143</v>
      </c>
      <c r="L1154" s="59" t="s">
        <v>23</v>
      </c>
      <c r="M1154" s="47" t="s">
        <v>33</v>
      </c>
    </row>
    <row r="1155" customHeight="1" spans="1:13">
      <c r="A1155" s="47" t="s">
        <v>2194</v>
      </c>
      <c r="B1155" s="47" t="s">
        <v>2190</v>
      </c>
      <c r="C1155" s="47" t="s">
        <v>187</v>
      </c>
      <c r="D1155" s="47" t="s">
        <v>16</v>
      </c>
      <c r="E1155" s="47" t="s">
        <v>63</v>
      </c>
      <c r="F1155" s="47" t="s">
        <v>18</v>
      </c>
      <c r="G1155" s="47" t="s">
        <v>19</v>
      </c>
      <c r="H1155" s="47" t="s">
        <v>724</v>
      </c>
      <c r="I1155" s="47" t="s">
        <v>848</v>
      </c>
      <c r="J1155" s="47" t="s">
        <v>22</v>
      </c>
      <c r="K1155" s="47" t="s">
        <v>143</v>
      </c>
      <c r="L1155" s="59" t="s">
        <v>23</v>
      </c>
      <c r="M1155" s="47" t="s">
        <v>33</v>
      </c>
    </row>
    <row r="1156" customHeight="1" spans="1:13">
      <c r="A1156" s="47" t="s">
        <v>2196</v>
      </c>
      <c r="B1156" s="47" t="s">
        <v>2190</v>
      </c>
      <c r="C1156" s="47" t="s">
        <v>206</v>
      </c>
      <c r="D1156" s="47" t="s">
        <v>43</v>
      </c>
      <c r="E1156" s="47" t="s">
        <v>17</v>
      </c>
      <c r="F1156" s="47" t="s">
        <v>18</v>
      </c>
      <c r="G1156" s="47" t="s">
        <v>38</v>
      </c>
      <c r="H1156" s="47" t="s">
        <v>20</v>
      </c>
      <c r="I1156" s="47" t="s">
        <v>20</v>
      </c>
      <c r="J1156" s="47" t="s">
        <v>32</v>
      </c>
      <c r="K1156" s="59" t="s">
        <v>23</v>
      </c>
      <c r="L1156" s="59" t="s">
        <v>23</v>
      </c>
      <c r="M1156" s="47" t="s">
        <v>40</v>
      </c>
    </row>
    <row r="1157" customHeight="1" spans="1:13">
      <c r="A1157" s="47" t="s">
        <v>2196</v>
      </c>
      <c r="B1157" s="47" t="s">
        <v>2190</v>
      </c>
      <c r="C1157" s="47" t="s">
        <v>206</v>
      </c>
      <c r="D1157" s="47" t="s">
        <v>43</v>
      </c>
      <c r="E1157" s="47" t="s">
        <v>17</v>
      </c>
      <c r="F1157" s="47" t="s">
        <v>18</v>
      </c>
      <c r="G1157" s="47" t="s">
        <v>38</v>
      </c>
      <c r="H1157" s="47" t="s">
        <v>20</v>
      </c>
      <c r="I1157" s="47" t="s">
        <v>20</v>
      </c>
      <c r="J1157" s="47" t="s">
        <v>32</v>
      </c>
      <c r="K1157" s="59" t="s">
        <v>23</v>
      </c>
      <c r="L1157" s="59" t="s">
        <v>23</v>
      </c>
      <c r="M1157" s="47" t="s">
        <v>40</v>
      </c>
    </row>
    <row r="1158" customHeight="1" spans="1:13">
      <c r="A1158" s="47" t="s">
        <v>2197</v>
      </c>
      <c r="B1158" s="47" t="s">
        <v>2190</v>
      </c>
      <c r="C1158" s="47" t="s">
        <v>1158</v>
      </c>
      <c r="D1158" s="47" t="s">
        <v>16</v>
      </c>
      <c r="E1158" s="47" t="s">
        <v>165</v>
      </c>
      <c r="F1158" s="47" t="s">
        <v>109</v>
      </c>
      <c r="G1158" s="47" t="s">
        <v>19</v>
      </c>
      <c r="H1158" s="47" t="s">
        <v>82</v>
      </c>
      <c r="I1158" s="47" t="s">
        <v>184</v>
      </c>
      <c r="J1158" s="47" t="s">
        <v>22</v>
      </c>
      <c r="K1158" s="47" t="s">
        <v>53</v>
      </c>
      <c r="L1158" s="59" t="s">
        <v>23</v>
      </c>
      <c r="M1158" s="47" t="s">
        <v>47</v>
      </c>
    </row>
    <row r="1159" customHeight="1" spans="1:13">
      <c r="A1159" s="47" t="s">
        <v>2198</v>
      </c>
      <c r="B1159" s="47" t="s">
        <v>2190</v>
      </c>
      <c r="C1159" s="47" t="s">
        <v>1700</v>
      </c>
      <c r="D1159" s="47" t="s">
        <v>207</v>
      </c>
      <c r="E1159" s="47" t="s">
        <v>81</v>
      </c>
      <c r="F1159" s="47" t="s">
        <v>37</v>
      </c>
      <c r="G1159" s="47" t="s">
        <v>38</v>
      </c>
      <c r="H1159" s="47" t="s">
        <v>82</v>
      </c>
      <c r="I1159" s="47" t="s">
        <v>82</v>
      </c>
      <c r="J1159" s="47" t="s">
        <v>22</v>
      </c>
      <c r="K1159" s="59" t="s">
        <v>23</v>
      </c>
      <c r="L1159" s="59" t="s">
        <v>23</v>
      </c>
      <c r="M1159" s="47" t="s">
        <v>33</v>
      </c>
    </row>
    <row r="1160" customHeight="1" spans="1:13">
      <c r="A1160" s="47" t="s">
        <v>2199</v>
      </c>
      <c r="B1160" s="47" t="s">
        <v>2200</v>
      </c>
      <c r="C1160" s="47" t="s">
        <v>821</v>
      </c>
      <c r="D1160" s="47" t="s">
        <v>16</v>
      </c>
      <c r="E1160" s="47" t="s">
        <v>188</v>
      </c>
      <c r="F1160" s="47" t="s">
        <v>37</v>
      </c>
      <c r="G1160" s="47" t="s">
        <v>38</v>
      </c>
      <c r="H1160" s="47" t="s">
        <v>77</v>
      </c>
      <c r="I1160" s="47" t="s">
        <v>77</v>
      </c>
      <c r="J1160" s="47" t="s">
        <v>753</v>
      </c>
      <c r="K1160" s="59" t="s">
        <v>23</v>
      </c>
      <c r="L1160" s="59" t="s">
        <v>23</v>
      </c>
      <c r="M1160" s="47" t="s">
        <v>40</v>
      </c>
    </row>
    <row r="1161" customHeight="1" spans="1:13">
      <c r="A1161" s="47" t="s">
        <v>2201</v>
      </c>
      <c r="B1161" s="47" t="s">
        <v>2200</v>
      </c>
      <c r="C1161" s="47" t="s">
        <v>314</v>
      </c>
      <c r="D1161" s="47" t="s">
        <v>16</v>
      </c>
      <c r="E1161" s="47" t="s">
        <v>17</v>
      </c>
      <c r="F1161" s="59" t="s">
        <v>23</v>
      </c>
      <c r="G1161" s="47" t="s">
        <v>38</v>
      </c>
      <c r="H1161" s="47" t="s">
        <v>20</v>
      </c>
      <c r="I1161" s="47" t="s">
        <v>20</v>
      </c>
      <c r="J1161" s="47" t="s">
        <v>22</v>
      </c>
      <c r="K1161" s="59" t="s">
        <v>23</v>
      </c>
      <c r="L1161" s="59" t="s">
        <v>23</v>
      </c>
      <c r="M1161" s="47" t="s">
        <v>73</v>
      </c>
    </row>
    <row r="1162" customHeight="1" spans="1:13">
      <c r="A1162" s="47" t="s">
        <v>2202</v>
      </c>
      <c r="B1162" s="47" t="s">
        <v>2200</v>
      </c>
      <c r="C1162" s="47" t="s">
        <v>456</v>
      </c>
      <c r="D1162" s="47" t="s">
        <v>16</v>
      </c>
      <c r="E1162" s="47" t="s">
        <v>63</v>
      </c>
      <c r="F1162" s="47" t="s">
        <v>18</v>
      </c>
      <c r="G1162" s="47" t="s">
        <v>38</v>
      </c>
      <c r="H1162" s="47" t="s">
        <v>64</v>
      </c>
      <c r="I1162" s="47" t="s">
        <v>64</v>
      </c>
      <c r="J1162" s="47" t="s">
        <v>32</v>
      </c>
      <c r="K1162" s="59" t="s">
        <v>23</v>
      </c>
      <c r="L1162" s="47" t="s">
        <v>54</v>
      </c>
      <c r="M1162" s="47" t="s">
        <v>157</v>
      </c>
    </row>
    <row r="1163" customHeight="1" spans="1:13">
      <c r="A1163" s="47" t="s">
        <v>2203</v>
      </c>
      <c r="B1163" s="47" t="s">
        <v>2200</v>
      </c>
      <c r="C1163" s="47" t="s">
        <v>635</v>
      </c>
      <c r="D1163" s="47" t="s">
        <v>43</v>
      </c>
      <c r="E1163" s="47" t="s">
        <v>50</v>
      </c>
      <c r="F1163" s="47" t="s">
        <v>28</v>
      </c>
      <c r="G1163" s="47" t="s">
        <v>29</v>
      </c>
      <c r="H1163" s="47" t="s">
        <v>52</v>
      </c>
      <c r="I1163" s="47" t="s">
        <v>2204</v>
      </c>
      <c r="J1163" s="47" t="s">
        <v>22</v>
      </c>
      <c r="K1163" s="47" t="s">
        <v>119</v>
      </c>
      <c r="L1163" s="47" t="s">
        <v>65</v>
      </c>
      <c r="M1163" s="47" t="s">
        <v>40</v>
      </c>
    </row>
    <row r="1164" customHeight="1" spans="1:13">
      <c r="A1164" s="47" t="s">
        <v>2205</v>
      </c>
      <c r="B1164" s="47" t="s">
        <v>2200</v>
      </c>
      <c r="C1164" s="47" t="s">
        <v>198</v>
      </c>
      <c r="D1164" s="47" t="s">
        <v>16</v>
      </c>
      <c r="E1164" s="47" t="s">
        <v>27</v>
      </c>
      <c r="F1164" s="47" t="s">
        <v>28</v>
      </c>
      <c r="G1164" s="47" t="s">
        <v>38</v>
      </c>
      <c r="H1164" s="47" t="s">
        <v>30</v>
      </c>
      <c r="I1164" s="47" t="s">
        <v>30</v>
      </c>
      <c r="J1164" s="47" t="s">
        <v>22</v>
      </c>
      <c r="K1164" s="59" t="s">
        <v>23</v>
      </c>
      <c r="L1164" s="59" t="s">
        <v>23</v>
      </c>
      <c r="M1164" s="47" t="s">
        <v>73</v>
      </c>
    </row>
    <row r="1165" customHeight="1" spans="1:13">
      <c r="A1165" s="47" t="s">
        <v>2206</v>
      </c>
      <c r="B1165" s="47" t="s">
        <v>2207</v>
      </c>
      <c r="C1165" s="47" t="s">
        <v>206</v>
      </c>
      <c r="D1165" s="47" t="s">
        <v>107</v>
      </c>
      <c r="E1165" s="47" t="s">
        <v>63</v>
      </c>
      <c r="F1165" s="47" t="s">
        <v>18</v>
      </c>
      <c r="G1165" s="47" t="s">
        <v>38</v>
      </c>
      <c r="H1165" s="47" t="s">
        <v>64</v>
      </c>
      <c r="I1165" s="47" t="s">
        <v>64</v>
      </c>
      <c r="J1165" s="47" t="s">
        <v>32</v>
      </c>
      <c r="K1165" s="59" t="s">
        <v>23</v>
      </c>
      <c r="L1165" s="59" t="s">
        <v>23</v>
      </c>
      <c r="M1165" s="47" t="s">
        <v>73</v>
      </c>
    </row>
    <row r="1166" customHeight="1" spans="1:13">
      <c r="A1166" s="47" t="s">
        <v>2208</v>
      </c>
      <c r="B1166" s="47" t="s">
        <v>2200</v>
      </c>
      <c r="C1166" s="47" t="s">
        <v>811</v>
      </c>
      <c r="D1166" s="47" t="s">
        <v>16</v>
      </c>
      <c r="E1166" s="47" t="s">
        <v>2209</v>
      </c>
      <c r="F1166" s="47" t="s">
        <v>18</v>
      </c>
      <c r="G1166" s="47" t="s">
        <v>19</v>
      </c>
      <c r="H1166" s="47" t="s">
        <v>39</v>
      </c>
      <c r="I1166" s="47" t="s">
        <v>82</v>
      </c>
      <c r="J1166" s="47" t="s">
        <v>22</v>
      </c>
      <c r="K1166" s="59" t="s">
        <v>23</v>
      </c>
      <c r="L1166" s="59" t="s">
        <v>23</v>
      </c>
      <c r="M1166" s="47" t="s">
        <v>47</v>
      </c>
    </row>
    <row r="1167" customHeight="1" spans="1:13">
      <c r="A1167" s="47" t="s">
        <v>2210</v>
      </c>
      <c r="B1167" s="47" t="s">
        <v>2200</v>
      </c>
      <c r="C1167" s="47" t="s">
        <v>118</v>
      </c>
      <c r="D1167" s="47" t="s">
        <v>156</v>
      </c>
      <c r="E1167" s="47" t="s">
        <v>27</v>
      </c>
      <c r="F1167" s="47" t="s">
        <v>28</v>
      </c>
      <c r="G1167" s="47" t="s">
        <v>38</v>
      </c>
      <c r="H1167" s="47" t="s">
        <v>30</v>
      </c>
      <c r="I1167" s="47" t="s">
        <v>30</v>
      </c>
      <c r="J1167" s="47" t="s">
        <v>22</v>
      </c>
      <c r="K1167" s="47" t="s">
        <v>53</v>
      </c>
      <c r="L1167" s="47" t="s">
        <v>65</v>
      </c>
      <c r="M1167" s="47" t="s">
        <v>33</v>
      </c>
    </row>
    <row r="1168" customHeight="1" spans="1:13">
      <c r="A1168" s="47" t="s">
        <v>2211</v>
      </c>
      <c r="B1168" s="47" t="s">
        <v>2212</v>
      </c>
      <c r="C1168" s="47" t="s">
        <v>498</v>
      </c>
      <c r="D1168" s="47" t="s">
        <v>43</v>
      </c>
      <c r="E1168" s="47" t="s">
        <v>103</v>
      </c>
      <c r="F1168" s="47" t="s">
        <v>37</v>
      </c>
      <c r="G1168" s="47" t="s">
        <v>38</v>
      </c>
      <c r="H1168" s="47" t="s">
        <v>77</v>
      </c>
      <c r="I1168" s="47" t="s">
        <v>77</v>
      </c>
      <c r="J1168" s="47" t="s">
        <v>22</v>
      </c>
      <c r="K1168" s="59" t="s">
        <v>23</v>
      </c>
      <c r="L1168" s="59" t="s">
        <v>23</v>
      </c>
      <c r="M1168" s="47" t="s">
        <v>33</v>
      </c>
    </row>
    <row r="1169" customHeight="1" spans="1:13">
      <c r="A1169" s="47" t="s">
        <v>2213</v>
      </c>
      <c r="B1169" s="47" t="s">
        <v>2214</v>
      </c>
      <c r="C1169" s="47" t="s">
        <v>1302</v>
      </c>
      <c r="D1169" s="47" t="s">
        <v>107</v>
      </c>
      <c r="E1169" s="47" t="s">
        <v>2215</v>
      </c>
      <c r="F1169" s="47" t="s">
        <v>37</v>
      </c>
      <c r="G1169" s="47" t="s">
        <v>38</v>
      </c>
      <c r="H1169" s="47" t="s">
        <v>82</v>
      </c>
      <c r="I1169" s="47" t="s">
        <v>82</v>
      </c>
      <c r="J1169" s="47" t="s">
        <v>22</v>
      </c>
      <c r="K1169" s="59" t="s">
        <v>23</v>
      </c>
      <c r="L1169" s="59" t="s">
        <v>23</v>
      </c>
      <c r="M1169" s="47" t="s">
        <v>40</v>
      </c>
    </row>
    <row r="1170" customHeight="1" spans="1:13">
      <c r="A1170" s="47" t="s">
        <v>2216</v>
      </c>
      <c r="B1170" s="47" t="s">
        <v>2214</v>
      </c>
      <c r="C1170" s="47" t="s">
        <v>1615</v>
      </c>
      <c r="D1170" s="47" t="s">
        <v>43</v>
      </c>
      <c r="E1170" s="47" t="s">
        <v>95</v>
      </c>
      <c r="F1170" s="47" t="s">
        <v>45</v>
      </c>
      <c r="G1170" s="47" t="s">
        <v>38</v>
      </c>
      <c r="H1170" s="47" t="s">
        <v>77</v>
      </c>
      <c r="I1170" s="47" t="s">
        <v>77</v>
      </c>
      <c r="J1170" s="47" t="s">
        <v>32</v>
      </c>
      <c r="K1170" s="59" t="s">
        <v>23</v>
      </c>
      <c r="L1170" s="59" t="s">
        <v>23</v>
      </c>
      <c r="M1170" s="47" t="s">
        <v>24</v>
      </c>
    </row>
    <row r="1171" customHeight="1" spans="1:13">
      <c r="A1171" s="47" t="s">
        <v>2217</v>
      </c>
      <c r="B1171" s="47" t="s">
        <v>2214</v>
      </c>
      <c r="C1171" s="47" t="s">
        <v>1874</v>
      </c>
      <c r="D1171" s="47" t="s">
        <v>16</v>
      </c>
      <c r="E1171" s="47" t="s">
        <v>146</v>
      </c>
      <c r="F1171" s="47" t="s">
        <v>28</v>
      </c>
      <c r="G1171" s="47" t="s">
        <v>38</v>
      </c>
      <c r="H1171" s="47" t="s">
        <v>147</v>
      </c>
      <c r="I1171" s="47" t="s">
        <v>147</v>
      </c>
      <c r="J1171" s="47" t="s">
        <v>32</v>
      </c>
      <c r="K1171" s="59" t="s">
        <v>23</v>
      </c>
      <c r="L1171" s="59" t="s">
        <v>23</v>
      </c>
      <c r="M1171" s="47" t="s">
        <v>40</v>
      </c>
    </row>
    <row r="1172" customHeight="1" spans="1:13">
      <c r="A1172" s="47" t="s">
        <v>2218</v>
      </c>
      <c r="B1172" s="47" t="s">
        <v>2214</v>
      </c>
      <c r="C1172" s="47" t="s">
        <v>703</v>
      </c>
      <c r="D1172" s="47" t="s">
        <v>43</v>
      </c>
      <c r="E1172" s="47" t="s">
        <v>63</v>
      </c>
      <c r="F1172" s="47" t="s">
        <v>18</v>
      </c>
      <c r="G1172" s="47" t="s">
        <v>38</v>
      </c>
      <c r="H1172" s="59" t="s">
        <v>23</v>
      </c>
      <c r="I1172" s="47" t="s">
        <v>64</v>
      </c>
      <c r="J1172" s="47" t="s">
        <v>32</v>
      </c>
      <c r="K1172" s="59" t="s">
        <v>23</v>
      </c>
      <c r="L1172" s="59" t="s">
        <v>23</v>
      </c>
      <c r="M1172" s="47" t="s">
        <v>47</v>
      </c>
    </row>
    <row r="1173" customHeight="1" spans="1:13">
      <c r="A1173" s="47" t="s">
        <v>2219</v>
      </c>
      <c r="B1173" s="47" t="s">
        <v>2220</v>
      </c>
      <c r="C1173" s="47" t="s">
        <v>26</v>
      </c>
      <c r="D1173" s="47" t="s">
        <v>513</v>
      </c>
      <c r="E1173" s="47" t="s">
        <v>36</v>
      </c>
      <c r="F1173" s="47" t="s">
        <v>37</v>
      </c>
      <c r="G1173" s="47" t="s">
        <v>38</v>
      </c>
      <c r="H1173" s="47" t="s">
        <v>39</v>
      </c>
      <c r="I1173" s="47" t="s">
        <v>130</v>
      </c>
      <c r="J1173" s="47" t="s">
        <v>22</v>
      </c>
      <c r="K1173" s="59" t="s">
        <v>23</v>
      </c>
      <c r="L1173" s="47" t="s">
        <v>29</v>
      </c>
      <c r="M1173" s="47" t="s">
        <v>47</v>
      </c>
    </row>
    <row r="1174" customHeight="1" spans="1:13">
      <c r="A1174" s="47" t="s">
        <v>2221</v>
      </c>
      <c r="B1174" s="47" t="s">
        <v>2214</v>
      </c>
      <c r="C1174" s="47" t="s">
        <v>1576</v>
      </c>
      <c r="D1174" s="47" t="s">
        <v>16</v>
      </c>
      <c r="E1174" s="47" t="s">
        <v>63</v>
      </c>
      <c r="F1174" s="47" t="s">
        <v>18</v>
      </c>
      <c r="G1174" s="47" t="s">
        <v>38</v>
      </c>
      <c r="H1174" s="47" t="s">
        <v>64</v>
      </c>
      <c r="I1174" s="47" t="s">
        <v>64</v>
      </c>
      <c r="J1174" s="47" t="s">
        <v>32</v>
      </c>
      <c r="K1174" s="59" t="s">
        <v>23</v>
      </c>
      <c r="L1174" s="59" t="s">
        <v>23</v>
      </c>
      <c r="M1174" s="47" t="s">
        <v>490</v>
      </c>
    </row>
    <row r="1175" customHeight="1" spans="1:13">
      <c r="A1175" s="47" t="s">
        <v>2222</v>
      </c>
      <c r="B1175" s="47" t="s">
        <v>2214</v>
      </c>
      <c r="C1175" s="47" t="s">
        <v>2223</v>
      </c>
      <c r="D1175" s="47" t="s">
        <v>43</v>
      </c>
      <c r="E1175" s="47" t="s">
        <v>57</v>
      </c>
      <c r="F1175" s="59" t="s">
        <v>23</v>
      </c>
      <c r="G1175" s="47" t="s">
        <v>38</v>
      </c>
      <c r="H1175" s="47" t="s">
        <v>58</v>
      </c>
      <c r="I1175" s="47" t="s">
        <v>58</v>
      </c>
      <c r="J1175" s="47" t="s">
        <v>22</v>
      </c>
      <c r="K1175" s="59" t="s">
        <v>23</v>
      </c>
      <c r="L1175" s="59" t="s">
        <v>23</v>
      </c>
      <c r="M1175" s="47" t="s">
        <v>73</v>
      </c>
    </row>
    <row r="1176" customHeight="1" spans="1:13">
      <c r="A1176" s="47" t="s">
        <v>2224</v>
      </c>
      <c r="B1176" s="47" t="s">
        <v>2212</v>
      </c>
      <c r="C1176" s="47" t="s">
        <v>750</v>
      </c>
      <c r="D1176" s="47" t="s">
        <v>16</v>
      </c>
      <c r="E1176" s="47" t="s">
        <v>81</v>
      </c>
      <c r="F1176" s="47" t="s">
        <v>37</v>
      </c>
      <c r="G1176" s="47" t="s">
        <v>19</v>
      </c>
      <c r="H1176" s="47" t="s">
        <v>82</v>
      </c>
      <c r="I1176" s="47" t="s">
        <v>184</v>
      </c>
      <c r="J1176" s="47" t="s">
        <v>32</v>
      </c>
      <c r="K1176" s="59" t="s">
        <v>23</v>
      </c>
      <c r="L1176" s="47" t="s">
        <v>65</v>
      </c>
      <c r="M1176" s="47" t="s">
        <v>33</v>
      </c>
    </row>
    <row r="1177" customHeight="1" spans="1:13">
      <c r="A1177" s="47" t="s">
        <v>2225</v>
      </c>
      <c r="B1177" s="47" t="s">
        <v>2212</v>
      </c>
      <c r="C1177" s="47" t="s">
        <v>385</v>
      </c>
      <c r="D1177" s="47" t="s">
        <v>16</v>
      </c>
      <c r="E1177" s="47" t="s">
        <v>17</v>
      </c>
      <c r="F1177" s="47" t="s">
        <v>18</v>
      </c>
      <c r="G1177" s="47" t="s">
        <v>19</v>
      </c>
      <c r="H1177" s="47" t="s">
        <v>20</v>
      </c>
      <c r="I1177" s="47" t="s">
        <v>21</v>
      </c>
      <c r="J1177" s="47" t="s">
        <v>32</v>
      </c>
      <c r="K1177" s="59" t="s">
        <v>23</v>
      </c>
      <c r="L1177" s="47" t="s">
        <v>65</v>
      </c>
      <c r="M1177" s="47" t="s">
        <v>47</v>
      </c>
    </row>
    <row r="1178" customHeight="1" spans="1:13">
      <c r="A1178" s="47" t="s">
        <v>2226</v>
      </c>
      <c r="B1178" s="47" t="s">
        <v>2212</v>
      </c>
      <c r="C1178" s="47" t="s">
        <v>285</v>
      </c>
      <c r="D1178" s="47" t="s">
        <v>16</v>
      </c>
      <c r="E1178" s="47" t="s">
        <v>36</v>
      </c>
      <c r="F1178" s="47" t="s">
        <v>37</v>
      </c>
      <c r="G1178" s="47" t="s">
        <v>38</v>
      </c>
      <c r="H1178" s="47" t="s">
        <v>39</v>
      </c>
      <c r="I1178" s="47" t="s">
        <v>39</v>
      </c>
      <c r="J1178" s="47" t="s">
        <v>32</v>
      </c>
      <c r="K1178" s="59" t="s">
        <v>23</v>
      </c>
      <c r="L1178" s="59" t="s">
        <v>23</v>
      </c>
      <c r="M1178" s="47" t="s">
        <v>40</v>
      </c>
    </row>
    <row r="1179" customHeight="1" spans="1:13">
      <c r="A1179" s="47" t="s">
        <v>2227</v>
      </c>
      <c r="B1179" s="47" t="s">
        <v>2200</v>
      </c>
      <c r="C1179" s="47" t="s">
        <v>442</v>
      </c>
      <c r="D1179" s="47" t="s">
        <v>43</v>
      </c>
      <c r="E1179" s="47" t="s">
        <v>103</v>
      </c>
      <c r="F1179" s="47" t="s">
        <v>37</v>
      </c>
      <c r="G1179" s="47" t="s">
        <v>19</v>
      </c>
      <c r="H1179" s="47" t="s">
        <v>77</v>
      </c>
      <c r="I1179" s="47" t="s">
        <v>96</v>
      </c>
      <c r="J1179" s="47" t="s">
        <v>22</v>
      </c>
      <c r="K1179" s="59" t="s">
        <v>23</v>
      </c>
      <c r="L1179" s="59" t="s">
        <v>23</v>
      </c>
      <c r="M1179" s="47" t="s">
        <v>33</v>
      </c>
    </row>
    <row r="1180" customHeight="1" spans="1:13">
      <c r="A1180" s="47" t="s">
        <v>2228</v>
      </c>
      <c r="B1180" s="47" t="s">
        <v>2229</v>
      </c>
      <c r="C1180" s="47" t="s">
        <v>2230</v>
      </c>
      <c r="D1180" s="47" t="s">
        <v>107</v>
      </c>
      <c r="E1180" s="47" t="s">
        <v>81</v>
      </c>
      <c r="F1180" s="59" t="s">
        <v>23</v>
      </c>
      <c r="G1180" s="47" t="s">
        <v>38</v>
      </c>
      <c r="H1180" s="47" t="s">
        <v>82</v>
      </c>
      <c r="I1180" s="47" t="s">
        <v>82</v>
      </c>
      <c r="J1180" s="47" t="s">
        <v>32</v>
      </c>
      <c r="K1180" s="59" t="s">
        <v>23</v>
      </c>
      <c r="L1180" s="59" t="s">
        <v>23</v>
      </c>
      <c r="M1180" s="47" t="s">
        <v>47</v>
      </c>
    </row>
    <row r="1181" customHeight="1" spans="1:13">
      <c r="A1181" s="47" t="s">
        <v>2231</v>
      </c>
      <c r="B1181" s="47" t="s">
        <v>2232</v>
      </c>
      <c r="C1181" s="47" t="s">
        <v>2233</v>
      </c>
      <c r="D1181" s="47" t="s">
        <v>16</v>
      </c>
      <c r="E1181" s="47" t="s">
        <v>719</v>
      </c>
      <c r="F1181" s="47" t="s">
        <v>37</v>
      </c>
      <c r="G1181" s="47" t="s">
        <v>38</v>
      </c>
      <c r="H1181" s="47" t="s">
        <v>77</v>
      </c>
      <c r="I1181" s="47" t="s">
        <v>77</v>
      </c>
      <c r="J1181" s="47" t="s">
        <v>22</v>
      </c>
      <c r="K1181" s="59" t="s">
        <v>23</v>
      </c>
      <c r="L1181" s="59" t="s">
        <v>23</v>
      </c>
      <c r="M1181" s="47" t="s">
        <v>40</v>
      </c>
    </row>
    <row r="1182" customHeight="1" spans="1:13">
      <c r="A1182" s="47" t="s">
        <v>2234</v>
      </c>
      <c r="B1182" s="47" t="s">
        <v>2229</v>
      </c>
      <c r="C1182" s="47" t="s">
        <v>451</v>
      </c>
      <c r="D1182" s="47" t="s">
        <v>16</v>
      </c>
      <c r="E1182" s="47" t="s">
        <v>1257</v>
      </c>
      <c r="F1182" s="47" t="s">
        <v>45</v>
      </c>
      <c r="G1182" s="47" t="s">
        <v>38</v>
      </c>
      <c r="H1182" s="47" t="s">
        <v>46</v>
      </c>
      <c r="I1182" s="47" t="s">
        <v>46</v>
      </c>
      <c r="J1182" s="47" t="s">
        <v>22</v>
      </c>
      <c r="K1182" s="59" t="s">
        <v>23</v>
      </c>
      <c r="L1182" s="47" t="s">
        <v>65</v>
      </c>
      <c r="M1182" s="47" t="s">
        <v>33</v>
      </c>
    </row>
    <row r="1183" customHeight="1" spans="1:13">
      <c r="A1183" s="47" t="s">
        <v>2235</v>
      </c>
      <c r="B1183" s="47" t="s">
        <v>2229</v>
      </c>
      <c r="C1183" s="47" t="s">
        <v>802</v>
      </c>
      <c r="D1183" s="47" t="s">
        <v>16</v>
      </c>
      <c r="E1183" s="47" t="s">
        <v>44</v>
      </c>
      <c r="F1183" s="47" t="s">
        <v>45</v>
      </c>
      <c r="G1183" s="47" t="s">
        <v>38</v>
      </c>
      <c r="H1183" s="47" t="s">
        <v>46</v>
      </c>
      <c r="I1183" s="47" t="s">
        <v>46</v>
      </c>
      <c r="J1183" s="47" t="s">
        <v>22</v>
      </c>
      <c r="K1183" s="59" t="s">
        <v>23</v>
      </c>
      <c r="L1183" s="47" t="s">
        <v>29</v>
      </c>
      <c r="M1183" s="47" t="s">
        <v>33</v>
      </c>
    </row>
    <row r="1184" customHeight="1" spans="1:13">
      <c r="A1184" s="47" t="s">
        <v>2236</v>
      </c>
      <c r="B1184" s="47" t="s">
        <v>2229</v>
      </c>
      <c r="C1184" s="47" t="s">
        <v>459</v>
      </c>
      <c r="D1184" s="47" t="s">
        <v>16</v>
      </c>
      <c r="E1184" s="47" t="s">
        <v>17</v>
      </c>
      <c r="F1184" s="47" t="s">
        <v>18</v>
      </c>
      <c r="G1184" s="47" t="s">
        <v>38</v>
      </c>
      <c r="H1184" s="47" t="s">
        <v>20</v>
      </c>
      <c r="I1184" s="47" t="s">
        <v>20</v>
      </c>
      <c r="J1184" s="47" t="s">
        <v>22</v>
      </c>
      <c r="K1184" s="59" t="s">
        <v>23</v>
      </c>
      <c r="L1184" s="59" t="s">
        <v>23</v>
      </c>
      <c r="M1184" s="47" t="s">
        <v>73</v>
      </c>
    </row>
    <row r="1185" customHeight="1" spans="1:13">
      <c r="A1185" s="47" t="s">
        <v>2237</v>
      </c>
      <c r="B1185" s="47" t="s">
        <v>2238</v>
      </c>
      <c r="C1185" s="47" t="s">
        <v>933</v>
      </c>
      <c r="D1185" s="47" t="s">
        <v>934</v>
      </c>
      <c r="E1185" s="47" t="s">
        <v>188</v>
      </c>
      <c r="F1185" s="47" t="s">
        <v>37</v>
      </c>
      <c r="G1185" s="47" t="s">
        <v>38</v>
      </c>
      <c r="H1185" s="47" t="s">
        <v>77</v>
      </c>
      <c r="I1185" s="47" t="s">
        <v>77</v>
      </c>
      <c r="J1185" s="47" t="s">
        <v>22</v>
      </c>
      <c r="K1185" s="59" t="s">
        <v>23</v>
      </c>
      <c r="L1185" s="59" t="s">
        <v>23</v>
      </c>
      <c r="M1185" s="47" t="s">
        <v>40</v>
      </c>
    </row>
    <row r="1186" customHeight="1" spans="1:13">
      <c r="A1186" s="47" t="s">
        <v>2239</v>
      </c>
      <c r="B1186" s="47" t="s">
        <v>2229</v>
      </c>
      <c r="C1186" s="47" t="s">
        <v>198</v>
      </c>
      <c r="D1186" s="47" t="s">
        <v>134</v>
      </c>
      <c r="E1186" s="47" t="s">
        <v>17</v>
      </c>
      <c r="F1186" s="47" t="s">
        <v>18</v>
      </c>
      <c r="G1186" s="47" t="s">
        <v>19</v>
      </c>
      <c r="H1186" s="47" t="s">
        <v>710</v>
      </c>
      <c r="I1186" s="47" t="s">
        <v>21</v>
      </c>
      <c r="J1186" s="47" t="s">
        <v>32</v>
      </c>
      <c r="K1186" s="59" t="s">
        <v>23</v>
      </c>
      <c r="L1186" s="59" t="s">
        <v>23</v>
      </c>
      <c r="M1186" s="47" t="s">
        <v>47</v>
      </c>
    </row>
    <row r="1187" customHeight="1" spans="1:13">
      <c r="A1187" s="47" t="s">
        <v>2240</v>
      </c>
      <c r="B1187" s="47" t="s">
        <v>2232</v>
      </c>
      <c r="C1187" s="47" t="s">
        <v>273</v>
      </c>
      <c r="D1187" s="47" t="s">
        <v>16</v>
      </c>
      <c r="E1187" s="47" t="s">
        <v>1832</v>
      </c>
      <c r="F1187" s="47" t="s">
        <v>37</v>
      </c>
      <c r="G1187" s="47" t="s">
        <v>38</v>
      </c>
      <c r="H1187" s="47" t="s">
        <v>82</v>
      </c>
      <c r="I1187" s="47" t="s">
        <v>82</v>
      </c>
      <c r="J1187" s="47" t="s">
        <v>32</v>
      </c>
      <c r="K1187" s="59" t="s">
        <v>23</v>
      </c>
      <c r="L1187" s="47" t="s">
        <v>65</v>
      </c>
      <c r="M1187" s="47" t="s">
        <v>24</v>
      </c>
    </row>
    <row r="1188" customHeight="1" spans="1:13">
      <c r="A1188" s="47" t="s">
        <v>2241</v>
      </c>
      <c r="B1188" s="47" t="s">
        <v>2229</v>
      </c>
      <c r="C1188" s="47" t="s">
        <v>75</v>
      </c>
      <c r="D1188" s="47" t="s">
        <v>1275</v>
      </c>
      <c r="E1188" s="47" t="s">
        <v>57</v>
      </c>
      <c r="F1188" s="47" t="s">
        <v>28</v>
      </c>
      <c r="G1188" s="47" t="s">
        <v>38</v>
      </c>
      <c r="H1188" s="47" t="s">
        <v>58</v>
      </c>
      <c r="I1188" s="47" t="s">
        <v>58</v>
      </c>
      <c r="J1188" s="47" t="s">
        <v>753</v>
      </c>
      <c r="K1188" s="59" t="s">
        <v>23</v>
      </c>
      <c r="L1188" s="47" t="s">
        <v>65</v>
      </c>
      <c r="M1188" s="47" t="s">
        <v>40</v>
      </c>
    </row>
    <row r="1189" customHeight="1" spans="1:13">
      <c r="A1189" s="47" t="s">
        <v>2241</v>
      </c>
      <c r="B1189" s="47" t="s">
        <v>2229</v>
      </c>
      <c r="C1189" s="47" t="s">
        <v>75</v>
      </c>
      <c r="D1189" s="47" t="s">
        <v>43</v>
      </c>
      <c r="E1189" s="47" t="s">
        <v>57</v>
      </c>
      <c r="F1189" s="47" t="s">
        <v>28</v>
      </c>
      <c r="G1189" s="47" t="s">
        <v>38</v>
      </c>
      <c r="H1189" s="47" t="s">
        <v>58</v>
      </c>
      <c r="I1189" s="47" t="s">
        <v>58</v>
      </c>
      <c r="J1189" s="59" t="s">
        <v>23</v>
      </c>
      <c r="K1189" s="59" t="s">
        <v>23</v>
      </c>
      <c r="L1189" s="47" t="s">
        <v>65</v>
      </c>
      <c r="M1189" s="47" t="s">
        <v>40</v>
      </c>
    </row>
    <row r="1190" customHeight="1" spans="1:13">
      <c r="A1190" s="47" t="s">
        <v>2242</v>
      </c>
      <c r="B1190" s="47" t="s">
        <v>2238</v>
      </c>
      <c r="C1190" s="47" t="s">
        <v>618</v>
      </c>
      <c r="D1190" s="47" t="s">
        <v>43</v>
      </c>
      <c r="E1190" s="47" t="s">
        <v>44</v>
      </c>
      <c r="F1190" s="47" t="s">
        <v>45</v>
      </c>
      <c r="G1190" s="47" t="s">
        <v>38</v>
      </c>
      <c r="H1190" s="47" t="s">
        <v>46</v>
      </c>
      <c r="I1190" s="47" t="s">
        <v>46</v>
      </c>
      <c r="J1190" s="47" t="s">
        <v>753</v>
      </c>
      <c r="K1190" s="59" t="s">
        <v>23</v>
      </c>
      <c r="L1190" s="47" t="s">
        <v>65</v>
      </c>
      <c r="M1190" s="47" t="s">
        <v>40</v>
      </c>
    </row>
    <row r="1191" customHeight="1" spans="1:13">
      <c r="A1191" s="47" t="s">
        <v>2243</v>
      </c>
      <c r="B1191" s="47" t="s">
        <v>2238</v>
      </c>
      <c r="C1191" s="47" t="s">
        <v>586</v>
      </c>
      <c r="D1191" s="47" t="s">
        <v>43</v>
      </c>
      <c r="E1191" s="47" t="s">
        <v>44</v>
      </c>
      <c r="F1191" s="47" t="s">
        <v>45</v>
      </c>
      <c r="G1191" s="59" t="s">
        <v>23</v>
      </c>
      <c r="H1191" s="47" t="s">
        <v>46</v>
      </c>
      <c r="I1191" s="47" t="s">
        <v>46</v>
      </c>
      <c r="J1191" s="47" t="s">
        <v>22</v>
      </c>
      <c r="K1191" s="59" t="s">
        <v>23</v>
      </c>
      <c r="L1191" s="47" t="s">
        <v>65</v>
      </c>
      <c r="M1191" s="47" t="s">
        <v>40</v>
      </c>
    </row>
    <row r="1192" customHeight="1" spans="1:13">
      <c r="A1192" s="47" t="s">
        <v>2244</v>
      </c>
      <c r="B1192" s="47" t="s">
        <v>2229</v>
      </c>
      <c r="C1192" s="47" t="s">
        <v>586</v>
      </c>
      <c r="D1192" s="47" t="s">
        <v>16</v>
      </c>
      <c r="E1192" s="47" t="s">
        <v>367</v>
      </c>
      <c r="F1192" s="47" t="s">
        <v>109</v>
      </c>
      <c r="G1192" s="47" t="s">
        <v>38</v>
      </c>
      <c r="H1192" s="47" t="s">
        <v>110</v>
      </c>
      <c r="I1192" s="47" t="s">
        <v>110</v>
      </c>
      <c r="J1192" s="47" t="s">
        <v>22</v>
      </c>
      <c r="K1192" s="59" t="s">
        <v>23</v>
      </c>
      <c r="L1192" s="47" t="s">
        <v>65</v>
      </c>
      <c r="M1192" s="47" t="s">
        <v>73</v>
      </c>
    </row>
    <row r="1193" customHeight="1" spans="1:13">
      <c r="A1193" s="47" t="s">
        <v>2245</v>
      </c>
      <c r="B1193" s="47" t="s">
        <v>2229</v>
      </c>
      <c r="C1193" s="47" t="s">
        <v>1691</v>
      </c>
      <c r="D1193" s="47" t="s">
        <v>16</v>
      </c>
      <c r="E1193" s="47" t="s">
        <v>103</v>
      </c>
      <c r="F1193" s="47" t="s">
        <v>37</v>
      </c>
      <c r="G1193" s="47" t="s">
        <v>38</v>
      </c>
      <c r="H1193" s="47" t="s">
        <v>77</v>
      </c>
      <c r="I1193" s="47" t="s">
        <v>77</v>
      </c>
      <c r="J1193" s="47" t="s">
        <v>22</v>
      </c>
      <c r="K1193" s="59" t="s">
        <v>23</v>
      </c>
      <c r="L1193" s="59" t="s">
        <v>23</v>
      </c>
      <c r="M1193" s="47" t="s">
        <v>40</v>
      </c>
    </row>
    <row r="1194" customHeight="1" spans="1:13">
      <c r="A1194" s="47" t="s">
        <v>2246</v>
      </c>
      <c r="B1194" s="47" t="s">
        <v>2229</v>
      </c>
      <c r="C1194" s="47" t="s">
        <v>1978</v>
      </c>
      <c r="D1194" s="47" t="s">
        <v>43</v>
      </c>
      <c r="E1194" s="47" t="s">
        <v>146</v>
      </c>
      <c r="F1194" s="47" t="s">
        <v>28</v>
      </c>
      <c r="G1194" s="47" t="s">
        <v>38</v>
      </c>
      <c r="H1194" s="59" t="s">
        <v>23</v>
      </c>
      <c r="I1194" s="47" t="s">
        <v>147</v>
      </c>
      <c r="J1194" s="47" t="s">
        <v>22</v>
      </c>
      <c r="K1194" s="59" t="s">
        <v>23</v>
      </c>
      <c r="L1194" s="59" t="s">
        <v>23</v>
      </c>
      <c r="M1194" s="47" t="s">
        <v>24</v>
      </c>
    </row>
    <row r="1195" customHeight="1" spans="1:13">
      <c r="A1195" s="47" t="s">
        <v>2247</v>
      </c>
      <c r="B1195" s="47" t="s">
        <v>2248</v>
      </c>
      <c r="C1195" s="47" t="s">
        <v>276</v>
      </c>
      <c r="D1195" s="47" t="s">
        <v>16</v>
      </c>
      <c r="E1195" s="47" t="s">
        <v>103</v>
      </c>
      <c r="F1195" s="47" t="s">
        <v>37</v>
      </c>
      <c r="G1195" s="47" t="s">
        <v>38</v>
      </c>
      <c r="H1195" s="47" t="s">
        <v>77</v>
      </c>
      <c r="I1195" s="47" t="s">
        <v>77</v>
      </c>
      <c r="J1195" s="47" t="s">
        <v>22</v>
      </c>
      <c r="K1195" s="59" t="s">
        <v>23</v>
      </c>
      <c r="L1195" s="59" t="s">
        <v>23</v>
      </c>
      <c r="M1195" s="47" t="s">
        <v>33</v>
      </c>
    </row>
    <row r="1196" customHeight="1" spans="1:13">
      <c r="A1196" s="47" t="s">
        <v>2249</v>
      </c>
      <c r="B1196" s="47" t="s">
        <v>2250</v>
      </c>
      <c r="C1196" s="47" t="s">
        <v>2251</v>
      </c>
      <c r="D1196" s="47" t="s">
        <v>16</v>
      </c>
      <c r="E1196" s="47" t="s">
        <v>103</v>
      </c>
      <c r="F1196" s="47" t="s">
        <v>37</v>
      </c>
      <c r="G1196" s="47" t="s">
        <v>38</v>
      </c>
      <c r="H1196" s="47" t="s">
        <v>77</v>
      </c>
      <c r="I1196" s="47" t="s">
        <v>77</v>
      </c>
      <c r="J1196" s="47" t="s">
        <v>32</v>
      </c>
      <c r="K1196" s="59" t="s">
        <v>23</v>
      </c>
      <c r="L1196" s="59" t="s">
        <v>23</v>
      </c>
      <c r="M1196" s="47" t="s">
        <v>99</v>
      </c>
    </row>
    <row r="1197" customHeight="1" spans="1:13">
      <c r="A1197" s="47" t="s">
        <v>2252</v>
      </c>
      <c r="B1197" s="47" t="s">
        <v>2250</v>
      </c>
      <c r="C1197" s="47" t="s">
        <v>2253</v>
      </c>
      <c r="D1197" s="47" t="s">
        <v>16</v>
      </c>
      <c r="E1197" s="47" t="s">
        <v>44</v>
      </c>
      <c r="F1197" s="47" t="s">
        <v>45</v>
      </c>
      <c r="G1197" s="47" t="s">
        <v>19</v>
      </c>
      <c r="H1197" s="47" t="s">
        <v>46</v>
      </c>
      <c r="I1197" s="47" t="s">
        <v>114</v>
      </c>
      <c r="J1197" s="47" t="s">
        <v>32</v>
      </c>
      <c r="K1197" s="59" t="s">
        <v>23</v>
      </c>
      <c r="L1197" s="59" t="s">
        <v>23</v>
      </c>
      <c r="M1197" s="47" t="s">
        <v>73</v>
      </c>
    </row>
    <row r="1198" customHeight="1" spans="1:13">
      <c r="A1198" s="47" t="s">
        <v>2254</v>
      </c>
      <c r="B1198" s="47" t="s">
        <v>2250</v>
      </c>
      <c r="C1198" s="47" t="s">
        <v>1798</v>
      </c>
      <c r="D1198" s="47" t="s">
        <v>16</v>
      </c>
      <c r="E1198" s="47" t="s">
        <v>36</v>
      </c>
      <c r="F1198" s="47" t="s">
        <v>37</v>
      </c>
      <c r="G1198" s="47" t="s">
        <v>19</v>
      </c>
      <c r="H1198" s="47" t="s">
        <v>39</v>
      </c>
      <c r="I1198" s="47" t="s">
        <v>82</v>
      </c>
      <c r="J1198" s="47" t="s">
        <v>22</v>
      </c>
      <c r="K1198" s="59" t="s">
        <v>23</v>
      </c>
      <c r="L1198" s="59" t="s">
        <v>23</v>
      </c>
      <c r="M1198" s="47" t="s">
        <v>73</v>
      </c>
    </row>
    <row r="1199" customHeight="1" spans="1:13">
      <c r="A1199" s="47" t="s">
        <v>2255</v>
      </c>
      <c r="B1199" s="47" t="s">
        <v>2250</v>
      </c>
      <c r="C1199" s="47" t="s">
        <v>1562</v>
      </c>
      <c r="D1199" s="47" t="s">
        <v>16</v>
      </c>
      <c r="E1199" s="47" t="s">
        <v>17</v>
      </c>
      <c r="F1199" s="47" t="s">
        <v>18</v>
      </c>
      <c r="G1199" s="47" t="s">
        <v>38</v>
      </c>
      <c r="H1199" s="47" t="s">
        <v>20</v>
      </c>
      <c r="I1199" s="47" t="s">
        <v>20</v>
      </c>
      <c r="J1199" s="47" t="s">
        <v>22</v>
      </c>
      <c r="K1199" s="59" t="s">
        <v>23</v>
      </c>
      <c r="L1199" s="59" t="s">
        <v>23</v>
      </c>
      <c r="M1199" s="47" t="s">
        <v>33</v>
      </c>
    </row>
    <row r="1200" customHeight="1" spans="1:13">
      <c r="A1200" s="47" t="s">
        <v>2256</v>
      </c>
      <c r="B1200" s="47" t="s">
        <v>2250</v>
      </c>
      <c r="C1200" s="47" t="s">
        <v>2257</v>
      </c>
      <c r="D1200" s="47" t="s">
        <v>43</v>
      </c>
      <c r="E1200" s="47" t="s">
        <v>57</v>
      </c>
      <c r="F1200" s="47" t="s">
        <v>28</v>
      </c>
      <c r="G1200" s="59" t="s">
        <v>23</v>
      </c>
      <c r="H1200" s="47" t="s">
        <v>58</v>
      </c>
      <c r="I1200" s="47" t="s">
        <v>58</v>
      </c>
      <c r="J1200" s="47" t="s">
        <v>22</v>
      </c>
      <c r="K1200" s="59" t="s">
        <v>23</v>
      </c>
      <c r="L1200" s="59" t="s">
        <v>23</v>
      </c>
      <c r="M1200" s="47" t="s">
        <v>24</v>
      </c>
    </row>
    <row r="1201" customHeight="1" spans="1:13">
      <c r="A1201" s="47" t="s">
        <v>2258</v>
      </c>
      <c r="B1201" s="47" t="s">
        <v>2250</v>
      </c>
      <c r="C1201" s="47" t="s">
        <v>603</v>
      </c>
      <c r="D1201" s="47" t="s">
        <v>16</v>
      </c>
      <c r="E1201" s="47" t="s">
        <v>36</v>
      </c>
      <c r="F1201" s="47" t="s">
        <v>37</v>
      </c>
      <c r="G1201" s="47" t="s">
        <v>38</v>
      </c>
      <c r="H1201" s="47" t="s">
        <v>39</v>
      </c>
      <c r="I1201" s="47" t="s">
        <v>39</v>
      </c>
      <c r="J1201" s="47" t="s">
        <v>22</v>
      </c>
      <c r="K1201" s="59" t="s">
        <v>23</v>
      </c>
      <c r="L1201" s="59" t="s">
        <v>23</v>
      </c>
      <c r="M1201" s="47" t="s">
        <v>24</v>
      </c>
    </row>
    <row r="1202" customHeight="1" spans="1:13">
      <c r="A1202" s="47" t="s">
        <v>2259</v>
      </c>
      <c r="B1202" s="47" t="s">
        <v>2250</v>
      </c>
      <c r="C1202" s="47" t="s">
        <v>250</v>
      </c>
      <c r="D1202" s="47" t="s">
        <v>43</v>
      </c>
      <c r="E1202" s="47" t="s">
        <v>103</v>
      </c>
      <c r="F1202" s="47" t="s">
        <v>37</v>
      </c>
      <c r="G1202" s="47" t="s">
        <v>38</v>
      </c>
      <c r="H1202" s="59" t="s">
        <v>23</v>
      </c>
      <c r="I1202" s="47" t="s">
        <v>77</v>
      </c>
      <c r="J1202" s="47" t="s">
        <v>32</v>
      </c>
      <c r="K1202" s="59" t="s">
        <v>23</v>
      </c>
      <c r="L1202" s="47" t="s">
        <v>65</v>
      </c>
      <c r="M1202" s="47" t="s">
        <v>47</v>
      </c>
    </row>
    <row r="1203" customHeight="1" spans="1:13">
      <c r="A1203" s="47" t="s">
        <v>2260</v>
      </c>
      <c r="B1203" s="47" t="s">
        <v>2250</v>
      </c>
      <c r="C1203" s="47" t="s">
        <v>49</v>
      </c>
      <c r="D1203" s="47" t="s">
        <v>16</v>
      </c>
      <c r="E1203" s="47" t="s">
        <v>81</v>
      </c>
      <c r="F1203" s="47" t="s">
        <v>37</v>
      </c>
      <c r="G1203" s="47" t="s">
        <v>38</v>
      </c>
      <c r="H1203" s="47" t="s">
        <v>82</v>
      </c>
      <c r="I1203" s="47" t="s">
        <v>82</v>
      </c>
      <c r="J1203" s="47" t="s">
        <v>22</v>
      </c>
      <c r="K1203" s="59" t="s">
        <v>23</v>
      </c>
      <c r="L1203" s="59" t="s">
        <v>23</v>
      </c>
      <c r="M1203" s="47" t="s">
        <v>33</v>
      </c>
    </row>
    <row r="1204" customHeight="1" spans="1:13">
      <c r="A1204" s="47" t="s">
        <v>2261</v>
      </c>
      <c r="B1204" s="47" t="s">
        <v>2248</v>
      </c>
      <c r="C1204" s="47" t="s">
        <v>732</v>
      </c>
      <c r="D1204" s="47" t="s">
        <v>16</v>
      </c>
      <c r="E1204" s="47" t="s">
        <v>63</v>
      </c>
      <c r="F1204" s="47" t="s">
        <v>18</v>
      </c>
      <c r="G1204" s="47" t="s">
        <v>38</v>
      </c>
      <c r="H1204" s="47" t="s">
        <v>64</v>
      </c>
      <c r="I1204" s="47" t="s">
        <v>64</v>
      </c>
      <c r="J1204" s="47" t="s">
        <v>485</v>
      </c>
      <c r="K1204" s="47" t="s">
        <v>53</v>
      </c>
      <c r="L1204" s="59" t="s">
        <v>23</v>
      </c>
      <c r="M1204" s="47" t="s">
        <v>47</v>
      </c>
    </row>
    <row r="1205" customHeight="1" spans="1:13">
      <c r="A1205" s="47" t="s">
        <v>2262</v>
      </c>
      <c r="B1205" s="47" t="s">
        <v>2250</v>
      </c>
      <c r="C1205" s="47" t="s">
        <v>209</v>
      </c>
      <c r="D1205" s="47" t="s">
        <v>107</v>
      </c>
      <c r="E1205" s="47" t="s">
        <v>36</v>
      </c>
      <c r="F1205" s="47" t="s">
        <v>37</v>
      </c>
      <c r="G1205" s="47" t="s">
        <v>19</v>
      </c>
      <c r="H1205" s="47" t="s">
        <v>39</v>
      </c>
      <c r="I1205" s="47" t="s">
        <v>1148</v>
      </c>
      <c r="J1205" s="47" t="s">
        <v>32</v>
      </c>
      <c r="K1205" s="47" t="s">
        <v>53</v>
      </c>
      <c r="L1205" s="59" t="s">
        <v>23</v>
      </c>
      <c r="M1205" s="47" t="s">
        <v>490</v>
      </c>
    </row>
    <row r="1206" customHeight="1" spans="1:13">
      <c r="A1206" s="47" t="s">
        <v>2263</v>
      </c>
      <c r="B1206" s="47" t="s">
        <v>2250</v>
      </c>
      <c r="C1206" s="47" t="s">
        <v>1115</v>
      </c>
      <c r="D1206" s="47" t="s">
        <v>43</v>
      </c>
      <c r="E1206" s="47" t="s">
        <v>44</v>
      </c>
      <c r="F1206" s="47" t="s">
        <v>45</v>
      </c>
      <c r="G1206" s="47" t="s">
        <v>38</v>
      </c>
      <c r="H1206" s="47" t="s">
        <v>46</v>
      </c>
      <c r="I1206" s="47" t="s">
        <v>1026</v>
      </c>
      <c r="J1206" s="47" t="s">
        <v>32</v>
      </c>
      <c r="K1206" s="47" t="s">
        <v>143</v>
      </c>
      <c r="L1206" s="47" t="s">
        <v>65</v>
      </c>
      <c r="M1206" s="47" t="s">
        <v>73</v>
      </c>
    </row>
    <row r="1207" customHeight="1" spans="1:13">
      <c r="A1207" s="47" t="s">
        <v>2264</v>
      </c>
      <c r="B1207" s="47" t="s">
        <v>2265</v>
      </c>
      <c r="C1207" s="47" t="s">
        <v>2266</v>
      </c>
      <c r="D1207" s="47" t="s">
        <v>107</v>
      </c>
      <c r="E1207" s="47" t="s">
        <v>17</v>
      </c>
      <c r="F1207" s="47" t="s">
        <v>18</v>
      </c>
      <c r="G1207" s="47" t="s">
        <v>19</v>
      </c>
      <c r="H1207" s="47" t="s">
        <v>662</v>
      </c>
      <c r="I1207" s="47" t="s">
        <v>21</v>
      </c>
      <c r="J1207" s="47" t="s">
        <v>22</v>
      </c>
      <c r="K1207" s="59" t="s">
        <v>23</v>
      </c>
      <c r="L1207" s="47" t="s">
        <v>65</v>
      </c>
      <c r="M1207" s="47" t="s">
        <v>40</v>
      </c>
    </row>
    <row r="1208" customHeight="1" spans="1:13">
      <c r="A1208" s="47" t="s">
        <v>2267</v>
      </c>
      <c r="B1208" s="47" t="s">
        <v>2265</v>
      </c>
      <c r="C1208" s="47" t="s">
        <v>183</v>
      </c>
      <c r="D1208" s="47" t="s">
        <v>43</v>
      </c>
      <c r="E1208" s="47" t="s">
        <v>146</v>
      </c>
      <c r="F1208" s="47" t="s">
        <v>28</v>
      </c>
      <c r="G1208" s="47" t="s">
        <v>38</v>
      </c>
      <c r="H1208" s="47" t="s">
        <v>147</v>
      </c>
      <c r="I1208" s="47" t="s">
        <v>2268</v>
      </c>
      <c r="J1208" s="47" t="s">
        <v>32</v>
      </c>
      <c r="K1208" s="47" t="s">
        <v>53</v>
      </c>
      <c r="L1208" s="59" t="s">
        <v>23</v>
      </c>
      <c r="M1208" s="47" t="s">
        <v>157</v>
      </c>
    </row>
    <row r="1209" customHeight="1" spans="1:13">
      <c r="A1209" s="47" t="s">
        <v>2269</v>
      </c>
      <c r="B1209" s="47" t="s">
        <v>2265</v>
      </c>
      <c r="C1209" s="47" t="s">
        <v>1246</v>
      </c>
      <c r="D1209" s="47" t="s">
        <v>43</v>
      </c>
      <c r="E1209" s="47" t="s">
        <v>27</v>
      </c>
      <c r="F1209" s="47" t="s">
        <v>28</v>
      </c>
      <c r="G1209" s="47" t="s">
        <v>38</v>
      </c>
      <c r="H1209" s="47" t="s">
        <v>30</v>
      </c>
      <c r="I1209" s="47" t="s">
        <v>30</v>
      </c>
      <c r="J1209" s="47" t="s">
        <v>32</v>
      </c>
      <c r="K1209" s="59" t="s">
        <v>23</v>
      </c>
      <c r="L1209" s="47" t="s">
        <v>65</v>
      </c>
      <c r="M1209" s="47" t="s">
        <v>73</v>
      </c>
    </row>
    <row r="1210" customHeight="1" spans="1:13">
      <c r="A1210" s="47" t="s">
        <v>2270</v>
      </c>
      <c r="B1210" s="47" t="s">
        <v>2271</v>
      </c>
      <c r="C1210" s="47" t="s">
        <v>752</v>
      </c>
      <c r="D1210" s="47" t="s">
        <v>16</v>
      </c>
      <c r="E1210" s="47" t="s">
        <v>63</v>
      </c>
      <c r="F1210" s="47" t="s">
        <v>18</v>
      </c>
      <c r="G1210" s="47" t="s">
        <v>38</v>
      </c>
      <c r="H1210" s="47" t="s">
        <v>64</v>
      </c>
      <c r="I1210" s="47" t="s">
        <v>64</v>
      </c>
      <c r="J1210" s="47" t="s">
        <v>32</v>
      </c>
      <c r="K1210" s="59" t="s">
        <v>23</v>
      </c>
      <c r="L1210" s="59" t="s">
        <v>23</v>
      </c>
      <c r="M1210" s="47" t="s">
        <v>47</v>
      </c>
    </row>
    <row r="1211" customHeight="1" spans="1:13">
      <c r="A1211" s="47" t="s">
        <v>2272</v>
      </c>
      <c r="B1211" s="47" t="s">
        <v>2265</v>
      </c>
      <c r="C1211" s="47" t="s">
        <v>1942</v>
      </c>
      <c r="D1211" s="47" t="s">
        <v>16</v>
      </c>
      <c r="E1211" s="47" t="s">
        <v>27</v>
      </c>
      <c r="F1211" s="47" t="s">
        <v>28</v>
      </c>
      <c r="G1211" s="47" t="s">
        <v>38</v>
      </c>
      <c r="H1211" s="47" t="s">
        <v>30</v>
      </c>
      <c r="I1211" s="47" t="s">
        <v>30</v>
      </c>
      <c r="J1211" s="47" t="s">
        <v>22</v>
      </c>
      <c r="K1211" s="59" t="s">
        <v>23</v>
      </c>
      <c r="L1211" s="59" t="s">
        <v>23</v>
      </c>
      <c r="M1211" s="47" t="s">
        <v>40</v>
      </c>
    </row>
    <row r="1212" customHeight="1" spans="1:13">
      <c r="A1212" s="47" t="s">
        <v>2273</v>
      </c>
      <c r="B1212" s="47" t="s">
        <v>2265</v>
      </c>
      <c r="C1212" s="47" t="s">
        <v>285</v>
      </c>
      <c r="D1212" s="47" t="s">
        <v>16</v>
      </c>
      <c r="E1212" s="47" t="s">
        <v>81</v>
      </c>
      <c r="F1212" s="47" t="s">
        <v>37</v>
      </c>
      <c r="G1212" s="47" t="s">
        <v>38</v>
      </c>
      <c r="H1212" s="47" t="s">
        <v>82</v>
      </c>
      <c r="I1212" s="47" t="s">
        <v>82</v>
      </c>
      <c r="J1212" s="47" t="s">
        <v>22</v>
      </c>
      <c r="K1212" s="59" t="s">
        <v>23</v>
      </c>
      <c r="L1212" s="59" t="s">
        <v>23</v>
      </c>
      <c r="M1212" s="47" t="s">
        <v>73</v>
      </c>
    </row>
    <row r="1213" customHeight="1" spans="1:13">
      <c r="A1213" s="47" t="s">
        <v>2274</v>
      </c>
      <c r="B1213" s="47" t="s">
        <v>2265</v>
      </c>
      <c r="C1213" s="47" t="s">
        <v>2275</v>
      </c>
      <c r="D1213" s="47" t="s">
        <v>43</v>
      </c>
      <c r="E1213" s="47" t="s">
        <v>50</v>
      </c>
      <c r="F1213" s="47" t="s">
        <v>28</v>
      </c>
      <c r="G1213" s="47" t="s">
        <v>38</v>
      </c>
      <c r="H1213" s="47" t="s">
        <v>52</v>
      </c>
      <c r="I1213" s="59" t="s">
        <v>23</v>
      </c>
      <c r="J1213" s="47" t="s">
        <v>715</v>
      </c>
      <c r="K1213" s="59" t="s">
        <v>23</v>
      </c>
      <c r="L1213" s="59" t="s">
        <v>23</v>
      </c>
      <c r="M1213" s="47" t="s">
        <v>24</v>
      </c>
    </row>
    <row r="1214" customHeight="1" spans="1:13">
      <c r="A1214" s="47" t="s">
        <v>2276</v>
      </c>
      <c r="B1214" s="47" t="s">
        <v>2265</v>
      </c>
      <c r="C1214" s="47" t="s">
        <v>1733</v>
      </c>
      <c r="D1214" s="47" t="s">
        <v>16</v>
      </c>
      <c r="E1214" s="47" t="s">
        <v>146</v>
      </c>
      <c r="F1214" s="47" t="s">
        <v>28</v>
      </c>
      <c r="G1214" s="47" t="s">
        <v>38</v>
      </c>
      <c r="H1214" s="47" t="s">
        <v>147</v>
      </c>
      <c r="I1214" s="59" t="s">
        <v>23</v>
      </c>
      <c r="J1214" s="47" t="s">
        <v>22</v>
      </c>
      <c r="K1214" s="47" t="s">
        <v>53</v>
      </c>
      <c r="L1214" s="59" t="s">
        <v>23</v>
      </c>
      <c r="M1214" s="47" t="s">
        <v>33</v>
      </c>
    </row>
    <row r="1215" customHeight="1" spans="1:13">
      <c r="A1215" s="47" t="s">
        <v>2277</v>
      </c>
      <c r="B1215" s="47" t="s">
        <v>2265</v>
      </c>
      <c r="C1215" s="47" t="s">
        <v>2278</v>
      </c>
      <c r="D1215" s="47" t="s">
        <v>854</v>
      </c>
      <c r="E1215" s="47" t="s">
        <v>165</v>
      </c>
      <c r="F1215" s="47" t="s">
        <v>109</v>
      </c>
      <c r="G1215" s="47" t="s">
        <v>38</v>
      </c>
      <c r="H1215" s="47" t="s">
        <v>82</v>
      </c>
      <c r="I1215" s="47" t="s">
        <v>82</v>
      </c>
      <c r="J1215" s="47" t="s">
        <v>22</v>
      </c>
      <c r="K1215" s="59" t="s">
        <v>23</v>
      </c>
      <c r="L1215" s="59" t="s">
        <v>23</v>
      </c>
      <c r="M1215" s="47" t="s">
        <v>24</v>
      </c>
    </row>
    <row r="1216" customHeight="1" spans="1:13">
      <c r="A1216" s="47" t="s">
        <v>2279</v>
      </c>
      <c r="B1216" s="47" t="s">
        <v>2265</v>
      </c>
      <c r="C1216" s="47" t="s">
        <v>291</v>
      </c>
      <c r="D1216" s="47" t="s">
        <v>43</v>
      </c>
      <c r="E1216" s="47" t="s">
        <v>44</v>
      </c>
      <c r="F1216" s="47" t="s">
        <v>45</v>
      </c>
      <c r="G1216" s="47" t="s">
        <v>38</v>
      </c>
      <c r="H1216" s="47" t="s">
        <v>46</v>
      </c>
      <c r="I1216" s="47" t="s">
        <v>46</v>
      </c>
      <c r="J1216" s="47" t="s">
        <v>32</v>
      </c>
      <c r="K1216" s="59" t="s">
        <v>23</v>
      </c>
      <c r="L1216" s="47" t="s">
        <v>65</v>
      </c>
      <c r="M1216" s="47" t="s">
        <v>33</v>
      </c>
    </row>
    <row r="1217" customHeight="1" spans="1:13">
      <c r="A1217" s="47" t="s">
        <v>2279</v>
      </c>
      <c r="B1217" s="47" t="s">
        <v>2265</v>
      </c>
      <c r="C1217" s="47" t="s">
        <v>291</v>
      </c>
      <c r="D1217" s="47" t="s">
        <v>43</v>
      </c>
      <c r="E1217" s="47" t="s">
        <v>44</v>
      </c>
      <c r="F1217" s="47" t="s">
        <v>45</v>
      </c>
      <c r="G1217" s="47" t="s">
        <v>38</v>
      </c>
      <c r="H1217" s="47" t="s">
        <v>46</v>
      </c>
      <c r="I1217" s="47" t="s">
        <v>46</v>
      </c>
      <c r="J1217" s="47" t="s">
        <v>32</v>
      </c>
      <c r="K1217" s="59" t="s">
        <v>23</v>
      </c>
      <c r="L1217" s="47" t="s">
        <v>65</v>
      </c>
      <c r="M1217" s="47" t="s">
        <v>1861</v>
      </c>
    </row>
    <row r="1218" customHeight="1" spans="1:13">
      <c r="A1218" s="47" t="s">
        <v>2280</v>
      </c>
      <c r="B1218" s="47" t="s">
        <v>2281</v>
      </c>
      <c r="C1218" s="47" t="s">
        <v>783</v>
      </c>
      <c r="D1218" s="47" t="s">
        <v>107</v>
      </c>
      <c r="E1218" s="47" t="s">
        <v>146</v>
      </c>
      <c r="F1218" s="47" t="s">
        <v>28</v>
      </c>
      <c r="G1218" s="47" t="s">
        <v>19</v>
      </c>
      <c r="H1218" s="47" t="s">
        <v>659</v>
      </c>
      <c r="I1218" s="59" t="s">
        <v>23</v>
      </c>
      <c r="J1218" s="47" t="s">
        <v>32</v>
      </c>
      <c r="K1218" s="59" t="s">
        <v>23</v>
      </c>
      <c r="L1218" s="47" t="s">
        <v>54</v>
      </c>
      <c r="M1218" s="47" t="s">
        <v>47</v>
      </c>
    </row>
    <row r="1219" customHeight="1" spans="1:13">
      <c r="A1219" s="47" t="s">
        <v>2282</v>
      </c>
      <c r="B1219" s="47" t="s">
        <v>2283</v>
      </c>
      <c r="C1219" s="47" t="s">
        <v>1025</v>
      </c>
      <c r="D1219" s="47" t="s">
        <v>16</v>
      </c>
      <c r="E1219" s="47" t="s">
        <v>103</v>
      </c>
      <c r="F1219" s="47" t="s">
        <v>37</v>
      </c>
      <c r="G1219" s="47" t="s">
        <v>38</v>
      </c>
      <c r="H1219" s="47" t="s">
        <v>77</v>
      </c>
      <c r="I1219" s="47" t="s">
        <v>77</v>
      </c>
      <c r="J1219" s="47" t="s">
        <v>22</v>
      </c>
      <c r="K1219" s="59" t="s">
        <v>23</v>
      </c>
      <c r="L1219" s="59" t="s">
        <v>23</v>
      </c>
      <c r="M1219" s="47" t="s">
        <v>47</v>
      </c>
    </row>
    <row r="1220" customHeight="1" spans="1:13">
      <c r="A1220" s="47" t="s">
        <v>2282</v>
      </c>
      <c r="B1220" s="47" t="s">
        <v>2281</v>
      </c>
      <c r="C1220" s="47" t="s">
        <v>1025</v>
      </c>
      <c r="D1220" s="47" t="s">
        <v>16</v>
      </c>
      <c r="E1220" s="47" t="s">
        <v>103</v>
      </c>
      <c r="F1220" s="47" t="s">
        <v>37</v>
      </c>
      <c r="G1220" s="47" t="s">
        <v>38</v>
      </c>
      <c r="H1220" s="47" t="s">
        <v>77</v>
      </c>
      <c r="I1220" s="47" t="s">
        <v>77</v>
      </c>
      <c r="J1220" s="47" t="s">
        <v>22</v>
      </c>
      <c r="K1220" s="59" t="s">
        <v>23</v>
      </c>
      <c r="L1220" s="59" t="s">
        <v>23</v>
      </c>
      <c r="M1220" s="47" t="s">
        <v>47</v>
      </c>
    </row>
    <row r="1221" customHeight="1" spans="1:13">
      <c r="A1221" s="47" t="s">
        <v>2284</v>
      </c>
      <c r="B1221" s="47" t="s">
        <v>2281</v>
      </c>
      <c r="C1221" s="47" t="s">
        <v>824</v>
      </c>
      <c r="D1221" s="47" t="s">
        <v>16</v>
      </c>
      <c r="E1221" s="47" t="s">
        <v>50</v>
      </c>
      <c r="F1221" s="47" t="s">
        <v>28</v>
      </c>
      <c r="G1221" s="47" t="s">
        <v>38</v>
      </c>
      <c r="H1221" s="47" t="s">
        <v>52</v>
      </c>
      <c r="I1221" s="47" t="s">
        <v>52</v>
      </c>
      <c r="J1221" s="47" t="s">
        <v>22</v>
      </c>
      <c r="K1221" s="59" t="s">
        <v>23</v>
      </c>
      <c r="L1221" s="47" t="s">
        <v>65</v>
      </c>
      <c r="M1221" s="47" t="s">
        <v>33</v>
      </c>
    </row>
    <row r="1222" customHeight="1" spans="1:13">
      <c r="A1222" s="47" t="s">
        <v>2284</v>
      </c>
      <c r="B1222" s="47" t="s">
        <v>2281</v>
      </c>
      <c r="C1222" s="47" t="s">
        <v>824</v>
      </c>
      <c r="D1222" s="47" t="s">
        <v>16</v>
      </c>
      <c r="E1222" s="47" t="s">
        <v>50</v>
      </c>
      <c r="F1222" s="47" t="s">
        <v>28</v>
      </c>
      <c r="G1222" s="47" t="s">
        <v>38</v>
      </c>
      <c r="H1222" s="47" t="s">
        <v>52</v>
      </c>
      <c r="I1222" s="47" t="s">
        <v>1603</v>
      </c>
      <c r="J1222" s="47" t="s">
        <v>22</v>
      </c>
      <c r="K1222" s="59" t="s">
        <v>23</v>
      </c>
      <c r="L1222" s="47" t="s">
        <v>65</v>
      </c>
      <c r="M1222" s="47" t="s">
        <v>33</v>
      </c>
    </row>
    <row r="1223" customHeight="1" spans="1:13">
      <c r="A1223" s="47" t="s">
        <v>2285</v>
      </c>
      <c r="B1223" s="47" t="s">
        <v>2281</v>
      </c>
      <c r="C1223" s="47" t="s">
        <v>1145</v>
      </c>
      <c r="D1223" s="47" t="s">
        <v>43</v>
      </c>
      <c r="E1223" s="47" t="s">
        <v>165</v>
      </c>
      <c r="F1223" s="47" t="s">
        <v>109</v>
      </c>
      <c r="G1223" s="47" t="s">
        <v>38</v>
      </c>
      <c r="H1223" s="47" t="s">
        <v>82</v>
      </c>
      <c r="I1223" s="47" t="s">
        <v>82</v>
      </c>
      <c r="J1223" s="47" t="s">
        <v>22</v>
      </c>
      <c r="K1223" s="59" t="s">
        <v>23</v>
      </c>
      <c r="L1223" s="47" t="s">
        <v>29</v>
      </c>
      <c r="M1223" s="47" t="s">
        <v>73</v>
      </c>
    </row>
    <row r="1224" customHeight="1" spans="1:13">
      <c r="A1224" s="47" t="s">
        <v>2286</v>
      </c>
      <c r="B1224" s="47" t="s">
        <v>2281</v>
      </c>
      <c r="C1224" s="47" t="s">
        <v>831</v>
      </c>
      <c r="D1224" s="47" t="s">
        <v>43</v>
      </c>
      <c r="E1224" s="47" t="s">
        <v>17</v>
      </c>
      <c r="F1224" s="47" t="s">
        <v>18</v>
      </c>
      <c r="G1224" s="47" t="s">
        <v>38</v>
      </c>
      <c r="H1224" s="47" t="s">
        <v>20</v>
      </c>
      <c r="I1224" s="47" t="s">
        <v>20</v>
      </c>
      <c r="J1224" s="47" t="s">
        <v>32</v>
      </c>
      <c r="K1224" s="59" t="s">
        <v>23</v>
      </c>
      <c r="L1224" s="59" t="s">
        <v>23</v>
      </c>
      <c r="M1224" s="47" t="s">
        <v>1387</v>
      </c>
    </row>
    <row r="1225" customHeight="1" spans="1:13">
      <c r="A1225" s="47" t="s">
        <v>2287</v>
      </c>
      <c r="B1225" s="47" t="s">
        <v>2281</v>
      </c>
      <c r="C1225" s="47" t="s">
        <v>436</v>
      </c>
      <c r="D1225" s="47" t="s">
        <v>43</v>
      </c>
      <c r="E1225" s="47" t="s">
        <v>63</v>
      </c>
      <c r="F1225" s="47" t="s">
        <v>18</v>
      </c>
      <c r="G1225" s="47" t="s">
        <v>19</v>
      </c>
      <c r="H1225" s="47" t="s">
        <v>64</v>
      </c>
      <c r="I1225" s="47" t="s">
        <v>39</v>
      </c>
      <c r="J1225" s="47" t="s">
        <v>753</v>
      </c>
      <c r="K1225" s="59" t="s">
        <v>23</v>
      </c>
      <c r="L1225" s="47" t="s">
        <v>65</v>
      </c>
      <c r="M1225" s="47" t="s">
        <v>33</v>
      </c>
    </row>
    <row r="1226" customHeight="1" spans="1:13">
      <c r="A1226" s="47" t="s">
        <v>2288</v>
      </c>
      <c r="B1226" s="47" t="s">
        <v>2281</v>
      </c>
      <c r="C1226" s="47" t="s">
        <v>1351</v>
      </c>
      <c r="D1226" s="47" t="s">
        <v>43</v>
      </c>
      <c r="E1226" s="47" t="s">
        <v>267</v>
      </c>
      <c r="F1226" s="47" t="s">
        <v>18</v>
      </c>
      <c r="G1226" s="47" t="s">
        <v>19</v>
      </c>
      <c r="H1226" s="47" t="s">
        <v>64</v>
      </c>
      <c r="I1226" s="47" t="s">
        <v>39</v>
      </c>
      <c r="J1226" s="47" t="s">
        <v>22</v>
      </c>
      <c r="K1226" s="59" t="s">
        <v>23</v>
      </c>
      <c r="L1226" s="59" t="s">
        <v>23</v>
      </c>
      <c r="M1226" s="47" t="s">
        <v>2289</v>
      </c>
    </row>
    <row r="1227" customHeight="1" spans="1:13">
      <c r="A1227" s="47" t="s">
        <v>2290</v>
      </c>
      <c r="B1227" s="47" t="s">
        <v>2291</v>
      </c>
      <c r="C1227" s="47" t="s">
        <v>2292</v>
      </c>
      <c r="D1227" s="47" t="s">
        <v>16</v>
      </c>
      <c r="E1227" s="47" t="s">
        <v>146</v>
      </c>
      <c r="F1227" s="47" t="s">
        <v>28</v>
      </c>
      <c r="G1227" s="47" t="s">
        <v>38</v>
      </c>
      <c r="H1227" s="47" t="s">
        <v>147</v>
      </c>
      <c r="I1227" s="47" t="s">
        <v>147</v>
      </c>
      <c r="J1227" s="47" t="s">
        <v>485</v>
      </c>
      <c r="K1227" s="59" t="s">
        <v>23</v>
      </c>
      <c r="L1227" s="59" t="s">
        <v>23</v>
      </c>
      <c r="M1227" s="47" t="s">
        <v>24</v>
      </c>
    </row>
    <row r="1228" customHeight="1" spans="1:13">
      <c r="A1228" s="47" t="s">
        <v>2293</v>
      </c>
      <c r="B1228" s="47" t="s">
        <v>2294</v>
      </c>
      <c r="C1228" s="47" t="s">
        <v>2295</v>
      </c>
      <c r="D1228" s="47" t="s">
        <v>107</v>
      </c>
      <c r="E1228" s="47" t="s">
        <v>17</v>
      </c>
      <c r="F1228" s="47" t="s">
        <v>18</v>
      </c>
      <c r="G1228" s="47" t="s">
        <v>19</v>
      </c>
      <c r="H1228" s="47" t="s">
        <v>20</v>
      </c>
      <c r="I1228" s="47" t="s">
        <v>21</v>
      </c>
      <c r="J1228" s="47" t="s">
        <v>22</v>
      </c>
      <c r="K1228" s="59" t="s">
        <v>23</v>
      </c>
      <c r="L1228" s="47" t="s">
        <v>65</v>
      </c>
      <c r="M1228" s="47" t="s">
        <v>47</v>
      </c>
    </row>
    <row r="1229" customHeight="1" spans="1:13">
      <c r="A1229" s="47" t="s">
        <v>2296</v>
      </c>
      <c r="B1229" s="47" t="s">
        <v>2297</v>
      </c>
      <c r="C1229" s="47" t="s">
        <v>480</v>
      </c>
      <c r="D1229" s="47" t="s">
        <v>16</v>
      </c>
      <c r="E1229" s="47" t="s">
        <v>647</v>
      </c>
      <c r="F1229" s="47" t="s">
        <v>45</v>
      </c>
      <c r="G1229" s="47" t="s">
        <v>38</v>
      </c>
      <c r="H1229" s="47" t="s">
        <v>227</v>
      </c>
      <c r="I1229" s="47" t="s">
        <v>227</v>
      </c>
      <c r="J1229" s="47" t="s">
        <v>32</v>
      </c>
      <c r="K1229" s="59" t="s">
        <v>23</v>
      </c>
      <c r="L1229" s="47" t="s">
        <v>29</v>
      </c>
      <c r="M1229" s="47" t="s">
        <v>33</v>
      </c>
    </row>
    <row r="1230" customHeight="1" spans="1:13">
      <c r="A1230" s="47" t="s">
        <v>2298</v>
      </c>
      <c r="B1230" s="47" t="s">
        <v>2291</v>
      </c>
      <c r="C1230" s="47" t="s">
        <v>584</v>
      </c>
      <c r="D1230" s="47" t="s">
        <v>16</v>
      </c>
      <c r="E1230" s="47" t="s">
        <v>63</v>
      </c>
      <c r="F1230" s="47" t="s">
        <v>18</v>
      </c>
      <c r="G1230" s="47" t="s">
        <v>38</v>
      </c>
      <c r="H1230" s="47" t="s">
        <v>64</v>
      </c>
      <c r="I1230" s="47" t="s">
        <v>64</v>
      </c>
      <c r="J1230" s="47" t="s">
        <v>22</v>
      </c>
      <c r="K1230" s="59" t="s">
        <v>23</v>
      </c>
      <c r="L1230" s="59" t="s">
        <v>23</v>
      </c>
      <c r="M1230" s="47" t="s">
        <v>24</v>
      </c>
    </row>
    <row r="1231" customHeight="1" spans="1:13">
      <c r="A1231" s="47" t="s">
        <v>2299</v>
      </c>
      <c r="B1231" s="47" t="s">
        <v>2300</v>
      </c>
      <c r="C1231" s="47" t="s">
        <v>177</v>
      </c>
      <c r="D1231" s="47" t="s">
        <v>16</v>
      </c>
      <c r="E1231" s="47" t="s">
        <v>199</v>
      </c>
      <c r="F1231" s="47" t="s">
        <v>18</v>
      </c>
      <c r="G1231" s="47" t="s">
        <v>38</v>
      </c>
      <c r="H1231" s="47" t="s">
        <v>39</v>
      </c>
      <c r="I1231" s="47" t="s">
        <v>39</v>
      </c>
      <c r="J1231" s="47" t="s">
        <v>32</v>
      </c>
      <c r="K1231" s="59" t="s">
        <v>23</v>
      </c>
      <c r="L1231" s="59" t="s">
        <v>23</v>
      </c>
      <c r="M1231" s="47" t="s">
        <v>40</v>
      </c>
    </row>
    <row r="1232" customHeight="1" spans="1:13">
      <c r="A1232" s="47" t="s">
        <v>2301</v>
      </c>
      <c r="B1232" s="47" t="s">
        <v>2302</v>
      </c>
      <c r="C1232" s="47" t="s">
        <v>1461</v>
      </c>
      <c r="D1232" s="47" t="s">
        <v>16</v>
      </c>
      <c r="E1232" s="47" t="s">
        <v>81</v>
      </c>
      <c r="F1232" s="47" t="s">
        <v>37</v>
      </c>
      <c r="G1232" s="47" t="s">
        <v>38</v>
      </c>
      <c r="H1232" s="47" t="s">
        <v>82</v>
      </c>
      <c r="I1232" s="47" t="s">
        <v>82</v>
      </c>
      <c r="J1232" s="47" t="s">
        <v>32</v>
      </c>
      <c r="K1232" s="59" t="s">
        <v>23</v>
      </c>
      <c r="L1232" s="47" t="s">
        <v>29</v>
      </c>
      <c r="M1232" s="47" t="s">
        <v>40</v>
      </c>
    </row>
    <row r="1233" customHeight="1" spans="1:13">
      <c r="A1233" s="47" t="s">
        <v>2303</v>
      </c>
      <c r="B1233" s="47" t="s">
        <v>2304</v>
      </c>
      <c r="C1233" s="47" t="s">
        <v>750</v>
      </c>
      <c r="D1233" s="47" t="s">
        <v>16</v>
      </c>
      <c r="E1233" s="47" t="s">
        <v>50</v>
      </c>
      <c r="F1233" s="47" t="s">
        <v>28</v>
      </c>
      <c r="G1233" s="47" t="s">
        <v>38</v>
      </c>
      <c r="H1233" s="47" t="s">
        <v>1603</v>
      </c>
      <c r="I1233" s="47" t="s">
        <v>52</v>
      </c>
      <c r="J1233" s="47" t="s">
        <v>22</v>
      </c>
      <c r="K1233" s="59" t="s">
        <v>23</v>
      </c>
      <c r="L1233" s="59" t="s">
        <v>23</v>
      </c>
      <c r="M1233" s="47" t="s">
        <v>73</v>
      </c>
    </row>
    <row r="1234" customHeight="1" spans="1:13">
      <c r="A1234" s="47" t="s">
        <v>2305</v>
      </c>
      <c r="B1234" s="47" t="s">
        <v>2302</v>
      </c>
      <c r="C1234" s="47" t="s">
        <v>831</v>
      </c>
      <c r="D1234" s="47" t="s">
        <v>16</v>
      </c>
      <c r="E1234" s="47" t="s">
        <v>235</v>
      </c>
      <c r="F1234" s="47" t="s">
        <v>45</v>
      </c>
      <c r="G1234" s="47" t="s">
        <v>38</v>
      </c>
      <c r="H1234" s="47" t="s">
        <v>46</v>
      </c>
      <c r="I1234" s="47" t="s">
        <v>46</v>
      </c>
      <c r="J1234" s="47" t="s">
        <v>22</v>
      </c>
      <c r="K1234" s="59" t="s">
        <v>23</v>
      </c>
      <c r="L1234" s="47" t="s">
        <v>54</v>
      </c>
      <c r="M1234" s="47" t="s">
        <v>24</v>
      </c>
    </row>
    <row r="1235" customHeight="1" spans="1:13">
      <c r="A1235" s="47" t="s">
        <v>2306</v>
      </c>
      <c r="B1235" s="47" t="s">
        <v>2302</v>
      </c>
      <c r="C1235" s="47" t="s">
        <v>986</v>
      </c>
      <c r="D1235" s="47" t="s">
        <v>107</v>
      </c>
      <c r="E1235" s="47" t="s">
        <v>103</v>
      </c>
      <c r="F1235" s="47" t="s">
        <v>37</v>
      </c>
      <c r="G1235" s="47" t="s">
        <v>29</v>
      </c>
      <c r="H1235" s="47" t="s">
        <v>77</v>
      </c>
      <c r="I1235" s="47" t="s">
        <v>30</v>
      </c>
      <c r="J1235" s="47" t="s">
        <v>22</v>
      </c>
      <c r="K1235" s="59" t="s">
        <v>23</v>
      </c>
      <c r="L1235" s="59" t="s">
        <v>23</v>
      </c>
      <c r="M1235" s="47" t="s">
        <v>73</v>
      </c>
    </row>
    <row r="1236" customHeight="1" spans="1:13">
      <c r="A1236" s="47" t="s">
        <v>2307</v>
      </c>
      <c r="B1236" s="47" t="s">
        <v>2302</v>
      </c>
      <c r="C1236" s="47" t="s">
        <v>283</v>
      </c>
      <c r="D1236" s="47" t="s">
        <v>16</v>
      </c>
      <c r="E1236" s="47" t="s">
        <v>27</v>
      </c>
      <c r="F1236" s="59" t="s">
        <v>23</v>
      </c>
      <c r="G1236" s="47" t="s">
        <v>38</v>
      </c>
      <c r="H1236" s="47" t="s">
        <v>30</v>
      </c>
      <c r="I1236" s="47" t="s">
        <v>184</v>
      </c>
      <c r="J1236" s="47" t="s">
        <v>22</v>
      </c>
      <c r="K1236" s="47" t="s">
        <v>119</v>
      </c>
      <c r="L1236" s="59" t="s">
        <v>23</v>
      </c>
      <c r="M1236" s="47" t="s">
        <v>47</v>
      </c>
    </row>
    <row r="1237" customHeight="1" spans="1:13">
      <c r="A1237" s="47" t="s">
        <v>2308</v>
      </c>
      <c r="B1237" s="47" t="s">
        <v>2302</v>
      </c>
      <c r="C1237" s="47" t="s">
        <v>1150</v>
      </c>
      <c r="D1237" s="47" t="s">
        <v>43</v>
      </c>
      <c r="E1237" s="47" t="s">
        <v>81</v>
      </c>
      <c r="F1237" s="47" t="s">
        <v>37</v>
      </c>
      <c r="G1237" s="47" t="s">
        <v>38</v>
      </c>
      <c r="H1237" s="47" t="s">
        <v>82</v>
      </c>
      <c r="I1237" s="47" t="s">
        <v>82</v>
      </c>
      <c r="J1237" s="47" t="s">
        <v>22</v>
      </c>
      <c r="K1237" s="47" t="s">
        <v>53</v>
      </c>
      <c r="L1237" s="47" t="s">
        <v>65</v>
      </c>
      <c r="M1237" s="47" t="s">
        <v>40</v>
      </c>
    </row>
    <row r="1238" customHeight="1" spans="1:13">
      <c r="A1238" s="47" t="s">
        <v>2308</v>
      </c>
      <c r="B1238" s="47" t="s">
        <v>2302</v>
      </c>
      <c r="C1238" s="47" t="s">
        <v>1150</v>
      </c>
      <c r="D1238" s="47" t="s">
        <v>43</v>
      </c>
      <c r="E1238" s="47" t="s">
        <v>81</v>
      </c>
      <c r="F1238" s="47" t="s">
        <v>37</v>
      </c>
      <c r="G1238" s="47" t="s">
        <v>38</v>
      </c>
      <c r="H1238" s="47" t="s">
        <v>82</v>
      </c>
      <c r="I1238" s="47" t="s">
        <v>82</v>
      </c>
      <c r="J1238" s="47" t="s">
        <v>22</v>
      </c>
      <c r="K1238" s="47" t="s">
        <v>53</v>
      </c>
      <c r="L1238" s="47" t="s">
        <v>65</v>
      </c>
      <c r="M1238" s="47" t="s">
        <v>40</v>
      </c>
    </row>
    <row r="1239" customHeight="1" spans="1:13">
      <c r="A1239" s="47" t="s">
        <v>2309</v>
      </c>
      <c r="B1239" s="47" t="s">
        <v>2302</v>
      </c>
      <c r="C1239" s="47" t="s">
        <v>1748</v>
      </c>
      <c r="D1239" s="47" t="s">
        <v>43</v>
      </c>
      <c r="E1239" s="47" t="s">
        <v>199</v>
      </c>
      <c r="F1239" s="47" t="s">
        <v>18</v>
      </c>
      <c r="G1239" s="47" t="s">
        <v>38</v>
      </c>
      <c r="H1239" s="47" t="s">
        <v>39</v>
      </c>
      <c r="I1239" s="47" t="s">
        <v>39</v>
      </c>
      <c r="J1239" s="47" t="s">
        <v>22</v>
      </c>
      <c r="K1239" s="59" t="s">
        <v>23</v>
      </c>
      <c r="L1239" s="47" t="s">
        <v>54</v>
      </c>
      <c r="M1239" s="47" t="s">
        <v>47</v>
      </c>
    </row>
    <row r="1240" customHeight="1" spans="1:13">
      <c r="A1240" s="47" t="s">
        <v>2310</v>
      </c>
      <c r="B1240" s="47" t="s">
        <v>2300</v>
      </c>
      <c r="C1240" s="47" t="s">
        <v>674</v>
      </c>
      <c r="D1240" s="47" t="s">
        <v>107</v>
      </c>
      <c r="E1240" s="47" t="s">
        <v>95</v>
      </c>
      <c r="F1240" s="47" t="s">
        <v>45</v>
      </c>
      <c r="G1240" s="47" t="s">
        <v>38</v>
      </c>
      <c r="H1240" s="47" t="s">
        <v>77</v>
      </c>
      <c r="I1240" s="47" t="s">
        <v>77</v>
      </c>
      <c r="J1240" s="47" t="s">
        <v>22</v>
      </c>
      <c r="K1240" s="59" t="s">
        <v>23</v>
      </c>
      <c r="L1240" s="59" t="s">
        <v>23</v>
      </c>
      <c r="M1240" s="47" t="s">
        <v>743</v>
      </c>
    </row>
    <row r="1241" customHeight="1" spans="1:13">
      <c r="A1241" s="47" t="s">
        <v>2311</v>
      </c>
      <c r="B1241" s="47" t="s">
        <v>2302</v>
      </c>
      <c r="C1241" s="47" t="s">
        <v>335</v>
      </c>
      <c r="D1241" s="47" t="s">
        <v>43</v>
      </c>
      <c r="E1241" s="47" t="s">
        <v>367</v>
      </c>
      <c r="F1241" s="47" t="s">
        <v>109</v>
      </c>
      <c r="G1241" s="47" t="s">
        <v>19</v>
      </c>
      <c r="H1241" s="59" t="s">
        <v>23</v>
      </c>
      <c r="I1241" s="47" t="s">
        <v>357</v>
      </c>
      <c r="J1241" s="47" t="s">
        <v>22</v>
      </c>
      <c r="K1241" s="59" t="s">
        <v>23</v>
      </c>
      <c r="L1241" s="59" t="s">
        <v>23</v>
      </c>
      <c r="M1241" s="47" t="s">
        <v>33</v>
      </c>
    </row>
    <row r="1242" customHeight="1" spans="1:13">
      <c r="A1242" s="47" t="s">
        <v>2312</v>
      </c>
      <c r="B1242" s="47" t="s">
        <v>2302</v>
      </c>
      <c r="C1242" s="47" t="s">
        <v>2313</v>
      </c>
      <c r="D1242" s="47" t="s">
        <v>43</v>
      </c>
      <c r="E1242" s="47" t="s">
        <v>146</v>
      </c>
      <c r="F1242" s="47" t="s">
        <v>28</v>
      </c>
      <c r="G1242" s="47" t="s">
        <v>38</v>
      </c>
      <c r="H1242" s="47" t="s">
        <v>147</v>
      </c>
      <c r="I1242" s="47" t="s">
        <v>147</v>
      </c>
      <c r="J1242" s="47" t="s">
        <v>32</v>
      </c>
      <c r="K1242" s="59" t="s">
        <v>23</v>
      </c>
      <c r="L1242" s="59" t="s">
        <v>23</v>
      </c>
      <c r="M1242" s="47" t="s">
        <v>220</v>
      </c>
    </row>
    <row r="1243" customHeight="1" spans="1:13">
      <c r="A1243" s="47" t="s">
        <v>2314</v>
      </c>
      <c r="B1243" s="47" t="s">
        <v>2302</v>
      </c>
      <c r="C1243" s="47" t="s">
        <v>747</v>
      </c>
      <c r="D1243" s="47" t="s">
        <v>43</v>
      </c>
      <c r="E1243" s="47" t="s">
        <v>63</v>
      </c>
      <c r="F1243" s="47" t="s">
        <v>18</v>
      </c>
      <c r="G1243" s="47" t="s">
        <v>19</v>
      </c>
      <c r="H1243" s="47" t="s">
        <v>64</v>
      </c>
      <c r="I1243" s="47" t="s">
        <v>39</v>
      </c>
      <c r="J1243" s="47" t="s">
        <v>22</v>
      </c>
      <c r="K1243" s="59" t="s">
        <v>23</v>
      </c>
      <c r="L1243" s="59" t="s">
        <v>23</v>
      </c>
      <c r="M1243" s="47" t="s">
        <v>47</v>
      </c>
    </row>
    <row r="1244" customHeight="1" spans="1:13">
      <c r="A1244" s="47" t="s">
        <v>2314</v>
      </c>
      <c r="B1244" s="47" t="s">
        <v>2315</v>
      </c>
      <c r="C1244" s="47" t="s">
        <v>747</v>
      </c>
      <c r="D1244" s="47" t="s">
        <v>43</v>
      </c>
      <c r="E1244" s="47" t="s">
        <v>700</v>
      </c>
      <c r="F1244" s="47" t="s">
        <v>18</v>
      </c>
      <c r="G1244" s="47" t="s">
        <v>19</v>
      </c>
      <c r="H1244" s="47" t="s">
        <v>64</v>
      </c>
      <c r="I1244" s="47" t="s">
        <v>39</v>
      </c>
      <c r="J1244" s="47" t="s">
        <v>22</v>
      </c>
      <c r="K1244" s="59" t="s">
        <v>23</v>
      </c>
      <c r="L1244" s="59" t="s">
        <v>23</v>
      </c>
      <c r="M1244" s="47" t="s">
        <v>47</v>
      </c>
    </row>
    <row r="1245" customHeight="1" spans="1:13">
      <c r="A1245" s="47" t="s">
        <v>2316</v>
      </c>
      <c r="B1245" s="47" t="s">
        <v>2317</v>
      </c>
      <c r="C1245" s="47" t="s">
        <v>261</v>
      </c>
      <c r="D1245" s="47" t="s">
        <v>16</v>
      </c>
      <c r="E1245" s="47" t="s">
        <v>103</v>
      </c>
      <c r="F1245" s="59" t="s">
        <v>23</v>
      </c>
      <c r="G1245" s="47" t="s">
        <v>19</v>
      </c>
      <c r="H1245" s="47" t="s">
        <v>77</v>
      </c>
      <c r="I1245" s="47" t="s">
        <v>96</v>
      </c>
      <c r="J1245" s="47" t="s">
        <v>32</v>
      </c>
      <c r="K1245" s="59" t="s">
        <v>23</v>
      </c>
      <c r="L1245" s="47" t="s">
        <v>65</v>
      </c>
      <c r="M1245" s="47" t="s">
        <v>1829</v>
      </c>
    </row>
    <row r="1246" customHeight="1" spans="1:13">
      <c r="A1246" s="47" t="s">
        <v>2318</v>
      </c>
      <c r="B1246" s="47" t="s">
        <v>2319</v>
      </c>
      <c r="C1246" s="47" t="s">
        <v>1736</v>
      </c>
      <c r="D1246" s="47" t="s">
        <v>16</v>
      </c>
      <c r="E1246" s="47" t="s">
        <v>1206</v>
      </c>
      <c r="F1246" s="47" t="s">
        <v>28</v>
      </c>
      <c r="G1246" s="47" t="s">
        <v>38</v>
      </c>
      <c r="H1246" s="47" t="s">
        <v>30</v>
      </c>
      <c r="I1246" s="47" t="s">
        <v>30</v>
      </c>
      <c r="J1246" s="47" t="s">
        <v>32</v>
      </c>
      <c r="K1246" s="59" t="s">
        <v>23</v>
      </c>
      <c r="L1246" s="59" t="s">
        <v>23</v>
      </c>
      <c r="M1246" s="47" t="s">
        <v>33</v>
      </c>
    </row>
    <row r="1247" customHeight="1" spans="1:13">
      <c r="A1247" s="47" t="s">
        <v>2320</v>
      </c>
      <c r="B1247" s="47" t="s">
        <v>2319</v>
      </c>
      <c r="C1247" s="47" t="s">
        <v>102</v>
      </c>
      <c r="D1247" s="47" t="s">
        <v>16</v>
      </c>
      <c r="E1247" s="47" t="s">
        <v>36</v>
      </c>
      <c r="F1247" s="47" t="s">
        <v>37</v>
      </c>
      <c r="G1247" s="47" t="s">
        <v>38</v>
      </c>
      <c r="H1247" s="47" t="s">
        <v>39</v>
      </c>
      <c r="I1247" s="47" t="s">
        <v>39</v>
      </c>
      <c r="J1247" s="47" t="s">
        <v>22</v>
      </c>
      <c r="K1247" s="59" t="s">
        <v>23</v>
      </c>
      <c r="L1247" s="59" t="s">
        <v>23</v>
      </c>
      <c r="M1247" s="47" t="s">
        <v>33</v>
      </c>
    </row>
    <row r="1248" customHeight="1" spans="1:13">
      <c r="A1248" s="47" t="s">
        <v>2321</v>
      </c>
      <c r="B1248" s="47" t="s">
        <v>2317</v>
      </c>
      <c r="C1248" s="47" t="s">
        <v>2322</v>
      </c>
      <c r="D1248" s="47" t="s">
        <v>16</v>
      </c>
      <c r="E1248" s="47" t="s">
        <v>63</v>
      </c>
      <c r="F1248" s="47" t="s">
        <v>18</v>
      </c>
      <c r="G1248" s="47" t="s">
        <v>38</v>
      </c>
      <c r="H1248" s="47" t="s">
        <v>64</v>
      </c>
      <c r="I1248" s="47" t="s">
        <v>64</v>
      </c>
      <c r="J1248" s="47" t="s">
        <v>32</v>
      </c>
      <c r="K1248" s="59" t="s">
        <v>23</v>
      </c>
      <c r="L1248" s="47" t="s">
        <v>65</v>
      </c>
      <c r="M1248" s="47" t="s">
        <v>47</v>
      </c>
    </row>
    <row r="1249" customHeight="1" spans="1:13">
      <c r="A1249" s="47" t="s">
        <v>2323</v>
      </c>
      <c r="B1249" s="47" t="s">
        <v>2317</v>
      </c>
      <c r="C1249" s="47" t="s">
        <v>991</v>
      </c>
      <c r="D1249" s="47" t="s">
        <v>16</v>
      </c>
      <c r="E1249" s="47" t="s">
        <v>17</v>
      </c>
      <c r="F1249" s="47" t="s">
        <v>18</v>
      </c>
      <c r="G1249" s="59" t="s">
        <v>23</v>
      </c>
      <c r="H1249" s="47" t="s">
        <v>20</v>
      </c>
      <c r="I1249" s="47" t="s">
        <v>20</v>
      </c>
      <c r="J1249" s="47" t="s">
        <v>22</v>
      </c>
      <c r="K1249" s="59" t="s">
        <v>23</v>
      </c>
      <c r="L1249" s="59" t="s">
        <v>23</v>
      </c>
      <c r="M1249" s="47" t="s">
        <v>33</v>
      </c>
    </row>
    <row r="1250" customHeight="1" spans="1:13">
      <c r="A1250" s="47" t="s">
        <v>2324</v>
      </c>
      <c r="B1250" s="47" t="s">
        <v>2317</v>
      </c>
      <c r="C1250" s="47" t="s">
        <v>1393</v>
      </c>
      <c r="D1250" s="47" t="s">
        <v>43</v>
      </c>
      <c r="E1250" s="47" t="s">
        <v>27</v>
      </c>
      <c r="F1250" s="47" t="s">
        <v>28</v>
      </c>
      <c r="G1250" s="47" t="s">
        <v>38</v>
      </c>
      <c r="H1250" s="47" t="s">
        <v>30</v>
      </c>
      <c r="I1250" s="47" t="s">
        <v>30</v>
      </c>
      <c r="J1250" s="47" t="s">
        <v>32</v>
      </c>
      <c r="K1250" s="59" t="s">
        <v>23</v>
      </c>
      <c r="L1250" s="59" t="s">
        <v>23</v>
      </c>
      <c r="M1250" s="47" t="s">
        <v>1066</v>
      </c>
    </row>
    <row r="1251" customHeight="1" spans="1:13">
      <c r="A1251" s="47" t="s">
        <v>2325</v>
      </c>
      <c r="B1251" s="47" t="s">
        <v>2317</v>
      </c>
      <c r="C1251" s="47" t="s">
        <v>635</v>
      </c>
      <c r="D1251" s="47" t="s">
        <v>43</v>
      </c>
      <c r="E1251" s="47" t="s">
        <v>27</v>
      </c>
      <c r="F1251" s="47" t="s">
        <v>28</v>
      </c>
      <c r="G1251" s="47" t="s">
        <v>38</v>
      </c>
      <c r="H1251" s="47" t="s">
        <v>30</v>
      </c>
      <c r="I1251" s="47" t="s">
        <v>30</v>
      </c>
      <c r="J1251" s="47" t="s">
        <v>32</v>
      </c>
      <c r="K1251" s="59" t="s">
        <v>23</v>
      </c>
      <c r="L1251" s="59" t="s">
        <v>23</v>
      </c>
      <c r="M1251" s="47" t="s">
        <v>24</v>
      </c>
    </row>
    <row r="1252" customHeight="1" spans="1:13">
      <c r="A1252" s="47" t="s">
        <v>2326</v>
      </c>
      <c r="B1252" s="47" t="s">
        <v>2317</v>
      </c>
      <c r="C1252" s="47" t="s">
        <v>222</v>
      </c>
      <c r="D1252" s="47" t="s">
        <v>43</v>
      </c>
      <c r="E1252" s="47" t="s">
        <v>832</v>
      </c>
      <c r="F1252" s="47" t="s">
        <v>37</v>
      </c>
      <c r="G1252" s="47" t="s">
        <v>38</v>
      </c>
      <c r="H1252" s="47" t="s">
        <v>77</v>
      </c>
      <c r="I1252" s="47" t="s">
        <v>77</v>
      </c>
      <c r="J1252" s="47" t="s">
        <v>22</v>
      </c>
      <c r="K1252" s="59" t="s">
        <v>23</v>
      </c>
      <c r="L1252" s="59" t="s">
        <v>23</v>
      </c>
      <c r="M1252" s="47" t="s">
        <v>73</v>
      </c>
    </row>
    <row r="1253" customHeight="1" spans="1:13">
      <c r="A1253" s="47" t="s">
        <v>2327</v>
      </c>
      <c r="B1253" s="47" t="s">
        <v>2317</v>
      </c>
      <c r="C1253" s="47" t="s">
        <v>970</v>
      </c>
      <c r="D1253" s="47" t="s">
        <v>107</v>
      </c>
      <c r="E1253" s="47" t="s">
        <v>95</v>
      </c>
      <c r="F1253" s="47" t="s">
        <v>45</v>
      </c>
      <c r="G1253" s="47" t="s">
        <v>38</v>
      </c>
      <c r="H1253" s="47" t="s">
        <v>77</v>
      </c>
      <c r="I1253" s="47" t="s">
        <v>104</v>
      </c>
      <c r="J1253" s="47" t="s">
        <v>22</v>
      </c>
      <c r="K1253" s="59" t="s">
        <v>23</v>
      </c>
      <c r="L1253" s="47" t="s">
        <v>65</v>
      </c>
      <c r="M1253" s="47" t="s">
        <v>40</v>
      </c>
    </row>
    <row r="1254" customHeight="1" spans="1:13">
      <c r="A1254" s="47" t="s">
        <v>2328</v>
      </c>
      <c r="B1254" s="47" t="s">
        <v>2317</v>
      </c>
      <c r="C1254" s="47" t="s">
        <v>49</v>
      </c>
      <c r="D1254" s="47" t="s">
        <v>43</v>
      </c>
      <c r="E1254" s="47" t="s">
        <v>367</v>
      </c>
      <c r="F1254" s="47" t="s">
        <v>109</v>
      </c>
      <c r="G1254" s="47" t="s">
        <v>38</v>
      </c>
      <c r="H1254" s="47" t="s">
        <v>110</v>
      </c>
      <c r="I1254" s="47" t="s">
        <v>110</v>
      </c>
      <c r="J1254" s="47" t="s">
        <v>22</v>
      </c>
      <c r="K1254" s="59" t="s">
        <v>23</v>
      </c>
      <c r="L1254" s="59" t="s">
        <v>23</v>
      </c>
      <c r="M1254" s="47" t="s">
        <v>47</v>
      </c>
    </row>
    <row r="1255" customHeight="1" spans="1:13">
      <c r="A1255" s="47" t="s">
        <v>2329</v>
      </c>
      <c r="B1255" s="47" t="s">
        <v>2330</v>
      </c>
      <c r="C1255" s="47" t="s">
        <v>2331</v>
      </c>
      <c r="D1255" s="47" t="s">
        <v>16</v>
      </c>
      <c r="E1255" s="47" t="s">
        <v>17</v>
      </c>
      <c r="F1255" s="47" t="s">
        <v>18</v>
      </c>
      <c r="G1255" s="47" t="s">
        <v>38</v>
      </c>
      <c r="H1255" s="47" t="s">
        <v>20</v>
      </c>
      <c r="I1255" s="47" t="s">
        <v>20</v>
      </c>
      <c r="J1255" s="47" t="s">
        <v>32</v>
      </c>
      <c r="K1255" s="59" t="s">
        <v>23</v>
      </c>
      <c r="L1255" s="47" t="s">
        <v>65</v>
      </c>
      <c r="M1255" s="47" t="s">
        <v>73</v>
      </c>
    </row>
    <row r="1256" customHeight="1" spans="1:13">
      <c r="A1256" s="47" t="s">
        <v>2332</v>
      </c>
      <c r="B1256" s="47" t="s">
        <v>2333</v>
      </c>
      <c r="C1256" s="47" t="s">
        <v>2334</v>
      </c>
      <c r="D1256" s="47" t="s">
        <v>16</v>
      </c>
      <c r="E1256" s="47" t="s">
        <v>146</v>
      </c>
      <c r="F1256" s="47" t="s">
        <v>28</v>
      </c>
      <c r="G1256" s="47" t="s">
        <v>38</v>
      </c>
      <c r="H1256" s="47" t="s">
        <v>147</v>
      </c>
      <c r="I1256" s="47" t="s">
        <v>2335</v>
      </c>
      <c r="J1256" s="47" t="s">
        <v>22</v>
      </c>
      <c r="K1256" s="47" t="s">
        <v>143</v>
      </c>
      <c r="L1256" s="47" t="s">
        <v>54</v>
      </c>
      <c r="M1256" s="47" t="s">
        <v>24</v>
      </c>
    </row>
    <row r="1257" customHeight="1" spans="1:13">
      <c r="A1257" s="47" t="s">
        <v>2336</v>
      </c>
      <c r="B1257" s="47" t="s">
        <v>2333</v>
      </c>
      <c r="C1257" s="47" t="s">
        <v>1719</v>
      </c>
      <c r="D1257" s="47" t="s">
        <v>107</v>
      </c>
      <c r="E1257" s="47" t="s">
        <v>57</v>
      </c>
      <c r="F1257" s="47" t="s">
        <v>28</v>
      </c>
      <c r="G1257" s="59" t="s">
        <v>23</v>
      </c>
      <c r="H1257" s="47" t="s">
        <v>58</v>
      </c>
      <c r="I1257" s="47" t="s">
        <v>1370</v>
      </c>
      <c r="J1257" s="47" t="s">
        <v>22</v>
      </c>
      <c r="K1257" s="47" t="s">
        <v>143</v>
      </c>
      <c r="L1257" s="59" t="s">
        <v>23</v>
      </c>
      <c r="M1257" s="47" t="s">
        <v>47</v>
      </c>
    </row>
    <row r="1258" customHeight="1" spans="1:13">
      <c r="A1258" s="47" t="s">
        <v>2337</v>
      </c>
      <c r="B1258" s="47" t="s">
        <v>2333</v>
      </c>
      <c r="C1258" s="47" t="s">
        <v>133</v>
      </c>
      <c r="D1258" s="47" t="s">
        <v>107</v>
      </c>
      <c r="E1258" s="47" t="s">
        <v>57</v>
      </c>
      <c r="F1258" s="47" t="s">
        <v>28</v>
      </c>
      <c r="G1258" s="47" t="s">
        <v>38</v>
      </c>
      <c r="H1258" s="47" t="s">
        <v>2338</v>
      </c>
      <c r="I1258" s="47" t="s">
        <v>58</v>
      </c>
      <c r="J1258" s="47" t="s">
        <v>22</v>
      </c>
      <c r="K1258" s="59" t="s">
        <v>23</v>
      </c>
      <c r="L1258" s="59" t="s">
        <v>23</v>
      </c>
      <c r="M1258" s="47" t="s">
        <v>33</v>
      </c>
    </row>
    <row r="1259" customHeight="1" spans="1:13">
      <c r="A1259" s="47" t="s">
        <v>2339</v>
      </c>
      <c r="B1259" s="47" t="s">
        <v>2340</v>
      </c>
      <c r="C1259" s="47" t="s">
        <v>2341</v>
      </c>
      <c r="D1259" s="47" t="s">
        <v>213</v>
      </c>
      <c r="E1259" s="47" t="s">
        <v>57</v>
      </c>
      <c r="F1259" s="47" t="s">
        <v>28</v>
      </c>
      <c r="G1259" s="47" t="s">
        <v>38</v>
      </c>
      <c r="H1259" s="47" t="s">
        <v>58</v>
      </c>
      <c r="I1259" s="47" t="s">
        <v>58</v>
      </c>
      <c r="J1259" s="47" t="s">
        <v>32</v>
      </c>
      <c r="K1259" s="59" t="s">
        <v>23</v>
      </c>
      <c r="L1259" s="47" t="s">
        <v>65</v>
      </c>
      <c r="M1259" s="47" t="s">
        <v>47</v>
      </c>
    </row>
    <row r="1260" customHeight="1" spans="1:13">
      <c r="A1260" s="47" t="s">
        <v>2342</v>
      </c>
      <c r="B1260" s="47" t="s">
        <v>2333</v>
      </c>
      <c r="C1260" s="47" t="s">
        <v>2343</v>
      </c>
      <c r="D1260" s="47" t="s">
        <v>43</v>
      </c>
      <c r="E1260" s="47" t="s">
        <v>44</v>
      </c>
      <c r="F1260" s="47" t="s">
        <v>45</v>
      </c>
      <c r="G1260" s="47" t="s">
        <v>38</v>
      </c>
      <c r="H1260" s="47" t="s">
        <v>46</v>
      </c>
      <c r="I1260" s="47" t="s">
        <v>46</v>
      </c>
      <c r="J1260" s="47" t="s">
        <v>22</v>
      </c>
      <c r="K1260" s="59" t="s">
        <v>23</v>
      </c>
      <c r="L1260" s="47" t="s">
        <v>54</v>
      </c>
      <c r="M1260" s="47" t="s">
        <v>24</v>
      </c>
    </row>
    <row r="1261" customHeight="1" spans="1:13">
      <c r="A1261" s="47" t="s">
        <v>2344</v>
      </c>
      <c r="B1261" s="47" t="s">
        <v>2330</v>
      </c>
      <c r="C1261" s="47" t="s">
        <v>569</v>
      </c>
      <c r="D1261" s="47" t="s">
        <v>107</v>
      </c>
      <c r="E1261" s="47" t="s">
        <v>44</v>
      </c>
      <c r="F1261" s="47" t="s">
        <v>45</v>
      </c>
      <c r="G1261" s="47" t="s">
        <v>38</v>
      </c>
      <c r="H1261" s="47" t="s">
        <v>46</v>
      </c>
      <c r="I1261" s="47" t="s">
        <v>46</v>
      </c>
      <c r="J1261" s="47" t="s">
        <v>32</v>
      </c>
      <c r="K1261" s="59" t="s">
        <v>23</v>
      </c>
      <c r="L1261" s="59" t="s">
        <v>23</v>
      </c>
      <c r="M1261" s="47" t="s">
        <v>40</v>
      </c>
    </row>
    <row r="1262" customHeight="1" spans="1:13">
      <c r="A1262" s="47" t="s">
        <v>2345</v>
      </c>
      <c r="B1262" s="47" t="s">
        <v>2333</v>
      </c>
      <c r="C1262" s="47" t="s">
        <v>459</v>
      </c>
      <c r="D1262" s="47" t="s">
        <v>107</v>
      </c>
      <c r="E1262" s="47" t="s">
        <v>103</v>
      </c>
      <c r="F1262" s="47" t="s">
        <v>37</v>
      </c>
      <c r="G1262" s="47" t="s">
        <v>38</v>
      </c>
      <c r="H1262" s="47" t="s">
        <v>77</v>
      </c>
      <c r="I1262" s="47" t="s">
        <v>77</v>
      </c>
      <c r="J1262" s="47" t="s">
        <v>32</v>
      </c>
      <c r="K1262" s="59" t="s">
        <v>23</v>
      </c>
      <c r="L1262" s="47" t="s">
        <v>29</v>
      </c>
      <c r="M1262" s="47" t="s">
        <v>24</v>
      </c>
    </row>
    <row r="1263" customHeight="1" spans="1:13">
      <c r="A1263" s="47" t="s">
        <v>2346</v>
      </c>
      <c r="B1263" s="47" t="s">
        <v>2333</v>
      </c>
      <c r="C1263" s="47" t="s">
        <v>755</v>
      </c>
      <c r="D1263" s="47" t="s">
        <v>107</v>
      </c>
      <c r="E1263" s="47" t="s">
        <v>1257</v>
      </c>
      <c r="F1263" s="47" t="s">
        <v>45</v>
      </c>
      <c r="G1263" s="47" t="s">
        <v>38</v>
      </c>
      <c r="H1263" s="59" t="s">
        <v>23</v>
      </c>
      <c r="I1263" s="47" t="s">
        <v>1026</v>
      </c>
      <c r="J1263" s="47" t="s">
        <v>485</v>
      </c>
      <c r="K1263" s="47" t="s">
        <v>143</v>
      </c>
      <c r="L1263" s="59" t="s">
        <v>23</v>
      </c>
      <c r="M1263" s="47" t="s">
        <v>40</v>
      </c>
    </row>
    <row r="1264" customHeight="1" spans="1:13">
      <c r="A1264" s="47" t="s">
        <v>2347</v>
      </c>
      <c r="B1264" s="47" t="s">
        <v>2333</v>
      </c>
      <c r="C1264" s="47" t="s">
        <v>285</v>
      </c>
      <c r="D1264" s="47" t="s">
        <v>43</v>
      </c>
      <c r="E1264" s="47" t="s">
        <v>57</v>
      </c>
      <c r="F1264" s="47" t="s">
        <v>28</v>
      </c>
      <c r="G1264" s="47" t="s">
        <v>38</v>
      </c>
      <c r="H1264" s="47" t="s">
        <v>58</v>
      </c>
      <c r="I1264" s="47" t="s">
        <v>58</v>
      </c>
      <c r="J1264" s="47" t="s">
        <v>32</v>
      </c>
      <c r="K1264" s="59" t="s">
        <v>23</v>
      </c>
      <c r="L1264" s="59" t="s">
        <v>23</v>
      </c>
      <c r="M1264" s="47" t="s">
        <v>24</v>
      </c>
    </row>
    <row r="1265" customHeight="1" spans="1:13">
      <c r="A1265" s="47" t="s">
        <v>2348</v>
      </c>
      <c r="B1265" s="47" t="s">
        <v>2333</v>
      </c>
      <c r="C1265" s="47" t="s">
        <v>1353</v>
      </c>
      <c r="D1265" s="47" t="s">
        <v>43</v>
      </c>
      <c r="E1265" s="47" t="s">
        <v>17</v>
      </c>
      <c r="F1265" s="47" t="s">
        <v>18</v>
      </c>
      <c r="G1265" s="47" t="s">
        <v>38</v>
      </c>
      <c r="H1265" s="47" t="s">
        <v>20</v>
      </c>
      <c r="I1265" s="47" t="s">
        <v>20</v>
      </c>
      <c r="J1265" s="47" t="s">
        <v>32</v>
      </c>
      <c r="K1265" s="59" t="s">
        <v>23</v>
      </c>
      <c r="L1265" s="59" t="s">
        <v>23</v>
      </c>
      <c r="M1265" s="47" t="s">
        <v>33</v>
      </c>
    </row>
    <row r="1266" customHeight="1" spans="1:13">
      <c r="A1266" s="47" t="s">
        <v>2349</v>
      </c>
      <c r="B1266" s="47" t="s">
        <v>2350</v>
      </c>
      <c r="C1266" s="47" t="s">
        <v>1483</v>
      </c>
      <c r="D1266" s="47" t="s">
        <v>16</v>
      </c>
      <c r="E1266" s="47" t="s">
        <v>2059</v>
      </c>
      <c r="F1266" s="47" t="s">
        <v>45</v>
      </c>
      <c r="G1266" s="47" t="s">
        <v>38</v>
      </c>
      <c r="H1266" s="47" t="s">
        <v>77</v>
      </c>
      <c r="I1266" s="47" t="s">
        <v>77</v>
      </c>
      <c r="J1266" s="47" t="s">
        <v>32</v>
      </c>
      <c r="K1266" s="59" t="s">
        <v>23</v>
      </c>
      <c r="L1266" s="47" t="s">
        <v>65</v>
      </c>
      <c r="M1266" s="47" t="s">
        <v>40</v>
      </c>
    </row>
    <row r="1267" customHeight="1" spans="1:13">
      <c r="A1267" s="47" t="s">
        <v>2351</v>
      </c>
      <c r="B1267" s="47" t="s">
        <v>2304</v>
      </c>
      <c r="C1267" s="47" t="s">
        <v>2352</v>
      </c>
      <c r="D1267" s="47" t="s">
        <v>71</v>
      </c>
      <c r="E1267" s="47" t="s">
        <v>17</v>
      </c>
      <c r="F1267" s="47" t="s">
        <v>18</v>
      </c>
      <c r="G1267" s="47" t="s">
        <v>38</v>
      </c>
      <c r="H1267" s="47" t="s">
        <v>20</v>
      </c>
      <c r="I1267" s="47" t="s">
        <v>827</v>
      </c>
      <c r="J1267" s="47" t="s">
        <v>22</v>
      </c>
      <c r="K1267" s="47" t="s">
        <v>53</v>
      </c>
      <c r="L1267" s="59" t="s">
        <v>23</v>
      </c>
      <c r="M1267" s="47" t="s">
        <v>47</v>
      </c>
    </row>
    <row r="1268" customHeight="1" spans="1:13">
      <c r="A1268" s="47" t="s">
        <v>2353</v>
      </c>
      <c r="B1268" s="47" t="s">
        <v>2304</v>
      </c>
      <c r="C1268" s="47" t="s">
        <v>2354</v>
      </c>
      <c r="D1268" s="47" t="s">
        <v>62</v>
      </c>
      <c r="E1268" s="47" t="s">
        <v>50</v>
      </c>
      <c r="F1268" s="47" t="s">
        <v>28</v>
      </c>
      <c r="G1268" s="47" t="s">
        <v>29</v>
      </c>
      <c r="H1268" s="47" t="s">
        <v>52</v>
      </c>
      <c r="I1268" s="47" t="s">
        <v>2204</v>
      </c>
      <c r="J1268" s="47" t="s">
        <v>22</v>
      </c>
      <c r="K1268" s="59" t="s">
        <v>23</v>
      </c>
      <c r="L1268" s="47" t="s">
        <v>54</v>
      </c>
      <c r="M1268" s="47" t="s">
        <v>33</v>
      </c>
    </row>
    <row r="1269" customHeight="1" spans="1:13">
      <c r="A1269" s="47" t="s">
        <v>2355</v>
      </c>
      <c r="B1269" s="47" t="s">
        <v>2304</v>
      </c>
      <c r="C1269" s="47" t="s">
        <v>2160</v>
      </c>
      <c r="D1269" s="47" t="s">
        <v>16</v>
      </c>
      <c r="E1269" s="47" t="s">
        <v>81</v>
      </c>
      <c r="F1269" s="47" t="s">
        <v>37</v>
      </c>
      <c r="G1269" s="47" t="s">
        <v>19</v>
      </c>
      <c r="H1269" s="47" t="s">
        <v>82</v>
      </c>
      <c r="I1269" s="47" t="s">
        <v>184</v>
      </c>
      <c r="J1269" s="47" t="s">
        <v>22</v>
      </c>
      <c r="K1269" s="59" t="s">
        <v>23</v>
      </c>
      <c r="L1269" s="59" t="s">
        <v>23</v>
      </c>
      <c r="M1269" s="47" t="s">
        <v>40</v>
      </c>
    </row>
    <row r="1270" customHeight="1" spans="1:13">
      <c r="A1270" s="47" t="s">
        <v>2356</v>
      </c>
      <c r="B1270" s="47" t="s">
        <v>2304</v>
      </c>
      <c r="C1270" s="47" t="s">
        <v>1528</v>
      </c>
      <c r="D1270" s="47" t="s">
        <v>43</v>
      </c>
      <c r="E1270" s="47" t="s">
        <v>44</v>
      </c>
      <c r="F1270" s="59" t="s">
        <v>23</v>
      </c>
      <c r="G1270" s="47" t="s">
        <v>38</v>
      </c>
      <c r="H1270" s="47" t="s">
        <v>46</v>
      </c>
      <c r="I1270" s="59" t="s">
        <v>23</v>
      </c>
      <c r="J1270" s="47" t="s">
        <v>32</v>
      </c>
      <c r="K1270" s="59" t="s">
        <v>23</v>
      </c>
      <c r="L1270" s="59" t="s">
        <v>23</v>
      </c>
      <c r="M1270" s="47" t="s">
        <v>33</v>
      </c>
    </row>
    <row r="1271" customHeight="1" spans="1:13">
      <c r="A1271" s="47" t="s">
        <v>2357</v>
      </c>
      <c r="B1271" s="47" t="s">
        <v>2304</v>
      </c>
      <c r="C1271" s="47" t="s">
        <v>1302</v>
      </c>
      <c r="D1271" s="47" t="s">
        <v>107</v>
      </c>
      <c r="E1271" s="47" t="s">
        <v>63</v>
      </c>
      <c r="F1271" s="47" t="s">
        <v>18</v>
      </c>
      <c r="G1271" s="47" t="s">
        <v>38</v>
      </c>
      <c r="H1271" s="47" t="s">
        <v>64</v>
      </c>
      <c r="I1271" s="47" t="s">
        <v>64</v>
      </c>
      <c r="J1271" s="47" t="s">
        <v>32</v>
      </c>
      <c r="K1271" s="59" t="s">
        <v>23</v>
      </c>
      <c r="L1271" s="47" t="s">
        <v>65</v>
      </c>
      <c r="M1271" s="47" t="s">
        <v>320</v>
      </c>
    </row>
    <row r="1272" customHeight="1" spans="1:13">
      <c r="A1272" s="47" t="s">
        <v>2358</v>
      </c>
      <c r="B1272" s="47" t="s">
        <v>2315</v>
      </c>
      <c r="C1272" s="47" t="s">
        <v>1895</v>
      </c>
      <c r="D1272" s="47" t="s">
        <v>43</v>
      </c>
      <c r="E1272" s="47" t="s">
        <v>81</v>
      </c>
      <c r="F1272" s="47" t="s">
        <v>37</v>
      </c>
      <c r="G1272" s="47" t="s">
        <v>19</v>
      </c>
      <c r="H1272" s="47" t="s">
        <v>82</v>
      </c>
      <c r="I1272" s="47" t="s">
        <v>184</v>
      </c>
      <c r="J1272" s="47" t="s">
        <v>22</v>
      </c>
      <c r="K1272" s="59" t="s">
        <v>23</v>
      </c>
      <c r="L1272" s="59" t="s">
        <v>23</v>
      </c>
      <c r="M1272" s="47" t="s">
        <v>1066</v>
      </c>
    </row>
    <row r="1273" customHeight="1" spans="1:13">
      <c r="A1273" s="47" t="s">
        <v>2359</v>
      </c>
      <c r="B1273" s="47" t="s">
        <v>2304</v>
      </c>
      <c r="C1273" s="47" t="s">
        <v>643</v>
      </c>
      <c r="D1273" s="47" t="s">
        <v>16</v>
      </c>
      <c r="E1273" s="47" t="s">
        <v>44</v>
      </c>
      <c r="F1273" s="47" t="s">
        <v>45</v>
      </c>
      <c r="G1273" s="47" t="s">
        <v>38</v>
      </c>
      <c r="H1273" s="47" t="s">
        <v>46</v>
      </c>
      <c r="I1273" s="47" t="s">
        <v>46</v>
      </c>
      <c r="J1273" s="47" t="s">
        <v>32</v>
      </c>
      <c r="K1273" s="59" t="s">
        <v>23</v>
      </c>
      <c r="L1273" s="59" t="s">
        <v>23</v>
      </c>
      <c r="M1273" s="47" t="s">
        <v>73</v>
      </c>
    </row>
    <row r="1274" customHeight="1" spans="1:13">
      <c r="A1274" s="47" t="s">
        <v>2360</v>
      </c>
      <c r="B1274" s="47" t="s">
        <v>2304</v>
      </c>
      <c r="C1274" s="47" t="s">
        <v>70</v>
      </c>
      <c r="D1274" s="47" t="s">
        <v>107</v>
      </c>
      <c r="E1274" s="47" t="s">
        <v>27</v>
      </c>
      <c r="F1274" s="47" t="s">
        <v>28</v>
      </c>
      <c r="G1274" s="47" t="s">
        <v>38</v>
      </c>
      <c r="H1274" s="59" t="s">
        <v>23</v>
      </c>
      <c r="I1274" s="47" t="s">
        <v>30</v>
      </c>
      <c r="J1274" s="47" t="s">
        <v>22</v>
      </c>
      <c r="K1274" s="59" t="s">
        <v>23</v>
      </c>
      <c r="L1274" s="59" t="s">
        <v>23</v>
      </c>
      <c r="M1274" s="47" t="s">
        <v>33</v>
      </c>
    </row>
    <row r="1275" customHeight="1" spans="1:13">
      <c r="A1275" s="47" t="s">
        <v>2360</v>
      </c>
      <c r="B1275" s="47" t="s">
        <v>2304</v>
      </c>
      <c r="C1275" s="47" t="s">
        <v>70</v>
      </c>
      <c r="D1275" s="47" t="s">
        <v>107</v>
      </c>
      <c r="E1275" s="47" t="s">
        <v>1082</v>
      </c>
      <c r="F1275" s="47" t="s">
        <v>28</v>
      </c>
      <c r="G1275" s="47" t="s">
        <v>38</v>
      </c>
      <c r="H1275" s="47" t="s">
        <v>30</v>
      </c>
      <c r="I1275" s="59" t="s">
        <v>23</v>
      </c>
      <c r="J1275" s="47" t="s">
        <v>22</v>
      </c>
      <c r="K1275" s="59" t="s">
        <v>23</v>
      </c>
      <c r="L1275" s="59" t="s">
        <v>23</v>
      </c>
      <c r="M1275" s="47" t="s">
        <v>33</v>
      </c>
    </row>
    <row r="1276" customHeight="1" spans="1:13">
      <c r="A1276" s="47" t="s">
        <v>2361</v>
      </c>
      <c r="B1276" s="47" t="s">
        <v>2304</v>
      </c>
      <c r="C1276" s="47" t="s">
        <v>1351</v>
      </c>
      <c r="D1276" s="47" t="s">
        <v>1032</v>
      </c>
      <c r="E1276" s="47" t="s">
        <v>81</v>
      </c>
      <c r="F1276" s="47" t="s">
        <v>37</v>
      </c>
      <c r="G1276" s="47" t="s">
        <v>38</v>
      </c>
      <c r="H1276" s="47" t="s">
        <v>312</v>
      </c>
      <c r="I1276" s="47" t="s">
        <v>82</v>
      </c>
      <c r="J1276" s="47" t="s">
        <v>22</v>
      </c>
      <c r="K1276" s="59" t="s">
        <v>23</v>
      </c>
      <c r="L1276" s="59" t="s">
        <v>23</v>
      </c>
      <c r="M1276" s="47" t="s">
        <v>73</v>
      </c>
    </row>
    <row r="1277" customHeight="1" spans="1:13">
      <c r="A1277" s="47" t="s">
        <v>2362</v>
      </c>
      <c r="B1277" s="47" t="s">
        <v>2304</v>
      </c>
      <c r="C1277" s="47" t="s">
        <v>2363</v>
      </c>
      <c r="D1277" s="47" t="s">
        <v>43</v>
      </c>
      <c r="E1277" s="47" t="s">
        <v>36</v>
      </c>
      <c r="F1277" s="47" t="s">
        <v>37</v>
      </c>
      <c r="G1277" s="59" t="s">
        <v>23</v>
      </c>
      <c r="H1277" s="47" t="s">
        <v>39</v>
      </c>
      <c r="I1277" s="47" t="s">
        <v>39</v>
      </c>
      <c r="J1277" s="47" t="s">
        <v>22</v>
      </c>
      <c r="K1277" s="59" t="s">
        <v>23</v>
      </c>
      <c r="L1277" s="59" t="s">
        <v>23</v>
      </c>
      <c r="M1277" s="47" t="s">
        <v>47</v>
      </c>
    </row>
    <row r="1278" customHeight="1" spans="1:13">
      <c r="A1278" s="47" t="s">
        <v>2364</v>
      </c>
      <c r="B1278" s="47" t="s">
        <v>2365</v>
      </c>
      <c r="C1278" s="47" t="s">
        <v>507</v>
      </c>
      <c r="D1278" s="47" t="s">
        <v>16</v>
      </c>
      <c r="E1278" s="47" t="s">
        <v>17</v>
      </c>
      <c r="F1278" s="47" t="s">
        <v>18</v>
      </c>
      <c r="G1278" s="47" t="s">
        <v>29</v>
      </c>
      <c r="H1278" s="47" t="s">
        <v>20</v>
      </c>
      <c r="I1278" s="47" t="s">
        <v>39</v>
      </c>
      <c r="J1278" s="47" t="s">
        <v>32</v>
      </c>
      <c r="K1278" s="59" t="s">
        <v>23</v>
      </c>
      <c r="L1278" s="59" t="s">
        <v>23</v>
      </c>
      <c r="M1278" s="47" t="s">
        <v>157</v>
      </c>
    </row>
    <row r="1279" customHeight="1" spans="1:13">
      <c r="A1279" s="47" t="s">
        <v>2366</v>
      </c>
      <c r="B1279" s="47" t="s">
        <v>2365</v>
      </c>
      <c r="C1279" s="47" t="s">
        <v>1514</v>
      </c>
      <c r="D1279" s="47" t="s">
        <v>16</v>
      </c>
      <c r="E1279" s="47" t="s">
        <v>161</v>
      </c>
      <c r="F1279" s="47" t="s">
        <v>18</v>
      </c>
      <c r="G1279" s="47" t="s">
        <v>38</v>
      </c>
      <c r="H1279" s="47" t="s">
        <v>64</v>
      </c>
      <c r="I1279" s="47" t="s">
        <v>64</v>
      </c>
      <c r="J1279" s="47" t="s">
        <v>22</v>
      </c>
      <c r="K1279" s="59" t="s">
        <v>23</v>
      </c>
      <c r="L1279" s="59" t="s">
        <v>23</v>
      </c>
      <c r="M1279" s="47" t="s">
        <v>24</v>
      </c>
    </row>
    <row r="1280" customHeight="1" spans="1:13">
      <c r="A1280" s="47" t="s">
        <v>2367</v>
      </c>
      <c r="B1280" s="47" t="s">
        <v>2368</v>
      </c>
      <c r="C1280" s="47" t="s">
        <v>2369</v>
      </c>
      <c r="D1280" s="47" t="s">
        <v>16</v>
      </c>
      <c r="E1280" s="47" t="s">
        <v>95</v>
      </c>
      <c r="F1280" s="47" t="s">
        <v>907</v>
      </c>
      <c r="G1280" s="47" t="s">
        <v>29</v>
      </c>
      <c r="H1280" s="47" t="s">
        <v>77</v>
      </c>
      <c r="I1280" s="47" t="s">
        <v>30</v>
      </c>
      <c r="J1280" s="47" t="s">
        <v>32</v>
      </c>
      <c r="K1280" s="59" t="s">
        <v>23</v>
      </c>
      <c r="L1280" s="59" t="s">
        <v>23</v>
      </c>
      <c r="M1280" s="47" t="s">
        <v>24</v>
      </c>
    </row>
    <row r="1281" customHeight="1" spans="1:13">
      <c r="A1281" s="47" t="s">
        <v>2370</v>
      </c>
      <c r="B1281" s="47" t="s">
        <v>2371</v>
      </c>
      <c r="C1281" s="47" t="s">
        <v>2251</v>
      </c>
      <c r="D1281" s="47" t="s">
        <v>690</v>
      </c>
      <c r="E1281" s="47" t="s">
        <v>2372</v>
      </c>
      <c r="F1281" s="47" t="s">
        <v>18</v>
      </c>
      <c r="G1281" s="47" t="s">
        <v>38</v>
      </c>
      <c r="H1281" s="47" t="s">
        <v>64</v>
      </c>
      <c r="I1281" s="47" t="s">
        <v>64</v>
      </c>
      <c r="J1281" s="47" t="s">
        <v>22</v>
      </c>
      <c r="K1281" s="59" t="s">
        <v>23</v>
      </c>
      <c r="L1281" s="47" t="s">
        <v>29</v>
      </c>
      <c r="M1281" s="47" t="s">
        <v>73</v>
      </c>
    </row>
    <row r="1282" customHeight="1" spans="1:13">
      <c r="A1282" s="47" t="s">
        <v>2373</v>
      </c>
      <c r="B1282" s="47" t="s">
        <v>2371</v>
      </c>
      <c r="C1282" s="47" t="s">
        <v>261</v>
      </c>
      <c r="D1282" s="47" t="s">
        <v>16</v>
      </c>
      <c r="E1282" s="47" t="s">
        <v>17</v>
      </c>
      <c r="F1282" s="47" t="s">
        <v>18</v>
      </c>
      <c r="G1282" s="47" t="s">
        <v>38</v>
      </c>
      <c r="H1282" s="47" t="s">
        <v>20</v>
      </c>
      <c r="I1282" s="47" t="s">
        <v>20</v>
      </c>
      <c r="J1282" s="47" t="s">
        <v>22</v>
      </c>
      <c r="K1282" s="59" t="s">
        <v>23</v>
      </c>
      <c r="L1282" s="59" t="s">
        <v>23</v>
      </c>
      <c r="M1282" s="47" t="s">
        <v>33</v>
      </c>
    </row>
    <row r="1283" customHeight="1" spans="1:13">
      <c r="A1283" s="47" t="s">
        <v>2374</v>
      </c>
      <c r="B1283" s="47" t="s">
        <v>2371</v>
      </c>
      <c r="C1283" s="47" t="s">
        <v>2354</v>
      </c>
      <c r="D1283" s="47" t="s">
        <v>43</v>
      </c>
      <c r="E1283" s="47" t="s">
        <v>36</v>
      </c>
      <c r="F1283" s="47" t="s">
        <v>37</v>
      </c>
      <c r="G1283" s="47" t="s">
        <v>19</v>
      </c>
      <c r="H1283" s="47" t="s">
        <v>39</v>
      </c>
      <c r="I1283" s="47" t="s">
        <v>82</v>
      </c>
      <c r="J1283" s="47" t="s">
        <v>22</v>
      </c>
      <c r="K1283" s="47" t="s">
        <v>53</v>
      </c>
      <c r="L1283" s="59" t="s">
        <v>23</v>
      </c>
      <c r="M1283" s="47" t="s">
        <v>24</v>
      </c>
    </row>
    <row r="1284" customHeight="1" spans="1:13">
      <c r="A1284" s="47" t="s">
        <v>2375</v>
      </c>
      <c r="B1284" s="47" t="s">
        <v>2371</v>
      </c>
      <c r="C1284" s="47" t="s">
        <v>874</v>
      </c>
      <c r="D1284" s="47" t="s">
        <v>43</v>
      </c>
      <c r="E1284" s="47" t="s">
        <v>36</v>
      </c>
      <c r="F1284" s="47" t="s">
        <v>37</v>
      </c>
      <c r="G1284" s="47" t="s">
        <v>19</v>
      </c>
      <c r="H1284" s="47" t="s">
        <v>39</v>
      </c>
      <c r="I1284" s="47" t="s">
        <v>1148</v>
      </c>
      <c r="J1284" s="47" t="s">
        <v>22</v>
      </c>
      <c r="K1284" s="47" t="s">
        <v>53</v>
      </c>
      <c r="L1284" s="59" t="s">
        <v>23</v>
      </c>
      <c r="M1284" s="47" t="s">
        <v>47</v>
      </c>
    </row>
    <row r="1285" customHeight="1" spans="1:13">
      <c r="A1285" s="47" t="s">
        <v>2376</v>
      </c>
      <c r="B1285" s="47" t="s">
        <v>2371</v>
      </c>
      <c r="C1285" s="47" t="s">
        <v>385</v>
      </c>
      <c r="D1285" s="47" t="s">
        <v>107</v>
      </c>
      <c r="E1285" s="47" t="s">
        <v>57</v>
      </c>
      <c r="F1285" s="47" t="s">
        <v>28</v>
      </c>
      <c r="G1285" s="47" t="s">
        <v>38</v>
      </c>
      <c r="H1285" s="47" t="s">
        <v>58</v>
      </c>
      <c r="I1285" s="59" t="s">
        <v>23</v>
      </c>
      <c r="J1285" s="47" t="s">
        <v>32</v>
      </c>
      <c r="K1285" s="59" t="s">
        <v>23</v>
      </c>
      <c r="L1285" s="59" t="s">
        <v>23</v>
      </c>
      <c r="M1285" s="47" t="s">
        <v>33</v>
      </c>
    </row>
    <row r="1286" customHeight="1" spans="1:13">
      <c r="A1286" s="47" t="s">
        <v>2377</v>
      </c>
      <c r="B1286" s="47" t="s">
        <v>2371</v>
      </c>
      <c r="C1286" s="47" t="s">
        <v>150</v>
      </c>
      <c r="D1286" s="47" t="s">
        <v>16</v>
      </c>
      <c r="E1286" s="47" t="s">
        <v>36</v>
      </c>
      <c r="F1286" s="47" t="s">
        <v>37</v>
      </c>
      <c r="G1286" s="47" t="s">
        <v>38</v>
      </c>
      <c r="H1286" s="47" t="s">
        <v>39</v>
      </c>
      <c r="I1286" s="47" t="s">
        <v>39</v>
      </c>
      <c r="J1286" s="47" t="s">
        <v>22</v>
      </c>
      <c r="K1286" s="59" t="s">
        <v>23</v>
      </c>
      <c r="L1286" s="47" t="s">
        <v>29</v>
      </c>
      <c r="M1286" s="47" t="s">
        <v>73</v>
      </c>
    </row>
    <row r="1287" customHeight="1" spans="1:13">
      <c r="A1287" s="47" t="s">
        <v>2378</v>
      </c>
      <c r="B1287" s="47" t="s">
        <v>2371</v>
      </c>
      <c r="C1287" s="47" t="s">
        <v>1190</v>
      </c>
      <c r="D1287" s="47" t="s">
        <v>156</v>
      </c>
      <c r="E1287" s="47" t="s">
        <v>17</v>
      </c>
      <c r="F1287" s="47" t="s">
        <v>18</v>
      </c>
      <c r="G1287" s="47" t="s">
        <v>38</v>
      </c>
      <c r="H1287" s="47" t="s">
        <v>662</v>
      </c>
      <c r="I1287" s="47" t="s">
        <v>20</v>
      </c>
      <c r="J1287" s="47" t="s">
        <v>22</v>
      </c>
      <c r="K1287" s="59" t="s">
        <v>23</v>
      </c>
      <c r="L1287" s="59" t="s">
        <v>23</v>
      </c>
      <c r="M1287" s="47" t="s">
        <v>24</v>
      </c>
    </row>
    <row r="1288" customHeight="1" spans="1:13">
      <c r="A1288" s="47" t="s">
        <v>2379</v>
      </c>
      <c r="B1288" s="47" t="s">
        <v>2371</v>
      </c>
      <c r="C1288" s="47" t="s">
        <v>676</v>
      </c>
      <c r="D1288" s="47" t="s">
        <v>43</v>
      </c>
      <c r="E1288" s="47" t="s">
        <v>63</v>
      </c>
      <c r="F1288" s="47" t="s">
        <v>18</v>
      </c>
      <c r="G1288" s="47" t="s">
        <v>38</v>
      </c>
      <c r="H1288" s="47" t="s">
        <v>64</v>
      </c>
      <c r="I1288" s="59" t="s">
        <v>23</v>
      </c>
      <c r="J1288" s="47" t="s">
        <v>22</v>
      </c>
      <c r="K1288" s="47" t="s">
        <v>53</v>
      </c>
      <c r="L1288" s="59" t="s">
        <v>23</v>
      </c>
      <c r="M1288" s="47" t="s">
        <v>47</v>
      </c>
    </row>
    <row r="1289" customHeight="1" spans="1:13">
      <c r="A1289" s="47" t="s">
        <v>2380</v>
      </c>
      <c r="B1289" s="47" t="s">
        <v>2381</v>
      </c>
      <c r="C1289" s="47" t="s">
        <v>891</v>
      </c>
      <c r="D1289" s="47" t="s">
        <v>107</v>
      </c>
      <c r="E1289" s="47" t="s">
        <v>17</v>
      </c>
      <c r="F1289" s="47" t="s">
        <v>18</v>
      </c>
      <c r="G1289" s="47" t="s">
        <v>19</v>
      </c>
      <c r="H1289" s="47" t="s">
        <v>20</v>
      </c>
      <c r="I1289" s="47" t="s">
        <v>21</v>
      </c>
      <c r="J1289" s="47" t="s">
        <v>32</v>
      </c>
      <c r="K1289" s="59" t="s">
        <v>23</v>
      </c>
      <c r="L1289" s="47" t="s">
        <v>29</v>
      </c>
      <c r="M1289" s="47" t="s">
        <v>40</v>
      </c>
    </row>
    <row r="1290" customHeight="1" spans="1:13">
      <c r="A1290" s="47" t="s">
        <v>2382</v>
      </c>
      <c r="B1290" s="47" t="s">
        <v>2383</v>
      </c>
      <c r="C1290" s="47" t="s">
        <v>2384</v>
      </c>
      <c r="D1290" s="47" t="s">
        <v>16</v>
      </c>
      <c r="E1290" s="47" t="s">
        <v>146</v>
      </c>
      <c r="F1290" s="47" t="s">
        <v>28</v>
      </c>
      <c r="G1290" s="47" t="s">
        <v>19</v>
      </c>
      <c r="H1290" s="59" t="s">
        <v>23</v>
      </c>
      <c r="I1290" s="47" t="s">
        <v>474</v>
      </c>
      <c r="J1290" s="47" t="s">
        <v>68</v>
      </c>
      <c r="K1290" s="59" t="s">
        <v>23</v>
      </c>
      <c r="L1290" s="59" t="s">
        <v>23</v>
      </c>
      <c r="M1290" s="47" t="s">
        <v>24</v>
      </c>
    </row>
    <row r="1291" customHeight="1" spans="1:13">
      <c r="A1291" s="47" t="s">
        <v>2385</v>
      </c>
      <c r="B1291" s="47" t="s">
        <v>2386</v>
      </c>
      <c r="C1291" s="47" t="s">
        <v>1366</v>
      </c>
      <c r="D1291" s="47" t="s">
        <v>213</v>
      </c>
      <c r="E1291" s="47" t="s">
        <v>36</v>
      </c>
      <c r="F1291" s="59" t="s">
        <v>23</v>
      </c>
      <c r="G1291" s="47" t="s">
        <v>38</v>
      </c>
      <c r="H1291" s="47" t="s">
        <v>39</v>
      </c>
      <c r="I1291" s="47" t="s">
        <v>332</v>
      </c>
      <c r="J1291" s="47" t="s">
        <v>32</v>
      </c>
      <c r="K1291" s="47" t="s">
        <v>53</v>
      </c>
      <c r="L1291" s="47" t="s">
        <v>29</v>
      </c>
      <c r="M1291" s="47" t="s">
        <v>40</v>
      </c>
    </row>
    <row r="1292" customHeight="1" spans="1:13">
      <c r="A1292" s="47" t="s">
        <v>2387</v>
      </c>
      <c r="B1292" s="47" t="s">
        <v>2388</v>
      </c>
      <c r="C1292" s="47" t="s">
        <v>1152</v>
      </c>
      <c r="D1292" s="47" t="s">
        <v>16</v>
      </c>
      <c r="E1292" s="47" t="s">
        <v>199</v>
      </c>
      <c r="F1292" s="47" t="s">
        <v>18</v>
      </c>
      <c r="G1292" s="47" t="s">
        <v>38</v>
      </c>
      <c r="H1292" s="47" t="s">
        <v>39</v>
      </c>
      <c r="I1292" s="47" t="s">
        <v>39</v>
      </c>
      <c r="J1292" s="47" t="s">
        <v>32</v>
      </c>
      <c r="K1292" s="59" t="s">
        <v>23</v>
      </c>
      <c r="L1292" s="59" t="s">
        <v>23</v>
      </c>
      <c r="M1292" s="47" t="s">
        <v>33</v>
      </c>
    </row>
    <row r="1293" customHeight="1" spans="1:13">
      <c r="A1293" s="47" t="s">
        <v>2387</v>
      </c>
      <c r="B1293" s="47" t="s">
        <v>2383</v>
      </c>
      <c r="C1293" s="47" t="s">
        <v>1152</v>
      </c>
      <c r="D1293" s="47" t="s">
        <v>16</v>
      </c>
      <c r="E1293" s="47" t="s">
        <v>199</v>
      </c>
      <c r="F1293" s="47" t="s">
        <v>18</v>
      </c>
      <c r="G1293" s="47" t="s">
        <v>38</v>
      </c>
      <c r="H1293" s="47" t="s">
        <v>39</v>
      </c>
      <c r="I1293" s="47" t="s">
        <v>399</v>
      </c>
      <c r="J1293" s="47" t="s">
        <v>32</v>
      </c>
      <c r="K1293" s="59" t="s">
        <v>23</v>
      </c>
      <c r="L1293" s="59" t="s">
        <v>23</v>
      </c>
      <c r="M1293" s="47" t="s">
        <v>33</v>
      </c>
    </row>
    <row r="1294" customHeight="1" spans="1:13">
      <c r="A1294" s="47" t="s">
        <v>2389</v>
      </c>
      <c r="B1294" s="47" t="s">
        <v>2383</v>
      </c>
      <c r="C1294" s="47" t="s">
        <v>2390</v>
      </c>
      <c r="D1294" s="47" t="s">
        <v>43</v>
      </c>
      <c r="E1294" s="47" t="s">
        <v>103</v>
      </c>
      <c r="F1294" s="47" t="s">
        <v>37</v>
      </c>
      <c r="G1294" s="47" t="s">
        <v>38</v>
      </c>
      <c r="H1294" s="47" t="s">
        <v>77</v>
      </c>
      <c r="I1294" s="47" t="s">
        <v>77</v>
      </c>
      <c r="J1294" s="47" t="s">
        <v>68</v>
      </c>
      <c r="K1294" s="59" t="s">
        <v>23</v>
      </c>
      <c r="L1294" s="47" t="s">
        <v>65</v>
      </c>
      <c r="M1294" s="47" t="s">
        <v>1066</v>
      </c>
    </row>
    <row r="1295" customHeight="1" spans="1:13">
      <c r="A1295" s="47" t="s">
        <v>2391</v>
      </c>
      <c r="B1295" s="47" t="s">
        <v>2383</v>
      </c>
      <c r="C1295" s="47" t="s">
        <v>287</v>
      </c>
      <c r="D1295" s="47" t="s">
        <v>16</v>
      </c>
      <c r="E1295" s="47" t="s">
        <v>81</v>
      </c>
      <c r="F1295" s="47" t="s">
        <v>37</v>
      </c>
      <c r="G1295" s="47" t="s">
        <v>38</v>
      </c>
      <c r="H1295" s="47" t="s">
        <v>82</v>
      </c>
      <c r="I1295" s="47" t="s">
        <v>82</v>
      </c>
      <c r="J1295" s="47" t="s">
        <v>32</v>
      </c>
      <c r="K1295" s="59" t="s">
        <v>23</v>
      </c>
      <c r="L1295" s="47" t="s">
        <v>65</v>
      </c>
      <c r="M1295" s="47" t="s">
        <v>33</v>
      </c>
    </row>
    <row r="1296" customHeight="1" spans="1:13">
      <c r="A1296" s="47" t="s">
        <v>2392</v>
      </c>
      <c r="B1296" s="47" t="s">
        <v>2393</v>
      </c>
      <c r="C1296" s="47" t="s">
        <v>2394</v>
      </c>
      <c r="D1296" s="47" t="s">
        <v>16</v>
      </c>
      <c r="E1296" s="47" t="s">
        <v>63</v>
      </c>
      <c r="F1296" s="47" t="s">
        <v>18</v>
      </c>
      <c r="G1296" s="47" t="s">
        <v>38</v>
      </c>
      <c r="H1296" s="47" t="s">
        <v>64</v>
      </c>
      <c r="I1296" s="47" t="s">
        <v>64</v>
      </c>
      <c r="J1296" s="47" t="s">
        <v>22</v>
      </c>
      <c r="K1296" s="59" t="s">
        <v>23</v>
      </c>
      <c r="L1296" s="59" t="s">
        <v>23</v>
      </c>
      <c r="M1296" s="47" t="s">
        <v>315</v>
      </c>
    </row>
    <row r="1297" customHeight="1" spans="1:13">
      <c r="A1297" s="47" t="s">
        <v>2395</v>
      </c>
      <c r="B1297" s="47" t="s">
        <v>2396</v>
      </c>
      <c r="C1297" s="47" t="s">
        <v>1025</v>
      </c>
      <c r="D1297" s="47" t="s">
        <v>43</v>
      </c>
      <c r="E1297" s="47" t="s">
        <v>36</v>
      </c>
      <c r="F1297" s="47" t="s">
        <v>37</v>
      </c>
      <c r="G1297" s="47" t="s">
        <v>19</v>
      </c>
      <c r="H1297" s="47" t="s">
        <v>39</v>
      </c>
      <c r="I1297" s="47" t="s">
        <v>82</v>
      </c>
      <c r="J1297" s="47" t="s">
        <v>22</v>
      </c>
      <c r="K1297" s="59" t="s">
        <v>23</v>
      </c>
      <c r="L1297" s="59" t="s">
        <v>23</v>
      </c>
      <c r="M1297" s="47" t="s">
        <v>24</v>
      </c>
    </row>
    <row r="1298" customHeight="1" spans="1:13">
      <c r="A1298" s="47" t="s">
        <v>2397</v>
      </c>
      <c r="B1298" s="47" t="s">
        <v>2396</v>
      </c>
      <c r="C1298" s="47" t="s">
        <v>456</v>
      </c>
      <c r="D1298" s="47" t="s">
        <v>43</v>
      </c>
      <c r="E1298" s="47" t="s">
        <v>2398</v>
      </c>
      <c r="F1298" s="47" t="s">
        <v>18</v>
      </c>
      <c r="G1298" s="47" t="s">
        <v>29</v>
      </c>
      <c r="H1298" s="47" t="s">
        <v>130</v>
      </c>
      <c r="I1298" s="47" t="s">
        <v>761</v>
      </c>
      <c r="J1298" s="47" t="s">
        <v>32</v>
      </c>
      <c r="K1298" s="59" t="s">
        <v>23</v>
      </c>
      <c r="L1298" s="59" t="s">
        <v>23</v>
      </c>
      <c r="M1298" s="47" t="s">
        <v>33</v>
      </c>
    </row>
    <row r="1299" customHeight="1" spans="1:13">
      <c r="A1299" s="47" t="s">
        <v>2399</v>
      </c>
      <c r="B1299" s="47" t="s">
        <v>2393</v>
      </c>
      <c r="C1299" s="47" t="s">
        <v>1514</v>
      </c>
      <c r="D1299" s="47" t="s">
        <v>16</v>
      </c>
      <c r="E1299" s="47" t="s">
        <v>17</v>
      </c>
      <c r="F1299" s="47" t="s">
        <v>18</v>
      </c>
      <c r="G1299" s="47" t="s">
        <v>19</v>
      </c>
      <c r="H1299" s="47" t="s">
        <v>462</v>
      </c>
      <c r="I1299" s="47" t="s">
        <v>21</v>
      </c>
      <c r="J1299" s="47" t="s">
        <v>22</v>
      </c>
      <c r="K1299" s="59" t="s">
        <v>23</v>
      </c>
      <c r="L1299" s="47" t="s">
        <v>65</v>
      </c>
      <c r="M1299" s="47" t="s">
        <v>490</v>
      </c>
    </row>
    <row r="1300" customHeight="1" spans="1:13">
      <c r="A1300" s="47" t="s">
        <v>2400</v>
      </c>
      <c r="B1300" s="47" t="s">
        <v>2393</v>
      </c>
      <c r="C1300" s="47" t="s">
        <v>576</v>
      </c>
      <c r="D1300" s="47" t="s">
        <v>107</v>
      </c>
      <c r="E1300" s="47" t="s">
        <v>146</v>
      </c>
      <c r="F1300" s="47" t="s">
        <v>28</v>
      </c>
      <c r="G1300" s="47" t="s">
        <v>38</v>
      </c>
      <c r="H1300" s="47" t="s">
        <v>147</v>
      </c>
      <c r="I1300" s="47" t="s">
        <v>147</v>
      </c>
      <c r="J1300" s="47" t="s">
        <v>22</v>
      </c>
      <c r="K1300" s="59" t="s">
        <v>23</v>
      </c>
      <c r="L1300" s="59" t="s">
        <v>23</v>
      </c>
      <c r="M1300" s="47" t="s">
        <v>33</v>
      </c>
    </row>
    <row r="1301" customHeight="1" spans="1:13">
      <c r="A1301" s="47" t="s">
        <v>2401</v>
      </c>
      <c r="B1301" s="47" t="s">
        <v>2393</v>
      </c>
      <c r="C1301" s="47" t="s">
        <v>1415</v>
      </c>
      <c r="D1301" s="47" t="s">
        <v>43</v>
      </c>
      <c r="E1301" s="47" t="s">
        <v>36</v>
      </c>
      <c r="F1301" s="47" t="s">
        <v>37</v>
      </c>
      <c r="G1301" s="47" t="s">
        <v>38</v>
      </c>
      <c r="H1301" s="47" t="s">
        <v>39</v>
      </c>
      <c r="I1301" s="47" t="s">
        <v>987</v>
      </c>
      <c r="J1301" s="47" t="s">
        <v>22</v>
      </c>
      <c r="K1301" s="47" t="s">
        <v>119</v>
      </c>
      <c r="L1301" s="59" t="s">
        <v>23</v>
      </c>
      <c r="M1301" s="47" t="s">
        <v>73</v>
      </c>
    </row>
    <row r="1302" customHeight="1" spans="1:13">
      <c r="A1302" s="47" t="s">
        <v>2402</v>
      </c>
      <c r="B1302" s="47" t="s">
        <v>2393</v>
      </c>
      <c r="C1302" s="47" t="s">
        <v>807</v>
      </c>
      <c r="D1302" s="47" t="s">
        <v>16</v>
      </c>
      <c r="E1302" s="47" t="s">
        <v>367</v>
      </c>
      <c r="F1302" s="47" t="s">
        <v>109</v>
      </c>
      <c r="G1302" s="47" t="s">
        <v>38</v>
      </c>
      <c r="H1302" s="47" t="s">
        <v>110</v>
      </c>
      <c r="I1302" s="47" t="s">
        <v>110</v>
      </c>
      <c r="J1302" s="47" t="s">
        <v>32</v>
      </c>
      <c r="K1302" s="59" t="s">
        <v>23</v>
      </c>
      <c r="L1302" s="59" t="s">
        <v>23</v>
      </c>
      <c r="M1302" s="47" t="s">
        <v>33</v>
      </c>
    </row>
    <row r="1303" customHeight="1" spans="1:13">
      <c r="A1303" s="47" t="s">
        <v>2403</v>
      </c>
      <c r="B1303" s="47" t="s">
        <v>2396</v>
      </c>
      <c r="C1303" s="47" t="s">
        <v>1733</v>
      </c>
      <c r="D1303" s="47" t="s">
        <v>16</v>
      </c>
      <c r="E1303" s="47" t="s">
        <v>647</v>
      </c>
      <c r="F1303" s="47" t="s">
        <v>45</v>
      </c>
      <c r="G1303" s="47" t="s">
        <v>38</v>
      </c>
      <c r="H1303" s="47" t="s">
        <v>227</v>
      </c>
      <c r="I1303" s="47" t="s">
        <v>227</v>
      </c>
      <c r="J1303" s="47" t="s">
        <v>22</v>
      </c>
      <c r="K1303" s="59" t="s">
        <v>23</v>
      </c>
      <c r="L1303" s="59" t="s">
        <v>23</v>
      </c>
      <c r="M1303" s="47" t="s">
        <v>47</v>
      </c>
    </row>
    <row r="1304" customHeight="1" spans="1:13">
      <c r="A1304" s="47" t="s">
        <v>2404</v>
      </c>
      <c r="B1304" s="47" t="s">
        <v>2393</v>
      </c>
      <c r="C1304" s="47" t="s">
        <v>1661</v>
      </c>
      <c r="D1304" s="47" t="s">
        <v>16</v>
      </c>
      <c r="E1304" s="47" t="s">
        <v>647</v>
      </c>
      <c r="F1304" s="47" t="s">
        <v>45</v>
      </c>
      <c r="G1304" s="47" t="s">
        <v>38</v>
      </c>
      <c r="H1304" s="47" t="s">
        <v>227</v>
      </c>
      <c r="I1304" s="47" t="s">
        <v>227</v>
      </c>
      <c r="J1304" s="47" t="s">
        <v>22</v>
      </c>
      <c r="K1304" s="59" t="s">
        <v>23</v>
      </c>
      <c r="L1304" s="47" t="s">
        <v>29</v>
      </c>
      <c r="M1304" s="47" t="s">
        <v>40</v>
      </c>
    </row>
    <row r="1305" customHeight="1" spans="1:13">
      <c r="A1305" s="47" t="s">
        <v>2405</v>
      </c>
      <c r="B1305" s="47" t="s">
        <v>2393</v>
      </c>
      <c r="C1305" s="47" t="s">
        <v>1691</v>
      </c>
      <c r="D1305" s="47" t="s">
        <v>43</v>
      </c>
      <c r="E1305" s="47" t="s">
        <v>647</v>
      </c>
      <c r="F1305" s="47" t="s">
        <v>45</v>
      </c>
      <c r="G1305" s="47" t="s">
        <v>38</v>
      </c>
      <c r="H1305" s="47" t="s">
        <v>227</v>
      </c>
      <c r="I1305" s="47" t="s">
        <v>227</v>
      </c>
      <c r="J1305" s="47" t="s">
        <v>22</v>
      </c>
      <c r="K1305" s="59" t="s">
        <v>23</v>
      </c>
      <c r="L1305" s="47" t="s">
        <v>19</v>
      </c>
      <c r="M1305" s="47" t="s">
        <v>47</v>
      </c>
    </row>
    <row r="1306" customHeight="1" spans="1:13">
      <c r="A1306" s="47" t="s">
        <v>2406</v>
      </c>
      <c r="B1306" s="47" t="s">
        <v>2407</v>
      </c>
      <c r="C1306" s="47" t="s">
        <v>714</v>
      </c>
      <c r="D1306" s="47" t="s">
        <v>43</v>
      </c>
      <c r="E1306" s="47" t="s">
        <v>50</v>
      </c>
      <c r="F1306" s="47" t="s">
        <v>28</v>
      </c>
      <c r="G1306" s="47" t="s">
        <v>38</v>
      </c>
      <c r="H1306" s="59" t="s">
        <v>23</v>
      </c>
      <c r="I1306" s="47" t="s">
        <v>52</v>
      </c>
      <c r="J1306" s="47" t="s">
        <v>22</v>
      </c>
      <c r="K1306" s="59" t="s">
        <v>23</v>
      </c>
      <c r="L1306" s="47" t="s">
        <v>65</v>
      </c>
      <c r="M1306" s="47" t="s">
        <v>40</v>
      </c>
    </row>
    <row r="1307" customHeight="1" spans="1:13">
      <c r="A1307" s="47" t="s">
        <v>2408</v>
      </c>
      <c r="B1307" s="47" t="s">
        <v>2409</v>
      </c>
      <c r="C1307" s="47" t="s">
        <v>1084</v>
      </c>
      <c r="D1307" s="47" t="s">
        <v>1275</v>
      </c>
      <c r="E1307" s="47" t="s">
        <v>199</v>
      </c>
      <c r="F1307" s="47" t="s">
        <v>18</v>
      </c>
      <c r="G1307" s="47" t="s">
        <v>38</v>
      </c>
      <c r="H1307" s="47" t="s">
        <v>39</v>
      </c>
      <c r="I1307" s="47" t="s">
        <v>39</v>
      </c>
      <c r="J1307" s="47" t="s">
        <v>32</v>
      </c>
      <c r="K1307" s="59" t="s">
        <v>23</v>
      </c>
      <c r="L1307" s="59" t="s">
        <v>23</v>
      </c>
      <c r="M1307" s="47" t="s">
        <v>33</v>
      </c>
    </row>
    <row r="1308" customHeight="1" spans="1:13">
      <c r="A1308" s="47" t="s">
        <v>2410</v>
      </c>
      <c r="B1308" s="47" t="s">
        <v>2411</v>
      </c>
      <c r="C1308" s="47" t="s">
        <v>2412</v>
      </c>
      <c r="D1308" s="47" t="s">
        <v>16</v>
      </c>
      <c r="E1308" s="47" t="s">
        <v>647</v>
      </c>
      <c r="F1308" s="47" t="s">
        <v>45</v>
      </c>
      <c r="G1308" s="47" t="s">
        <v>38</v>
      </c>
      <c r="H1308" s="47" t="s">
        <v>227</v>
      </c>
      <c r="I1308" s="47" t="s">
        <v>1498</v>
      </c>
      <c r="J1308" s="47" t="s">
        <v>22</v>
      </c>
      <c r="K1308" s="47" t="s">
        <v>53</v>
      </c>
      <c r="L1308" s="47" t="s">
        <v>29</v>
      </c>
      <c r="M1308" s="47" t="s">
        <v>24</v>
      </c>
    </row>
    <row r="1309" customHeight="1" spans="1:13">
      <c r="A1309" s="47" t="s">
        <v>2413</v>
      </c>
      <c r="B1309" s="47" t="s">
        <v>2411</v>
      </c>
      <c r="C1309" s="47" t="s">
        <v>2414</v>
      </c>
      <c r="D1309" s="47" t="s">
        <v>43</v>
      </c>
      <c r="E1309" s="47" t="s">
        <v>81</v>
      </c>
      <c r="F1309" s="47" t="s">
        <v>37</v>
      </c>
      <c r="G1309" s="47" t="s">
        <v>38</v>
      </c>
      <c r="H1309" s="47" t="s">
        <v>82</v>
      </c>
      <c r="I1309" s="47" t="s">
        <v>82</v>
      </c>
      <c r="J1309" s="47" t="s">
        <v>22</v>
      </c>
      <c r="K1309" s="59" t="s">
        <v>23</v>
      </c>
      <c r="L1309" s="47" t="s">
        <v>65</v>
      </c>
      <c r="M1309" s="47" t="s">
        <v>490</v>
      </c>
    </row>
    <row r="1310" customHeight="1" spans="1:13">
      <c r="A1310" s="47" t="s">
        <v>2415</v>
      </c>
      <c r="B1310" s="47" t="s">
        <v>2411</v>
      </c>
      <c r="C1310" s="47" t="s">
        <v>183</v>
      </c>
      <c r="D1310" s="47" t="s">
        <v>43</v>
      </c>
      <c r="E1310" s="47" t="s">
        <v>44</v>
      </c>
      <c r="F1310" s="47" t="s">
        <v>45</v>
      </c>
      <c r="G1310" s="47" t="s">
        <v>38</v>
      </c>
      <c r="H1310" s="47" t="s">
        <v>46</v>
      </c>
      <c r="I1310" s="47" t="s">
        <v>46</v>
      </c>
      <c r="J1310" s="47" t="s">
        <v>22</v>
      </c>
      <c r="K1310" s="59" t="s">
        <v>23</v>
      </c>
      <c r="L1310" s="59" t="s">
        <v>23</v>
      </c>
      <c r="M1310" s="47" t="s">
        <v>24</v>
      </c>
    </row>
    <row r="1311" customHeight="1" spans="1:13">
      <c r="A1311" s="47" t="s">
        <v>2416</v>
      </c>
      <c r="B1311" s="47" t="s">
        <v>2411</v>
      </c>
      <c r="C1311" s="47" t="s">
        <v>106</v>
      </c>
      <c r="D1311" s="47" t="s">
        <v>107</v>
      </c>
      <c r="E1311" s="47" t="s">
        <v>17</v>
      </c>
      <c r="F1311" s="47" t="s">
        <v>18</v>
      </c>
      <c r="G1311" s="47" t="s">
        <v>29</v>
      </c>
      <c r="H1311" s="47" t="s">
        <v>20</v>
      </c>
      <c r="I1311" s="47" t="s">
        <v>39</v>
      </c>
      <c r="J1311" s="47" t="s">
        <v>32</v>
      </c>
      <c r="K1311" s="59" t="s">
        <v>23</v>
      </c>
      <c r="L1311" s="59" t="s">
        <v>23</v>
      </c>
      <c r="M1311" s="47" t="s">
        <v>220</v>
      </c>
    </row>
    <row r="1312" customHeight="1" spans="1:13">
      <c r="A1312" s="47" t="s">
        <v>2417</v>
      </c>
      <c r="B1312" s="47" t="s">
        <v>2411</v>
      </c>
      <c r="C1312" s="47" t="s">
        <v>106</v>
      </c>
      <c r="D1312" s="47" t="s">
        <v>43</v>
      </c>
      <c r="E1312" s="47" t="s">
        <v>262</v>
      </c>
      <c r="F1312" s="47" t="s">
        <v>45</v>
      </c>
      <c r="G1312" s="47" t="s">
        <v>38</v>
      </c>
      <c r="H1312" s="47" t="s">
        <v>46</v>
      </c>
      <c r="I1312" s="59" t="s">
        <v>23</v>
      </c>
      <c r="J1312" s="47" t="s">
        <v>32</v>
      </c>
      <c r="K1312" s="59" t="s">
        <v>23</v>
      </c>
      <c r="L1312" s="59" t="s">
        <v>23</v>
      </c>
      <c r="M1312" s="47" t="s">
        <v>33</v>
      </c>
    </row>
    <row r="1313" customHeight="1" spans="1:13">
      <c r="A1313" s="47" t="s">
        <v>2418</v>
      </c>
      <c r="B1313" s="47" t="s">
        <v>2411</v>
      </c>
      <c r="C1313" s="47" t="s">
        <v>834</v>
      </c>
      <c r="D1313" s="47" t="s">
        <v>16</v>
      </c>
      <c r="E1313" s="47" t="s">
        <v>235</v>
      </c>
      <c r="F1313" s="47" t="s">
        <v>45</v>
      </c>
      <c r="G1313" s="47" t="s">
        <v>38</v>
      </c>
      <c r="H1313" s="47" t="s">
        <v>46</v>
      </c>
      <c r="I1313" s="47" t="s">
        <v>46</v>
      </c>
      <c r="J1313" s="47" t="s">
        <v>32</v>
      </c>
      <c r="K1313" s="59" t="s">
        <v>23</v>
      </c>
      <c r="L1313" s="59" t="s">
        <v>23</v>
      </c>
      <c r="M1313" s="47" t="s">
        <v>40</v>
      </c>
    </row>
    <row r="1314" customHeight="1" spans="1:13">
      <c r="A1314" s="47" t="s">
        <v>2419</v>
      </c>
      <c r="B1314" s="47" t="s">
        <v>2411</v>
      </c>
      <c r="C1314" s="47" t="s">
        <v>484</v>
      </c>
      <c r="D1314" s="47" t="s">
        <v>16</v>
      </c>
      <c r="E1314" s="47" t="s">
        <v>103</v>
      </c>
      <c r="F1314" s="47" t="s">
        <v>37</v>
      </c>
      <c r="G1314" s="47" t="s">
        <v>38</v>
      </c>
      <c r="H1314" s="59" t="s">
        <v>23</v>
      </c>
      <c r="I1314" s="47" t="s">
        <v>77</v>
      </c>
      <c r="J1314" s="47" t="s">
        <v>32</v>
      </c>
      <c r="K1314" s="59" t="s">
        <v>23</v>
      </c>
      <c r="L1314" s="59" t="s">
        <v>23</v>
      </c>
      <c r="M1314" s="47" t="s">
        <v>73</v>
      </c>
    </row>
    <row r="1315" customHeight="1" spans="1:13">
      <c r="A1315" s="47" t="s">
        <v>2420</v>
      </c>
      <c r="B1315" s="47" t="s">
        <v>2411</v>
      </c>
      <c r="C1315" s="47" t="s">
        <v>909</v>
      </c>
      <c r="D1315" s="47" t="s">
        <v>1275</v>
      </c>
      <c r="E1315" s="47" t="s">
        <v>36</v>
      </c>
      <c r="F1315" s="47" t="s">
        <v>37</v>
      </c>
      <c r="G1315" s="47" t="s">
        <v>19</v>
      </c>
      <c r="H1315" s="47" t="s">
        <v>39</v>
      </c>
      <c r="I1315" s="47" t="s">
        <v>82</v>
      </c>
      <c r="J1315" s="47" t="s">
        <v>22</v>
      </c>
      <c r="K1315" s="59" t="s">
        <v>23</v>
      </c>
      <c r="L1315" s="47" t="s">
        <v>65</v>
      </c>
      <c r="M1315" s="47" t="s">
        <v>40</v>
      </c>
    </row>
    <row r="1316" customHeight="1" spans="1:13">
      <c r="A1316" s="47" t="s">
        <v>2421</v>
      </c>
      <c r="B1316" s="47" t="s">
        <v>2411</v>
      </c>
      <c r="C1316" s="47" t="s">
        <v>329</v>
      </c>
      <c r="D1316" s="47" t="s">
        <v>43</v>
      </c>
      <c r="E1316" s="47" t="s">
        <v>50</v>
      </c>
      <c r="F1316" s="47" t="s">
        <v>28</v>
      </c>
      <c r="G1316" s="47" t="s">
        <v>19</v>
      </c>
      <c r="H1316" s="47" t="s">
        <v>52</v>
      </c>
      <c r="I1316" s="47" t="s">
        <v>425</v>
      </c>
      <c r="J1316" s="47" t="s">
        <v>32</v>
      </c>
      <c r="K1316" s="59" t="s">
        <v>23</v>
      </c>
      <c r="L1316" s="47" t="s">
        <v>54</v>
      </c>
      <c r="M1316" s="47" t="s">
        <v>47</v>
      </c>
    </row>
    <row r="1317" customHeight="1" spans="1:13">
      <c r="A1317" s="47" t="s">
        <v>2422</v>
      </c>
      <c r="B1317" s="47" t="s">
        <v>2411</v>
      </c>
      <c r="C1317" s="47" t="s">
        <v>2015</v>
      </c>
      <c r="D1317" s="47" t="s">
        <v>43</v>
      </c>
      <c r="E1317" s="47" t="s">
        <v>36</v>
      </c>
      <c r="F1317" s="47" t="s">
        <v>37</v>
      </c>
      <c r="G1317" s="47" t="s">
        <v>38</v>
      </c>
      <c r="H1317" s="47" t="s">
        <v>39</v>
      </c>
      <c r="I1317" s="47" t="s">
        <v>39</v>
      </c>
      <c r="J1317" s="47" t="s">
        <v>22</v>
      </c>
      <c r="K1317" s="59" t="s">
        <v>23</v>
      </c>
      <c r="L1317" s="59" t="s">
        <v>23</v>
      </c>
      <c r="M1317" s="47" t="s">
        <v>220</v>
      </c>
    </row>
    <row r="1318" customHeight="1" spans="1:13">
      <c r="A1318" s="47" t="s">
        <v>2423</v>
      </c>
      <c r="B1318" s="47" t="s">
        <v>2424</v>
      </c>
      <c r="C1318" s="47" t="s">
        <v>2425</v>
      </c>
      <c r="D1318" s="47" t="s">
        <v>16</v>
      </c>
      <c r="E1318" s="47" t="s">
        <v>267</v>
      </c>
      <c r="F1318" s="59" t="s">
        <v>23</v>
      </c>
      <c r="G1318" s="47" t="s">
        <v>38</v>
      </c>
      <c r="H1318" s="47" t="s">
        <v>64</v>
      </c>
      <c r="I1318" s="47" t="s">
        <v>64</v>
      </c>
      <c r="J1318" s="47" t="s">
        <v>22</v>
      </c>
      <c r="K1318" s="59" t="s">
        <v>23</v>
      </c>
      <c r="L1318" s="59" t="s">
        <v>23</v>
      </c>
      <c r="M1318" s="47" t="s">
        <v>73</v>
      </c>
    </row>
    <row r="1319" customHeight="1" spans="1:13">
      <c r="A1319" s="47" t="s">
        <v>2426</v>
      </c>
      <c r="B1319" s="47" t="s">
        <v>2424</v>
      </c>
      <c r="C1319" s="47" t="s">
        <v>2427</v>
      </c>
      <c r="D1319" s="47" t="s">
        <v>43</v>
      </c>
      <c r="E1319" s="47" t="s">
        <v>57</v>
      </c>
      <c r="F1319" s="47" t="s">
        <v>28</v>
      </c>
      <c r="G1319" s="47" t="s">
        <v>19</v>
      </c>
      <c r="H1319" s="47" t="s">
        <v>58</v>
      </c>
      <c r="I1319" s="47" t="s">
        <v>140</v>
      </c>
      <c r="J1319" s="47" t="s">
        <v>32</v>
      </c>
      <c r="K1319" s="59" t="s">
        <v>23</v>
      </c>
      <c r="L1319" s="47" t="s">
        <v>29</v>
      </c>
      <c r="M1319" s="47" t="s">
        <v>292</v>
      </c>
    </row>
    <row r="1320" customHeight="1" spans="1:13">
      <c r="A1320" s="47" t="s">
        <v>2426</v>
      </c>
      <c r="B1320" s="47" t="s">
        <v>2424</v>
      </c>
      <c r="C1320" s="47" t="s">
        <v>2427</v>
      </c>
      <c r="D1320" s="47" t="s">
        <v>43</v>
      </c>
      <c r="E1320" s="47" t="s">
        <v>57</v>
      </c>
      <c r="F1320" s="47" t="s">
        <v>28</v>
      </c>
      <c r="G1320" s="47" t="s">
        <v>19</v>
      </c>
      <c r="H1320" s="47" t="s">
        <v>58</v>
      </c>
      <c r="I1320" s="47" t="s">
        <v>140</v>
      </c>
      <c r="J1320" s="47" t="s">
        <v>32</v>
      </c>
      <c r="K1320" s="59" t="s">
        <v>23</v>
      </c>
      <c r="L1320" s="47" t="s">
        <v>29</v>
      </c>
      <c r="M1320" s="47" t="s">
        <v>24</v>
      </c>
    </row>
    <row r="1321" customHeight="1" spans="1:13">
      <c r="A1321" s="47" t="s">
        <v>2428</v>
      </c>
      <c r="B1321" s="47" t="s">
        <v>2424</v>
      </c>
      <c r="C1321" s="47" t="s">
        <v>2429</v>
      </c>
      <c r="D1321" s="47" t="s">
        <v>16</v>
      </c>
      <c r="E1321" s="47" t="s">
        <v>17</v>
      </c>
      <c r="F1321" s="47" t="s">
        <v>18</v>
      </c>
      <c r="G1321" s="47" t="s">
        <v>38</v>
      </c>
      <c r="H1321" s="47" t="s">
        <v>20</v>
      </c>
      <c r="I1321" s="47" t="s">
        <v>20</v>
      </c>
      <c r="J1321" s="47" t="s">
        <v>22</v>
      </c>
      <c r="K1321" s="59" t="s">
        <v>23</v>
      </c>
      <c r="L1321" s="59" t="s">
        <v>23</v>
      </c>
      <c r="M1321" s="47" t="s">
        <v>73</v>
      </c>
    </row>
    <row r="1322" customHeight="1" spans="1:13">
      <c r="A1322" s="47" t="s">
        <v>2430</v>
      </c>
      <c r="B1322" s="47" t="s">
        <v>2424</v>
      </c>
      <c r="C1322" s="47" t="s">
        <v>1214</v>
      </c>
      <c r="D1322" s="47" t="s">
        <v>16</v>
      </c>
      <c r="E1322" s="47" t="s">
        <v>17</v>
      </c>
      <c r="F1322" s="47" t="s">
        <v>18</v>
      </c>
      <c r="G1322" s="47" t="s">
        <v>19</v>
      </c>
      <c r="H1322" s="47" t="s">
        <v>20</v>
      </c>
      <c r="I1322" s="47" t="s">
        <v>742</v>
      </c>
      <c r="J1322" s="47" t="s">
        <v>32</v>
      </c>
      <c r="K1322" s="47" t="s">
        <v>53</v>
      </c>
      <c r="L1322" s="47" t="s">
        <v>65</v>
      </c>
      <c r="M1322" s="47" t="s">
        <v>220</v>
      </c>
    </row>
    <row r="1323" customHeight="1" spans="1:13">
      <c r="A1323" s="47" t="s">
        <v>2431</v>
      </c>
      <c r="B1323" s="47" t="s">
        <v>2424</v>
      </c>
      <c r="C1323" s="47" t="s">
        <v>484</v>
      </c>
      <c r="D1323" s="47" t="s">
        <v>107</v>
      </c>
      <c r="E1323" s="47" t="s">
        <v>17</v>
      </c>
      <c r="F1323" s="47" t="s">
        <v>18</v>
      </c>
      <c r="G1323" s="47" t="s">
        <v>38</v>
      </c>
      <c r="H1323" s="47" t="s">
        <v>20</v>
      </c>
      <c r="I1323" s="47" t="s">
        <v>20</v>
      </c>
      <c r="J1323" s="47" t="s">
        <v>32</v>
      </c>
      <c r="K1323" s="59" t="s">
        <v>23</v>
      </c>
      <c r="L1323" s="47" t="s">
        <v>65</v>
      </c>
      <c r="M1323" s="47" t="s">
        <v>292</v>
      </c>
    </row>
    <row r="1324" customHeight="1" spans="1:13">
      <c r="A1324" s="47" t="s">
        <v>2432</v>
      </c>
      <c r="B1324" s="47" t="s">
        <v>2424</v>
      </c>
      <c r="C1324" s="47" t="s">
        <v>366</v>
      </c>
      <c r="D1324" s="47" t="s">
        <v>107</v>
      </c>
      <c r="E1324" s="47" t="s">
        <v>2433</v>
      </c>
      <c r="F1324" s="47" t="s">
        <v>28</v>
      </c>
      <c r="G1324" s="47" t="s">
        <v>38</v>
      </c>
      <c r="H1324" s="47" t="s">
        <v>147</v>
      </c>
      <c r="I1324" s="47" t="s">
        <v>147</v>
      </c>
      <c r="J1324" s="47" t="s">
        <v>22</v>
      </c>
      <c r="K1324" s="59" t="s">
        <v>23</v>
      </c>
      <c r="L1324" s="59" t="s">
        <v>23</v>
      </c>
      <c r="M1324" s="47" t="s">
        <v>490</v>
      </c>
    </row>
    <row r="1325" customHeight="1" spans="1:13">
      <c r="A1325" s="47" t="s">
        <v>2434</v>
      </c>
      <c r="B1325" s="47" t="s">
        <v>2424</v>
      </c>
      <c r="C1325" s="47" t="s">
        <v>1314</v>
      </c>
      <c r="D1325" s="47" t="s">
        <v>43</v>
      </c>
      <c r="E1325" s="47" t="s">
        <v>44</v>
      </c>
      <c r="F1325" s="47" t="s">
        <v>45</v>
      </c>
      <c r="G1325" s="47" t="s">
        <v>19</v>
      </c>
      <c r="H1325" s="47" t="s">
        <v>46</v>
      </c>
      <c r="I1325" s="59" t="s">
        <v>23</v>
      </c>
      <c r="J1325" s="47" t="s">
        <v>22</v>
      </c>
      <c r="K1325" s="59" t="s">
        <v>23</v>
      </c>
      <c r="L1325" s="47" t="s">
        <v>54</v>
      </c>
      <c r="M1325" s="47" t="s">
        <v>24</v>
      </c>
    </row>
    <row r="1326" customHeight="1" spans="1:13">
      <c r="A1326" s="47" t="s">
        <v>2435</v>
      </c>
      <c r="B1326" s="47" t="s">
        <v>2436</v>
      </c>
      <c r="C1326" s="47" t="s">
        <v>1092</v>
      </c>
      <c r="D1326" s="47" t="s">
        <v>16</v>
      </c>
      <c r="E1326" s="47" t="s">
        <v>17</v>
      </c>
      <c r="F1326" s="47" t="s">
        <v>18</v>
      </c>
      <c r="G1326" s="47" t="s">
        <v>38</v>
      </c>
      <c r="H1326" s="47" t="s">
        <v>20</v>
      </c>
      <c r="I1326" s="47" t="s">
        <v>20</v>
      </c>
      <c r="J1326" s="47" t="s">
        <v>22</v>
      </c>
      <c r="K1326" s="59" t="s">
        <v>23</v>
      </c>
      <c r="L1326" s="59" t="s">
        <v>23</v>
      </c>
      <c r="M1326" s="47" t="s">
        <v>24</v>
      </c>
    </row>
    <row r="1327" customHeight="1" spans="1:13">
      <c r="A1327" s="47" t="s">
        <v>2437</v>
      </c>
      <c r="B1327" s="47" t="s">
        <v>2436</v>
      </c>
      <c r="C1327" s="47" t="s">
        <v>2394</v>
      </c>
      <c r="D1327" s="47" t="s">
        <v>107</v>
      </c>
      <c r="E1327" s="47" t="s">
        <v>103</v>
      </c>
      <c r="F1327" s="47" t="s">
        <v>37</v>
      </c>
      <c r="G1327" s="47" t="s">
        <v>19</v>
      </c>
      <c r="H1327" s="47" t="s">
        <v>77</v>
      </c>
      <c r="I1327" s="47" t="s">
        <v>96</v>
      </c>
      <c r="J1327" s="47" t="s">
        <v>32</v>
      </c>
      <c r="K1327" s="59" t="s">
        <v>23</v>
      </c>
      <c r="L1327" s="59" t="s">
        <v>23</v>
      </c>
      <c r="M1327" s="47" t="s">
        <v>47</v>
      </c>
    </row>
    <row r="1328" customHeight="1" spans="1:13">
      <c r="A1328" s="47" t="s">
        <v>2438</v>
      </c>
      <c r="B1328" s="47" t="s">
        <v>2436</v>
      </c>
      <c r="C1328" s="47" t="s">
        <v>1892</v>
      </c>
      <c r="D1328" s="47" t="s">
        <v>107</v>
      </c>
      <c r="E1328" s="47" t="s">
        <v>57</v>
      </c>
      <c r="F1328" s="47" t="s">
        <v>51</v>
      </c>
      <c r="G1328" s="47" t="s">
        <v>38</v>
      </c>
      <c r="H1328" s="47" t="s">
        <v>58</v>
      </c>
      <c r="I1328" s="47" t="s">
        <v>1627</v>
      </c>
      <c r="J1328" s="47" t="s">
        <v>22</v>
      </c>
      <c r="K1328" s="47" t="s">
        <v>53</v>
      </c>
      <c r="L1328" s="59" t="s">
        <v>23</v>
      </c>
      <c r="M1328" s="47" t="s">
        <v>24</v>
      </c>
    </row>
    <row r="1329" customHeight="1" spans="1:13">
      <c r="A1329" s="47" t="s">
        <v>2439</v>
      </c>
      <c r="B1329" s="47" t="s">
        <v>2436</v>
      </c>
      <c r="C1329" s="47" t="s">
        <v>1056</v>
      </c>
      <c r="D1329" s="47" t="s">
        <v>43</v>
      </c>
      <c r="E1329" s="47" t="s">
        <v>44</v>
      </c>
      <c r="F1329" s="47" t="s">
        <v>45</v>
      </c>
      <c r="G1329" s="47" t="s">
        <v>38</v>
      </c>
      <c r="H1329" s="47" t="s">
        <v>46</v>
      </c>
      <c r="I1329" s="47" t="s">
        <v>46</v>
      </c>
      <c r="J1329" s="47" t="s">
        <v>22</v>
      </c>
      <c r="K1329" s="59" t="s">
        <v>23</v>
      </c>
      <c r="L1329" s="47" t="s">
        <v>65</v>
      </c>
      <c r="M1329" s="47" t="s">
        <v>47</v>
      </c>
    </row>
    <row r="1330" customHeight="1" spans="1:13">
      <c r="A1330" s="47" t="s">
        <v>2440</v>
      </c>
      <c r="B1330" s="47" t="s">
        <v>2436</v>
      </c>
      <c r="C1330" s="47" t="s">
        <v>1038</v>
      </c>
      <c r="D1330" s="47" t="s">
        <v>43</v>
      </c>
      <c r="E1330" s="47" t="s">
        <v>27</v>
      </c>
      <c r="F1330" s="47" t="s">
        <v>28</v>
      </c>
      <c r="G1330" s="47" t="s">
        <v>38</v>
      </c>
      <c r="H1330" s="47" t="s">
        <v>30</v>
      </c>
      <c r="I1330" s="47" t="s">
        <v>30</v>
      </c>
      <c r="J1330" s="47" t="s">
        <v>22</v>
      </c>
      <c r="K1330" s="59" t="s">
        <v>23</v>
      </c>
      <c r="L1330" s="59" t="s">
        <v>23</v>
      </c>
      <c r="M1330" s="47" t="s">
        <v>47</v>
      </c>
    </row>
    <row r="1331" customHeight="1" spans="1:13">
      <c r="A1331" s="47" t="s">
        <v>2441</v>
      </c>
      <c r="B1331" s="47" t="s">
        <v>2442</v>
      </c>
      <c r="C1331" s="47" t="s">
        <v>2443</v>
      </c>
      <c r="D1331" s="47" t="s">
        <v>71</v>
      </c>
      <c r="E1331" s="47" t="s">
        <v>103</v>
      </c>
      <c r="F1331" s="47" t="s">
        <v>37</v>
      </c>
      <c r="G1331" s="47" t="s">
        <v>19</v>
      </c>
      <c r="H1331" s="47" t="s">
        <v>77</v>
      </c>
      <c r="I1331" s="47" t="s">
        <v>96</v>
      </c>
      <c r="J1331" s="47" t="s">
        <v>22</v>
      </c>
      <c r="K1331" s="59" t="s">
        <v>23</v>
      </c>
      <c r="L1331" s="47" t="s">
        <v>65</v>
      </c>
      <c r="M1331" s="47" t="s">
        <v>40</v>
      </c>
    </row>
    <row r="1332" customHeight="1" spans="1:13">
      <c r="A1332" s="47" t="s">
        <v>2444</v>
      </c>
      <c r="B1332" s="47" t="s">
        <v>2442</v>
      </c>
      <c r="C1332" s="47" t="s">
        <v>2445</v>
      </c>
      <c r="D1332" s="47" t="s">
        <v>107</v>
      </c>
      <c r="E1332" s="47" t="s">
        <v>267</v>
      </c>
      <c r="F1332" s="47" t="s">
        <v>18</v>
      </c>
      <c r="G1332" s="47" t="s">
        <v>29</v>
      </c>
      <c r="H1332" s="47" t="s">
        <v>64</v>
      </c>
      <c r="I1332" s="47" t="s">
        <v>227</v>
      </c>
      <c r="J1332" s="47" t="s">
        <v>32</v>
      </c>
      <c r="K1332" s="47" t="s">
        <v>119</v>
      </c>
      <c r="L1332" s="59" t="s">
        <v>23</v>
      </c>
      <c r="M1332" s="47" t="s">
        <v>33</v>
      </c>
    </row>
    <row r="1333" customHeight="1" spans="1:13">
      <c r="A1333" s="47" t="s">
        <v>2446</v>
      </c>
      <c r="B1333" s="47" t="s">
        <v>2442</v>
      </c>
      <c r="C1333" s="47" t="s">
        <v>937</v>
      </c>
      <c r="D1333" s="47" t="s">
        <v>43</v>
      </c>
      <c r="E1333" s="47" t="s">
        <v>27</v>
      </c>
      <c r="F1333" s="47" t="s">
        <v>28</v>
      </c>
      <c r="G1333" s="47" t="s">
        <v>38</v>
      </c>
      <c r="H1333" s="59" t="s">
        <v>23</v>
      </c>
      <c r="I1333" s="47" t="s">
        <v>30</v>
      </c>
      <c r="J1333" s="47" t="s">
        <v>32</v>
      </c>
      <c r="K1333" s="59" t="s">
        <v>23</v>
      </c>
      <c r="L1333" s="59" t="s">
        <v>23</v>
      </c>
      <c r="M1333" s="47" t="s">
        <v>47</v>
      </c>
    </row>
    <row r="1334" customHeight="1" spans="1:13">
      <c r="A1334" s="47" t="s">
        <v>2447</v>
      </c>
      <c r="B1334" s="47" t="s">
        <v>2448</v>
      </c>
      <c r="C1334" s="47" t="s">
        <v>468</v>
      </c>
      <c r="D1334" s="47" t="s">
        <v>43</v>
      </c>
      <c r="E1334" s="47" t="s">
        <v>103</v>
      </c>
      <c r="F1334" s="47" t="s">
        <v>37</v>
      </c>
      <c r="G1334" s="47" t="s">
        <v>38</v>
      </c>
      <c r="H1334" s="47" t="s">
        <v>77</v>
      </c>
      <c r="I1334" s="47" t="s">
        <v>77</v>
      </c>
      <c r="J1334" s="47" t="s">
        <v>485</v>
      </c>
      <c r="K1334" s="59" t="s">
        <v>23</v>
      </c>
      <c r="L1334" s="47" t="s">
        <v>65</v>
      </c>
      <c r="M1334" s="47" t="s">
        <v>24</v>
      </c>
    </row>
    <row r="1335" customHeight="1" spans="1:13">
      <c r="A1335" s="47" t="s">
        <v>2449</v>
      </c>
      <c r="B1335" s="47" t="s">
        <v>2450</v>
      </c>
      <c r="C1335" s="47" t="s">
        <v>1011</v>
      </c>
      <c r="D1335" s="47" t="s">
        <v>43</v>
      </c>
      <c r="E1335" s="47" t="s">
        <v>103</v>
      </c>
      <c r="F1335" s="47" t="s">
        <v>37</v>
      </c>
      <c r="G1335" s="47" t="s">
        <v>38</v>
      </c>
      <c r="H1335" s="47" t="s">
        <v>77</v>
      </c>
      <c r="I1335" s="47" t="s">
        <v>77</v>
      </c>
      <c r="J1335" s="47" t="s">
        <v>32</v>
      </c>
      <c r="K1335" s="59" t="s">
        <v>23</v>
      </c>
      <c r="L1335" s="59" t="s">
        <v>23</v>
      </c>
      <c r="M1335" s="47" t="s">
        <v>157</v>
      </c>
    </row>
    <row r="1336" customHeight="1" spans="1:13">
      <c r="A1336" s="47" t="s">
        <v>2451</v>
      </c>
      <c r="B1336" s="47" t="s">
        <v>2442</v>
      </c>
      <c r="C1336" s="47" t="s">
        <v>335</v>
      </c>
      <c r="D1336" s="47" t="s">
        <v>16</v>
      </c>
      <c r="E1336" s="47" t="s">
        <v>146</v>
      </c>
      <c r="F1336" s="47" t="s">
        <v>28</v>
      </c>
      <c r="G1336" s="47" t="s">
        <v>19</v>
      </c>
      <c r="H1336" s="47" t="s">
        <v>147</v>
      </c>
      <c r="I1336" s="47" t="s">
        <v>474</v>
      </c>
      <c r="J1336" s="47" t="s">
        <v>32</v>
      </c>
      <c r="K1336" s="59" t="s">
        <v>23</v>
      </c>
      <c r="L1336" s="47" t="s">
        <v>29</v>
      </c>
      <c r="M1336" s="47" t="s">
        <v>40</v>
      </c>
    </row>
    <row r="1337" customHeight="1" spans="1:13">
      <c r="A1337" s="47" t="s">
        <v>2452</v>
      </c>
      <c r="B1337" s="47" t="s">
        <v>2453</v>
      </c>
      <c r="C1337" s="47" t="s">
        <v>983</v>
      </c>
      <c r="D1337" s="47" t="s">
        <v>107</v>
      </c>
      <c r="E1337" s="47" t="s">
        <v>17</v>
      </c>
      <c r="F1337" s="47" t="s">
        <v>18</v>
      </c>
      <c r="G1337" s="47" t="s">
        <v>38</v>
      </c>
      <c r="H1337" s="47" t="s">
        <v>20</v>
      </c>
      <c r="I1337" s="47" t="s">
        <v>20</v>
      </c>
      <c r="J1337" s="47" t="s">
        <v>22</v>
      </c>
      <c r="K1337" s="59" t="s">
        <v>23</v>
      </c>
      <c r="L1337" s="59" t="s">
        <v>23</v>
      </c>
      <c r="M1337" s="47" t="s">
        <v>33</v>
      </c>
    </row>
    <row r="1338" customHeight="1" spans="1:13">
      <c r="A1338" s="47" t="s">
        <v>2452</v>
      </c>
      <c r="B1338" s="47" t="s">
        <v>2453</v>
      </c>
      <c r="C1338" s="47" t="s">
        <v>983</v>
      </c>
      <c r="D1338" s="47" t="s">
        <v>107</v>
      </c>
      <c r="E1338" s="47" t="s">
        <v>17</v>
      </c>
      <c r="F1338" s="47" t="s">
        <v>18</v>
      </c>
      <c r="G1338" s="47" t="s">
        <v>38</v>
      </c>
      <c r="H1338" s="47" t="s">
        <v>20</v>
      </c>
      <c r="I1338" s="47" t="s">
        <v>20</v>
      </c>
      <c r="J1338" s="47" t="s">
        <v>753</v>
      </c>
      <c r="K1338" s="59" t="s">
        <v>23</v>
      </c>
      <c r="L1338" s="59" t="s">
        <v>23</v>
      </c>
      <c r="M1338" s="47" t="s">
        <v>33</v>
      </c>
    </row>
    <row r="1339" customHeight="1" spans="1:13">
      <c r="A1339" s="47" t="s">
        <v>2454</v>
      </c>
      <c r="B1339" s="47" t="s">
        <v>2453</v>
      </c>
      <c r="C1339" s="47" t="s">
        <v>794</v>
      </c>
      <c r="D1339" s="47" t="s">
        <v>107</v>
      </c>
      <c r="E1339" s="47" t="s">
        <v>341</v>
      </c>
      <c r="F1339" s="47" t="s">
        <v>28</v>
      </c>
      <c r="G1339" s="47" t="s">
        <v>38</v>
      </c>
      <c r="H1339" s="47" t="s">
        <v>147</v>
      </c>
      <c r="I1339" s="47" t="s">
        <v>147</v>
      </c>
      <c r="J1339" s="47" t="s">
        <v>22</v>
      </c>
      <c r="K1339" s="59" t="s">
        <v>23</v>
      </c>
      <c r="L1339" s="59" t="s">
        <v>23</v>
      </c>
      <c r="M1339" s="47" t="s">
        <v>24</v>
      </c>
    </row>
    <row r="1340" customHeight="1" spans="1:13">
      <c r="A1340" s="47" t="s">
        <v>2455</v>
      </c>
      <c r="B1340" s="47" t="s">
        <v>2453</v>
      </c>
      <c r="C1340" s="47" t="s">
        <v>727</v>
      </c>
      <c r="D1340" s="47" t="s">
        <v>16</v>
      </c>
      <c r="E1340" s="47" t="s">
        <v>81</v>
      </c>
      <c r="F1340" s="47" t="s">
        <v>37</v>
      </c>
      <c r="G1340" s="47" t="s">
        <v>38</v>
      </c>
      <c r="H1340" s="47" t="s">
        <v>82</v>
      </c>
      <c r="I1340" s="47" t="s">
        <v>312</v>
      </c>
      <c r="J1340" s="47" t="s">
        <v>753</v>
      </c>
      <c r="K1340" s="59" t="s">
        <v>23</v>
      </c>
      <c r="L1340" s="59" t="s">
        <v>23</v>
      </c>
      <c r="M1340" s="47" t="s">
        <v>73</v>
      </c>
    </row>
    <row r="1341" customHeight="1" spans="1:13">
      <c r="A1341" s="47" t="s">
        <v>2456</v>
      </c>
      <c r="B1341" s="47" t="s">
        <v>2453</v>
      </c>
      <c r="C1341" s="47" t="s">
        <v>879</v>
      </c>
      <c r="D1341" s="47" t="s">
        <v>16</v>
      </c>
      <c r="E1341" s="47" t="s">
        <v>95</v>
      </c>
      <c r="F1341" s="47" t="s">
        <v>45</v>
      </c>
      <c r="G1341" s="47" t="s">
        <v>38</v>
      </c>
      <c r="H1341" s="47" t="s">
        <v>77</v>
      </c>
      <c r="I1341" s="47" t="s">
        <v>77</v>
      </c>
      <c r="J1341" s="47" t="s">
        <v>32</v>
      </c>
      <c r="K1341" s="59" t="s">
        <v>23</v>
      </c>
      <c r="L1341" s="47" t="s">
        <v>29</v>
      </c>
      <c r="M1341" s="47" t="s">
        <v>73</v>
      </c>
    </row>
    <row r="1342" customHeight="1" spans="1:13">
      <c r="A1342" s="47" t="s">
        <v>2457</v>
      </c>
      <c r="B1342" s="47" t="s">
        <v>2453</v>
      </c>
      <c r="C1342" s="47" t="s">
        <v>1809</v>
      </c>
      <c r="D1342" s="47" t="s">
        <v>43</v>
      </c>
      <c r="E1342" s="47" t="s">
        <v>146</v>
      </c>
      <c r="F1342" s="47" t="s">
        <v>28</v>
      </c>
      <c r="G1342" s="47" t="s">
        <v>38</v>
      </c>
      <c r="H1342" s="47" t="s">
        <v>147</v>
      </c>
      <c r="I1342" s="47" t="s">
        <v>147</v>
      </c>
      <c r="J1342" s="47" t="s">
        <v>22</v>
      </c>
      <c r="K1342" s="59" t="s">
        <v>23</v>
      </c>
      <c r="L1342" s="59" t="s">
        <v>23</v>
      </c>
      <c r="M1342" s="47" t="s">
        <v>33</v>
      </c>
    </row>
    <row r="1343" customHeight="1" spans="1:13">
      <c r="A1343" s="47" t="s">
        <v>2458</v>
      </c>
      <c r="B1343" s="47" t="s">
        <v>2453</v>
      </c>
      <c r="C1343" s="47" t="s">
        <v>389</v>
      </c>
      <c r="D1343" s="47" t="s">
        <v>16</v>
      </c>
      <c r="E1343" s="47" t="s">
        <v>36</v>
      </c>
      <c r="F1343" s="47" t="s">
        <v>37</v>
      </c>
      <c r="G1343" s="47" t="s">
        <v>19</v>
      </c>
      <c r="H1343" s="47" t="s">
        <v>39</v>
      </c>
      <c r="I1343" s="47" t="s">
        <v>82</v>
      </c>
      <c r="J1343" s="47" t="s">
        <v>22</v>
      </c>
      <c r="K1343" s="59" t="s">
        <v>23</v>
      </c>
      <c r="L1343" s="59" t="s">
        <v>23</v>
      </c>
      <c r="M1343" s="47" t="s">
        <v>73</v>
      </c>
    </row>
    <row r="1344" customHeight="1" spans="1:13">
      <c r="A1344" s="47" t="s">
        <v>2459</v>
      </c>
      <c r="B1344" s="47" t="s">
        <v>2453</v>
      </c>
      <c r="C1344" s="47" t="s">
        <v>1774</v>
      </c>
      <c r="D1344" s="47" t="s">
        <v>1369</v>
      </c>
      <c r="E1344" s="47" t="s">
        <v>165</v>
      </c>
      <c r="F1344" s="47" t="s">
        <v>109</v>
      </c>
      <c r="G1344" s="47" t="s">
        <v>38</v>
      </c>
      <c r="H1344" s="47" t="s">
        <v>82</v>
      </c>
      <c r="I1344" s="47" t="s">
        <v>82</v>
      </c>
      <c r="J1344" s="47" t="s">
        <v>22</v>
      </c>
      <c r="K1344" s="59" t="s">
        <v>23</v>
      </c>
      <c r="L1344" s="59" t="s">
        <v>23</v>
      </c>
      <c r="M1344" s="47" t="s">
        <v>24</v>
      </c>
    </row>
    <row r="1345" customHeight="1" spans="1:13">
      <c r="A1345" s="47" t="s">
        <v>2460</v>
      </c>
      <c r="B1345" s="47" t="s">
        <v>2461</v>
      </c>
      <c r="C1345" s="47" t="s">
        <v>625</v>
      </c>
      <c r="D1345" s="47" t="s">
        <v>107</v>
      </c>
      <c r="E1345" s="47" t="s">
        <v>50</v>
      </c>
      <c r="F1345" s="47" t="s">
        <v>28</v>
      </c>
      <c r="G1345" s="47" t="s">
        <v>19</v>
      </c>
      <c r="H1345" s="47" t="s">
        <v>52</v>
      </c>
      <c r="I1345" s="47" t="s">
        <v>425</v>
      </c>
      <c r="J1345" s="47" t="s">
        <v>32</v>
      </c>
      <c r="K1345" s="59" t="s">
        <v>23</v>
      </c>
      <c r="L1345" s="59" t="s">
        <v>23</v>
      </c>
      <c r="M1345" s="47" t="s">
        <v>24</v>
      </c>
    </row>
    <row r="1346" customHeight="1" spans="1:13">
      <c r="A1346" s="47" t="s">
        <v>2462</v>
      </c>
      <c r="B1346" s="47" t="s">
        <v>2461</v>
      </c>
      <c r="C1346" s="47" t="s">
        <v>1183</v>
      </c>
      <c r="D1346" s="47" t="s">
        <v>107</v>
      </c>
      <c r="E1346" s="47" t="s">
        <v>17</v>
      </c>
      <c r="F1346" s="47" t="s">
        <v>18</v>
      </c>
      <c r="G1346" s="47" t="s">
        <v>38</v>
      </c>
      <c r="H1346" s="47" t="s">
        <v>20</v>
      </c>
      <c r="I1346" s="47" t="s">
        <v>20</v>
      </c>
      <c r="J1346" s="47" t="s">
        <v>22</v>
      </c>
      <c r="K1346" s="59" t="s">
        <v>23</v>
      </c>
      <c r="L1346" s="59" t="s">
        <v>23</v>
      </c>
      <c r="M1346" s="47" t="s">
        <v>99</v>
      </c>
    </row>
    <row r="1347" customHeight="1" spans="1:13">
      <c r="A1347" s="47" t="s">
        <v>2463</v>
      </c>
      <c r="B1347" s="47" t="s">
        <v>2461</v>
      </c>
      <c r="C1347" s="47" t="s">
        <v>2090</v>
      </c>
      <c r="D1347" s="47" t="s">
        <v>16</v>
      </c>
      <c r="E1347" s="47" t="s">
        <v>1244</v>
      </c>
      <c r="F1347" s="47" t="s">
        <v>28</v>
      </c>
      <c r="G1347" s="47" t="s">
        <v>38</v>
      </c>
      <c r="H1347" s="47" t="s">
        <v>52</v>
      </c>
      <c r="I1347" s="47" t="s">
        <v>52</v>
      </c>
      <c r="J1347" s="47" t="s">
        <v>32</v>
      </c>
      <c r="K1347" s="59" t="s">
        <v>23</v>
      </c>
      <c r="L1347" s="59" t="s">
        <v>23</v>
      </c>
      <c r="M1347" s="47" t="s">
        <v>24</v>
      </c>
    </row>
    <row r="1348" customHeight="1" spans="1:13">
      <c r="A1348" s="47" t="s">
        <v>2464</v>
      </c>
      <c r="B1348" s="47" t="s">
        <v>2461</v>
      </c>
      <c r="C1348" s="47" t="s">
        <v>2162</v>
      </c>
      <c r="D1348" s="47" t="s">
        <v>134</v>
      </c>
      <c r="E1348" s="47" t="s">
        <v>647</v>
      </c>
      <c r="F1348" s="47" t="s">
        <v>45</v>
      </c>
      <c r="G1348" s="47" t="s">
        <v>38</v>
      </c>
      <c r="H1348" s="47" t="s">
        <v>227</v>
      </c>
      <c r="I1348" s="47" t="s">
        <v>1498</v>
      </c>
      <c r="J1348" s="47" t="s">
        <v>127</v>
      </c>
      <c r="K1348" s="47" t="s">
        <v>53</v>
      </c>
      <c r="L1348" s="47" t="s">
        <v>29</v>
      </c>
      <c r="M1348" s="47" t="s">
        <v>40</v>
      </c>
    </row>
    <row r="1349" customHeight="1" spans="1:13">
      <c r="A1349" s="47" t="s">
        <v>2465</v>
      </c>
      <c r="B1349" s="47" t="s">
        <v>2461</v>
      </c>
      <c r="C1349" s="47" t="s">
        <v>2466</v>
      </c>
      <c r="D1349" s="47" t="s">
        <v>107</v>
      </c>
      <c r="E1349" s="47" t="s">
        <v>57</v>
      </c>
      <c r="F1349" s="47" t="s">
        <v>28</v>
      </c>
      <c r="G1349" s="47" t="s">
        <v>19</v>
      </c>
      <c r="H1349" s="47" t="s">
        <v>58</v>
      </c>
      <c r="I1349" s="47" t="s">
        <v>140</v>
      </c>
      <c r="J1349" s="47" t="s">
        <v>32</v>
      </c>
      <c r="K1349" s="47" t="s">
        <v>53</v>
      </c>
      <c r="L1349" s="59" t="s">
        <v>23</v>
      </c>
      <c r="M1349" s="47" t="s">
        <v>33</v>
      </c>
    </row>
    <row r="1350" customHeight="1" spans="1:13">
      <c r="A1350" s="47" t="s">
        <v>2467</v>
      </c>
      <c r="B1350" s="47" t="s">
        <v>2461</v>
      </c>
      <c r="C1350" s="47" t="s">
        <v>1048</v>
      </c>
      <c r="D1350" s="47" t="s">
        <v>107</v>
      </c>
      <c r="E1350" s="47" t="s">
        <v>44</v>
      </c>
      <c r="F1350" s="47" t="s">
        <v>45</v>
      </c>
      <c r="G1350" s="47" t="s">
        <v>38</v>
      </c>
      <c r="H1350" s="47" t="s">
        <v>46</v>
      </c>
      <c r="I1350" s="47" t="s">
        <v>46</v>
      </c>
      <c r="J1350" s="47" t="s">
        <v>32</v>
      </c>
      <c r="K1350" s="59" t="s">
        <v>23</v>
      </c>
      <c r="L1350" s="59" t="s">
        <v>23</v>
      </c>
      <c r="M1350" s="47" t="s">
        <v>40</v>
      </c>
    </row>
    <row r="1351" customHeight="1" spans="1:13">
      <c r="A1351" s="47" t="s">
        <v>2468</v>
      </c>
      <c r="B1351" s="47" t="s">
        <v>2461</v>
      </c>
      <c r="C1351" s="47" t="s">
        <v>1895</v>
      </c>
      <c r="D1351" s="47" t="s">
        <v>207</v>
      </c>
      <c r="E1351" s="47" t="s">
        <v>647</v>
      </c>
      <c r="F1351" s="47" t="s">
        <v>45</v>
      </c>
      <c r="G1351" s="47" t="s">
        <v>38</v>
      </c>
      <c r="H1351" s="47" t="s">
        <v>227</v>
      </c>
      <c r="I1351" s="47" t="s">
        <v>227</v>
      </c>
      <c r="J1351" s="47" t="s">
        <v>32</v>
      </c>
      <c r="K1351" s="47" t="s">
        <v>53</v>
      </c>
      <c r="L1351" s="47" t="s">
        <v>29</v>
      </c>
      <c r="M1351" s="47" t="s">
        <v>40</v>
      </c>
    </row>
    <row r="1352" customHeight="1" spans="1:13">
      <c r="A1352" s="47" t="s">
        <v>2469</v>
      </c>
      <c r="B1352" s="47" t="s">
        <v>2461</v>
      </c>
      <c r="C1352" s="47" t="s">
        <v>465</v>
      </c>
      <c r="D1352" s="47" t="s">
        <v>43</v>
      </c>
      <c r="E1352" s="47" t="s">
        <v>50</v>
      </c>
      <c r="F1352" s="47" t="s">
        <v>28</v>
      </c>
      <c r="G1352" s="47" t="s">
        <v>38</v>
      </c>
      <c r="H1352" s="47" t="s">
        <v>52</v>
      </c>
      <c r="I1352" s="47" t="s">
        <v>52</v>
      </c>
      <c r="J1352" s="47" t="s">
        <v>22</v>
      </c>
      <c r="K1352" s="59" t="s">
        <v>23</v>
      </c>
      <c r="L1352" s="59" t="s">
        <v>23</v>
      </c>
      <c r="M1352" s="47" t="s">
        <v>73</v>
      </c>
    </row>
    <row r="1353" customHeight="1" spans="1:13">
      <c r="A1353" s="47" t="s">
        <v>2470</v>
      </c>
      <c r="B1353" s="47" t="s">
        <v>2471</v>
      </c>
      <c r="C1353" s="47" t="s">
        <v>637</v>
      </c>
      <c r="D1353" s="47" t="s">
        <v>43</v>
      </c>
      <c r="E1353" s="47" t="s">
        <v>36</v>
      </c>
      <c r="F1353" s="47" t="s">
        <v>37</v>
      </c>
      <c r="G1353" s="47" t="s">
        <v>19</v>
      </c>
      <c r="H1353" s="47" t="s">
        <v>1423</v>
      </c>
      <c r="I1353" s="47" t="s">
        <v>82</v>
      </c>
      <c r="J1353" s="47" t="s">
        <v>22</v>
      </c>
      <c r="K1353" s="59" t="s">
        <v>23</v>
      </c>
      <c r="L1353" s="59" t="s">
        <v>23</v>
      </c>
      <c r="M1353" s="47" t="s">
        <v>33</v>
      </c>
    </row>
    <row r="1354" customHeight="1" spans="1:13">
      <c r="A1354" s="47" t="s">
        <v>2472</v>
      </c>
      <c r="B1354" s="47" t="s">
        <v>2461</v>
      </c>
      <c r="C1354" s="47" t="s">
        <v>646</v>
      </c>
      <c r="D1354" s="47" t="s">
        <v>43</v>
      </c>
      <c r="E1354" s="47" t="s">
        <v>57</v>
      </c>
      <c r="F1354" s="47" t="s">
        <v>28</v>
      </c>
      <c r="G1354" s="47" t="s">
        <v>38</v>
      </c>
      <c r="H1354" s="47" t="s">
        <v>58</v>
      </c>
      <c r="I1354" s="47" t="s">
        <v>58</v>
      </c>
      <c r="J1354" s="47" t="s">
        <v>22</v>
      </c>
      <c r="K1354" s="59" t="s">
        <v>23</v>
      </c>
      <c r="L1354" s="59" t="s">
        <v>23</v>
      </c>
      <c r="M1354" s="47" t="s">
        <v>73</v>
      </c>
    </row>
    <row r="1355" customHeight="1" spans="1:13">
      <c r="A1355" s="47" t="s">
        <v>2473</v>
      </c>
      <c r="B1355" s="47" t="s">
        <v>2461</v>
      </c>
      <c r="C1355" s="47" t="s">
        <v>1042</v>
      </c>
      <c r="D1355" s="47" t="s">
        <v>107</v>
      </c>
      <c r="E1355" s="47" t="s">
        <v>103</v>
      </c>
      <c r="F1355" s="47" t="s">
        <v>37</v>
      </c>
      <c r="G1355" s="47" t="s">
        <v>29</v>
      </c>
      <c r="H1355" s="47" t="s">
        <v>77</v>
      </c>
      <c r="I1355" s="47" t="s">
        <v>30</v>
      </c>
      <c r="J1355" s="47" t="s">
        <v>22</v>
      </c>
      <c r="K1355" s="59" t="s">
        <v>23</v>
      </c>
      <c r="L1355" s="59" t="s">
        <v>23</v>
      </c>
      <c r="M1355" s="47" t="s">
        <v>220</v>
      </c>
    </row>
    <row r="1356" customHeight="1" spans="1:13">
      <c r="A1356" s="47" t="s">
        <v>2474</v>
      </c>
      <c r="B1356" s="47" t="s">
        <v>2461</v>
      </c>
      <c r="C1356" s="47" t="s">
        <v>2141</v>
      </c>
      <c r="D1356" s="47" t="s">
        <v>16</v>
      </c>
      <c r="E1356" s="47" t="s">
        <v>27</v>
      </c>
      <c r="F1356" s="47" t="s">
        <v>28</v>
      </c>
      <c r="G1356" s="47" t="s">
        <v>38</v>
      </c>
      <c r="H1356" s="47" t="s">
        <v>2475</v>
      </c>
      <c r="I1356" s="47" t="s">
        <v>30</v>
      </c>
      <c r="J1356" s="47" t="s">
        <v>715</v>
      </c>
      <c r="K1356" s="59" t="s">
        <v>23</v>
      </c>
      <c r="L1356" s="47" t="s">
        <v>54</v>
      </c>
      <c r="M1356" s="47" t="s">
        <v>40</v>
      </c>
    </row>
    <row r="1357" customHeight="1" spans="1:13">
      <c r="A1357" s="47" t="s">
        <v>2476</v>
      </c>
      <c r="B1357" s="47" t="s">
        <v>2461</v>
      </c>
      <c r="C1357" s="47" t="s">
        <v>2477</v>
      </c>
      <c r="D1357" s="47" t="s">
        <v>16</v>
      </c>
      <c r="E1357" s="47" t="s">
        <v>36</v>
      </c>
      <c r="F1357" s="47" t="s">
        <v>37</v>
      </c>
      <c r="G1357" s="47" t="s">
        <v>19</v>
      </c>
      <c r="H1357" s="47" t="s">
        <v>399</v>
      </c>
      <c r="I1357" s="47" t="s">
        <v>82</v>
      </c>
      <c r="J1357" s="47" t="s">
        <v>22</v>
      </c>
      <c r="K1357" s="59" t="s">
        <v>23</v>
      </c>
      <c r="L1357" s="59" t="s">
        <v>23</v>
      </c>
      <c r="M1357" s="47" t="s">
        <v>40</v>
      </c>
    </row>
    <row r="1358" customHeight="1" spans="1:13">
      <c r="A1358" s="47" t="s">
        <v>2478</v>
      </c>
      <c r="B1358" s="47" t="s">
        <v>2461</v>
      </c>
      <c r="C1358" s="47" t="s">
        <v>553</v>
      </c>
      <c r="D1358" s="47" t="s">
        <v>43</v>
      </c>
      <c r="E1358" s="47" t="s">
        <v>199</v>
      </c>
      <c r="F1358" s="47" t="s">
        <v>18</v>
      </c>
      <c r="G1358" s="47" t="s">
        <v>38</v>
      </c>
      <c r="H1358" s="47" t="s">
        <v>39</v>
      </c>
      <c r="I1358" s="59" t="s">
        <v>23</v>
      </c>
      <c r="J1358" s="47" t="s">
        <v>22</v>
      </c>
      <c r="K1358" s="59" t="s">
        <v>23</v>
      </c>
      <c r="L1358" s="59" t="s">
        <v>23</v>
      </c>
      <c r="M1358" s="47" t="s">
        <v>24</v>
      </c>
    </row>
    <row r="1359" customHeight="1" spans="1:13">
      <c r="A1359" s="47" t="s">
        <v>2479</v>
      </c>
      <c r="B1359" s="47" t="s">
        <v>2480</v>
      </c>
      <c r="C1359" s="47" t="s">
        <v>899</v>
      </c>
      <c r="D1359" s="47" t="s">
        <v>43</v>
      </c>
      <c r="E1359" s="47" t="s">
        <v>103</v>
      </c>
      <c r="F1359" s="47" t="s">
        <v>37</v>
      </c>
      <c r="G1359" s="47" t="s">
        <v>38</v>
      </c>
      <c r="H1359" s="47" t="s">
        <v>77</v>
      </c>
      <c r="I1359" s="47" t="s">
        <v>77</v>
      </c>
      <c r="J1359" s="47" t="s">
        <v>22</v>
      </c>
      <c r="K1359" s="47" t="s">
        <v>53</v>
      </c>
      <c r="L1359" s="59" t="s">
        <v>23</v>
      </c>
      <c r="M1359" s="47" t="s">
        <v>33</v>
      </c>
    </row>
    <row r="1360" customHeight="1" spans="1:13">
      <c r="A1360" s="47" t="s">
        <v>2481</v>
      </c>
      <c r="B1360" s="47" t="s">
        <v>2480</v>
      </c>
      <c r="C1360" s="47" t="s">
        <v>1242</v>
      </c>
      <c r="D1360" s="47" t="s">
        <v>43</v>
      </c>
      <c r="E1360" s="47" t="s">
        <v>36</v>
      </c>
      <c r="F1360" s="47" t="s">
        <v>37</v>
      </c>
      <c r="G1360" s="47" t="s">
        <v>38</v>
      </c>
      <c r="H1360" s="59" t="s">
        <v>23</v>
      </c>
      <c r="I1360" s="47" t="s">
        <v>332</v>
      </c>
      <c r="J1360" s="47" t="s">
        <v>32</v>
      </c>
      <c r="K1360" s="47" t="s">
        <v>53</v>
      </c>
      <c r="L1360" s="59" t="s">
        <v>23</v>
      </c>
      <c r="M1360" s="47" t="s">
        <v>73</v>
      </c>
    </row>
    <row r="1361" customHeight="1" spans="1:13">
      <c r="A1361" s="47" t="s">
        <v>2482</v>
      </c>
      <c r="B1361" s="47" t="s">
        <v>2480</v>
      </c>
      <c r="C1361" s="47" t="s">
        <v>2483</v>
      </c>
      <c r="D1361" s="47" t="s">
        <v>107</v>
      </c>
      <c r="E1361" s="47" t="s">
        <v>647</v>
      </c>
      <c r="F1361" s="47" t="s">
        <v>45</v>
      </c>
      <c r="G1361" s="47" t="s">
        <v>38</v>
      </c>
      <c r="H1361" s="47" t="s">
        <v>227</v>
      </c>
      <c r="I1361" s="47" t="s">
        <v>227</v>
      </c>
      <c r="J1361" s="47" t="s">
        <v>32</v>
      </c>
      <c r="K1361" s="59" t="s">
        <v>23</v>
      </c>
      <c r="L1361" s="47" t="s">
        <v>19</v>
      </c>
      <c r="M1361" s="47" t="s">
        <v>73</v>
      </c>
    </row>
    <row r="1362" customHeight="1" spans="1:13">
      <c r="A1362" s="47" t="s">
        <v>2484</v>
      </c>
      <c r="B1362" s="47" t="s">
        <v>2485</v>
      </c>
      <c r="C1362" s="47" t="s">
        <v>1299</v>
      </c>
      <c r="D1362" s="47" t="s">
        <v>107</v>
      </c>
      <c r="E1362" s="47" t="s">
        <v>95</v>
      </c>
      <c r="F1362" s="47" t="s">
        <v>45</v>
      </c>
      <c r="G1362" s="47" t="s">
        <v>38</v>
      </c>
      <c r="H1362" s="47" t="s">
        <v>77</v>
      </c>
      <c r="I1362" s="47" t="s">
        <v>1849</v>
      </c>
      <c r="J1362" s="47" t="s">
        <v>68</v>
      </c>
      <c r="K1362" s="59" t="s">
        <v>23</v>
      </c>
      <c r="L1362" s="59" t="s">
        <v>23</v>
      </c>
      <c r="M1362" s="47" t="s">
        <v>40</v>
      </c>
    </row>
    <row r="1363" customHeight="1" spans="1:13">
      <c r="A1363" s="47" t="s">
        <v>2486</v>
      </c>
      <c r="B1363" s="47" t="s">
        <v>2480</v>
      </c>
      <c r="C1363" s="47" t="s">
        <v>26</v>
      </c>
      <c r="D1363" s="47" t="s">
        <v>207</v>
      </c>
      <c r="E1363" s="47" t="s">
        <v>63</v>
      </c>
      <c r="F1363" s="47" t="s">
        <v>18</v>
      </c>
      <c r="G1363" s="47" t="s">
        <v>38</v>
      </c>
      <c r="H1363" s="47" t="s">
        <v>64</v>
      </c>
      <c r="I1363" s="47" t="s">
        <v>64</v>
      </c>
      <c r="J1363" s="47" t="s">
        <v>22</v>
      </c>
      <c r="K1363" s="59" t="s">
        <v>23</v>
      </c>
      <c r="L1363" s="59" t="s">
        <v>23</v>
      </c>
      <c r="M1363" s="47" t="s">
        <v>24</v>
      </c>
    </row>
    <row r="1364" customHeight="1" spans="1:13">
      <c r="A1364" s="47" t="s">
        <v>2487</v>
      </c>
      <c r="B1364" s="47" t="s">
        <v>2480</v>
      </c>
      <c r="C1364" s="47" t="s">
        <v>250</v>
      </c>
      <c r="D1364" s="47" t="s">
        <v>43</v>
      </c>
      <c r="E1364" s="47" t="s">
        <v>44</v>
      </c>
      <c r="F1364" s="47" t="s">
        <v>45</v>
      </c>
      <c r="G1364" s="47" t="s">
        <v>38</v>
      </c>
      <c r="H1364" s="47" t="s">
        <v>46</v>
      </c>
      <c r="I1364" s="47" t="s">
        <v>2488</v>
      </c>
      <c r="J1364" s="47" t="s">
        <v>22</v>
      </c>
      <c r="K1364" s="47" t="s">
        <v>119</v>
      </c>
      <c r="L1364" s="59" t="s">
        <v>23</v>
      </c>
      <c r="M1364" s="47" t="s">
        <v>40</v>
      </c>
    </row>
    <row r="1365" customHeight="1" spans="1:13">
      <c r="A1365" s="47" t="s">
        <v>2487</v>
      </c>
      <c r="B1365" s="47" t="s">
        <v>2480</v>
      </c>
      <c r="C1365" s="47" t="s">
        <v>250</v>
      </c>
      <c r="D1365" s="47" t="s">
        <v>43</v>
      </c>
      <c r="E1365" s="47" t="s">
        <v>1257</v>
      </c>
      <c r="F1365" s="47" t="s">
        <v>45</v>
      </c>
      <c r="G1365" s="47" t="s">
        <v>38</v>
      </c>
      <c r="H1365" s="47" t="s">
        <v>46</v>
      </c>
      <c r="I1365" s="47" t="s">
        <v>46</v>
      </c>
      <c r="J1365" s="47" t="s">
        <v>22</v>
      </c>
      <c r="K1365" s="47" t="s">
        <v>119</v>
      </c>
      <c r="L1365" s="59" t="s">
        <v>23</v>
      </c>
      <c r="M1365" s="47" t="s">
        <v>40</v>
      </c>
    </row>
    <row r="1366" customHeight="1" spans="1:13">
      <c r="A1366" s="47" t="s">
        <v>2489</v>
      </c>
      <c r="B1366" s="47" t="s">
        <v>2480</v>
      </c>
      <c r="C1366" s="47" t="s">
        <v>1415</v>
      </c>
      <c r="D1366" s="47" t="s">
        <v>16</v>
      </c>
      <c r="E1366" s="47" t="s">
        <v>367</v>
      </c>
      <c r="F1366" s="47" t="s">
        <v>109</v>
      </c>
      <c r="G1366" s="47" t="s">
        <v>19</v>
      </c>
      <c r="H1366" s="47" t="s">
        <v>110</v>
      </c>
      <c r="I1366" s="47" t="s">
        <v>357</v>
      </c>
      <c r="J1366" s="47" t="s">
        <v>22</v>
      </c>
      <c r="K1366" s="59" t="s">
        <v>23</v>
      </c>
      <c r="L1366" s="47" t="s">
        <v>54</v>
      </c>
      <c r="M1366" s="47" t="s">
        <v>47</v>
      </c>
    </row>
    <row r="1367" customHeight="1" spans="1:13">
      <c r="A1367" s="47" t="s">
        <v>2490</v>
      </c>
      <c r="B1367" s="47" t="s">
        <v>2485</v>
      </c>
      <c r="C1367" s="47" t="s">
        <v>285</v>
      </c>
      <c r="D1367" s="47" t="s">
        <v>43</v>
      </c>
      <c r="E1367" s="47" t="s">
        <v>1082</v>
      </c>
      <c r="F1367" s="47" t="s">
        <v>28</v>
      </c>
      <c r="G1367" s="47" t="s">
        <v>38</v>
      </c>
      <c r="H1367" s="47" t="s">
        <v>30</v>
      </c>
      <c r="I1367" s="47" t="s">
        <v>30</v>
      </c>
      <c r="J1367" s="47" t="s">
        <v>32</v>
      </c>
      <c r="K1367" s="59" t="s">
        <v>23</v>
      </c>
      <c r="L1367" s="59" t="s">
        <v>23</v>
      </c>
      <c r="M1367" s="47" t="s">
        <v>24</v>
      </c>
    </row>
    <row r="1368" customHeight="1" spans="1:13">
      <c r="A1368" s="47" t="s">
        <v>2491</v>
      </c>
      <c r="B1368" s="47" t="s">
        <v>2480</v>
      </c>
      <c r="C1368" s="47" t="s">
        <v>2492</v>
      </c>
      <c r="D1368" s="47" t="s">
        <v>234</v>
      </c>
      <c r="E1368" s="47" t="s">
        <v>27</v>
      </c>
      <c r="F1368" s="59" t="s">
        <v>23</v>
      </c>
      <c r="G1368" s="47" t="s">
        <v>38</v>
      </c>
      <c r="H1368" s="47" t="s">
        <v>30</v>
      </c>
      <c r="I1368" s="47" t="s">
        <v>30</v>
      </c>
      <c r="J1368" s="47" t="s">
        <v>32</v>
      </c>
      <c r="K1368" s="59" t="s">
        <v>23</v>
      </c>
      <c r="L1368" s="59" t="s">
        <v>23</v>
      </c>
      <c r="M1368" s="47" t="s">
        <v>40</v>
      </c>
    </row>
    <row r="1369" customHeight="1" spans="1:13">
      <c r="A1369" s="47" t="s">
        <v>2493</v>
      </c>
      <c r="B1369" s="47" t="s">
        <v>2480</v>
      </c>
      <c r="C1369" s="47" t="s">
        <v>1555</v>
      </c>
      <c r="D1369" s="47" t="s">
        <v>16</v>
      </c>
      <c r="E1369" s="47" t="s">
        <v>81</v>
      </c>
      <c r="F1369" s="47" t="s">
        <v>37</v>
      </c>
      <c r="G1369" s="47" t="s">
        <v>38</v>
      </c>
      <c r="H1369" s="47" t="s">
        <v>82</v>
      </c>
      <c r="I1369" s="47" t="s">
        <v>82</v>
      </c>
      <c r="J1369" s="47" t="s">
        <v>32</v>
      </c>
      <c r="K1369" s="59" t="s">
        <v>23</v>
      </c>
      <c r="L1369" s="59" t="s">
        <v>23</v>
      </c>
      <c r="M1369" s="47" t="s">
        <v>320</v>
      </c>
    </row>
    <row r="1370" customHeight="1" spans="1:13">
      <c r="A1370" s="47" t="s">
        <v>2494</v>
      </c>
      <c r="B1370" s="47" t="s">
        <v>2485</v>
      </c>
      <c r="C1370" s="47" t="s">
        <v>206</v>
      </c>
      <c r="D1370" s="47" t="s">
        <v>43</v>
      </c>
      <c r="E1370" s="47" t="s">
        <v>81</v>
      </c>
      <c r="F1370" s="47" t="s">
        <v>37</v>
      </c>
      <c r="G1370" s="47" t="s">
        <v>38</v>
      </c>
      <c r="H1370" s="47" t="s">
        <v>82</v>
      </c>
      <c r="I1370" s="47" t="s">
        <v>82</v>
      </c>
      <c r="J1370" s="47" t="s">
        <v>68</v>
      </c>
      <c r="K1370" s="59" t="s">
        <v>23</v>
      </c>
      <c r="L1370" s="59" t="s">
        <v>23</v>
      </c>
      <c r="M1370" s="47" t="s">
        <v>40</v>
      </c>
    </row>
    <row r="1371" customHeight="1" spans="1:13">
      <c r="A1371" s="47" t="s">
        <v>2495</v>
      </c>
      <c r="B1371" s="47" t="s">
        <v>2480</v>
      </c>
      <c r="C1371" s="47" t="s">
        <v>471</v>
      </c>
      <c r="D1371" s="47" t="s">
        <v>43</v>
      </c>
      <c r="E1371" s="47" t="s">
        <v>57</v>
      </c>
      <c r="F1371" s="47" t="s">
        <v>28</v>
      </c>
      <c r="G1371" s="47" t="s">
        <v>38</v>
      </c>
      <c r="H1371" s="47" t="s">
        <v>58</v>
      </c>
      <c r="I1371" s="47" t="s">
        <v>58</v>
      </c>
      <c r="J1371" s="47" t="s">
        <v>32</v>
      </c>
      <c r="K1371" s="59" t="s">
        <v>23</v>
      </c>
      <c r="L1371" s="47" t="s">
        <v>65</v>
      </c>
      <c r="M1371" s="47" t="s">
        <v>33</v>
      </c>
    </row>
    <row r="1372" customHeight="1" spans="1:13">
      <c r="A1372" s="47" t="s">
        <v>2496</v>
      </c>
      <c r="B1372" s="47" t="s">
        <v>2480</v>
      </c>
      <c r="C1372" s="47" t="s">
        <v>1772</v>
      </c>
      <c r="D1372" s="47" t="s">
        <v>1032</v>
      </c>
      <c r="E1372" s="47" t="s">
        <v>57</v>
      </c>
      <c r="F1372" s="47" t="s">
        <v>28</v>
      </c>
      <c r="G1372" s="47" t="s">
        <v>38</v>
      </c>
      <c r="H1372" s="47" t="s">
        <v>58</v>
      </c>
      <c r="I1372" s="47" t="s">
        <v>1627</v>
      </c>
      <c r="J1372" s="47" t="s">
        <v>32</v>
      </c>
      <c r="K1372" s="47" t="s">
        <v>53</v>
      </c>
      <c r="L1372" s="59" t="s">
        <v>23</v>
      </c>
      <c r="M1372" s="47" t="s">
        <v>24</v>
      </c>
    </row>
    <row r="1373" customHeight="1" spans="1:13">
      <c r="A1373" s="47" t="s">
        <v>2497</v>
      </c>
      <c r="B1373" s="47" t="s">
        <v>2480</v>
      </c>
      <c r="C1373" s="47" t="s">
        <v>56</v>
      </c>
      <c r="D1373" s="47" t="s">
        <v>16</v>
      </c>
      <c r="E1373" s="47" t="s">
        <v>81</v>
      </c>
      <c r="F1373" s="47" t="s">
        <v>37</v>
      </c>
      <c r="G1373" s="47" t="s">
        <v>38</v>
      </c>
      <c r="H1373" s="47" t="s">
        <v>82</v>
      </c>
      <c r="I1373" s="47" t="s">
        <v>1148</v>
      </c>
      <c r="J1373" s="47" t="s">
        <v>22</v>
      </c>
      <c r="K1373" s="47" t="s">
        <v>53</v>
      </c>
      <c r="L1373" s="59" t="s">
        <v>23</v>
      </c>
      <c r="M1373" s="47" t="s">
        <v>40</v>
      </c>
    </row>
    <row r="1374" customHeight="1" spans="1:13">
      <c r="A1374" s="47" t="s">
        <v>2498</v>
      </c>
      <c r="B1374" s="47" t="s">
        <v>2480</v>
      </c>
      <c r="C1374" s="47" t="s">
        <v>56</v>
      </c>
      <c r="D1374" s="47" t="s">
        <v>43</v>
      </c>
      <c r="E1374" s="47" t="s">
        <v>81</v>
      </c>
      <c r="F1374" s="47" t="s">
        <v>37</v>
      </c>
      <c r="G1374" s="47" t="s">
        <v>19</v>
      </c>
      <c r="H1374" s="47" t="s">
        <v>82</v>
      </c>
      <c r="I1374" s="47" t="s">
        <v>184</v>
      </c>
      <c r="J1374" s="47" t="s">
        <v>32</v>
      </c>
      <c r="K1374" s="59" t="s">
        <v>23</v>
      </c>
      <c r="L1374" s="59" t="s">
        <v>23</v>
      </c>
      <c r="M1374" s="47" t="s">
        <v>24</v>
      </c>
    </row>
    <row r="1375" customHeight="1" spans="1:13">
      <c r="A1375" s="47" t="s">
        <v>2499</v>
      </c>
      <c r="B1375" s="47" t="s">
        <v>2480</v>
      </c>
      <c r="C1375" s="47" t="s">
        <v>297</v>
      </c>
      <c r="D1375" s="47" t="s">
        <v>43</v>
      </c>
      <c r="E1375" s="47" t="s">
        <v>57</v>
      </c>
      <c r="F1375" s="47" t="s">
        <v>28</v>
      </c>
      <c r="G1375" s="47" t="s">
        <v>19</v>
      </c>
      <c r="H1375" s="47" t="s">
        <v>58</v>
      </c>
      <c r="I1375" s="47" t="s">
        <v>140</v>
      </c>
      <c r="J1375" s="47" t="s">
        <v>22</v>
      </c>
      <c r="K1375" s="59" t="s">
        <v>23</v>
      </c>
      <c r="L1375" s="47" t="s">
        <v>29</v>
      </c>
      <c r="M1375" s="47" t="s">
        <v>181</v>
      </c>
    </row>
    <row r="1376" customHeight="1" spans="1:13">
      <c r="A1376" s="47" t="s">
        <v>2500</v>
      </c>
      <c r="B1376" s="47" t="s">
        <v>2501</v>
      </c>
      <c r="C1376" s="47" t="s">
        <v>1359</v>
      </c>
      <c r="D1376" s="47" t="s">
        <v>16</v>
      </c>
      <c r="E1376" s="47" t="s">
        <v>103</v>
      </c>
      <c r="F1376" s="47" t="s">
        <v>37</v>
      </c>
      <c r="G1376" s="47" t="s">
        <v>29</v>
      </c>
      <c r="H1376" s="47" t="s">
        <v>77</v>
      </c>
      <c r="I1376" s="47" t="s">
        <v>30</v>
      </c>
      <c r="J1376" s="47" t="s">
        <v>32</v>
      </c>
      <c r="K1376" s="59" t="s">
        <v>23</v>
      </c>
      <c r="L1376" s="47" t="s">
        <v>54</v>
      </c>
      <c r="M1376" s="47" t="s">
        <v>24</v>
      </c>
    </row>
    <row r="1377" customHeight="1" spans="1:13">
      <c r="A1377" s="47" t="s">
        <v>2502</v>
      </c>
      <c r="B1377" s="47" t="s">
        <v>2501</v>
      </c>
      <c r="C1377" s="47" t="s">
        <v>2503</v>
      </c>
      <c r="D1377" s="47" t="s">
        <v>854</v>
      </c>
      <c r="E1377" s="47" t="s">
        <v>146</v>
      </c>
      <c r="F1377" s="47" t="s">
        <v>28</v>
      </c>
      <c r="G1377" s="47" t="s">
        <v>29</v>
      </c>
      <c r="H1377" s="47" t="s">
        <v>147</v>
      </c>
      <c r="I1377" s="47" t="s">
        <v>148</v>
      </c>
      <c r="J1377" s="47" t="s">
        <v>22</v>
      </c>
      <c r="K1377" s="59" t="s">
        <v>23</v>
      </c>
      <c r="L1377" s="47" t="s">
        <v>65</v>
      </c>
      <c r="M1377" s="47" t="s">
        <v>33</v>
      </c>
    </row>
    <row r="1378" customHeight="1" spans="1:13">
      <c r="A1378" s="47" t="s">
        <v>2504</v>
      </c>
      <c r="B1378" s="47" t="s">
        <v>2501</v>
      </c>
      <c r="C1378" s="47" t="s">
        <v>453</v>
      </c>
      <c r="D1378" s="47" t="s">
        <v>854</v>
      </c>
      <c r="E1378" s="47" t="s">
        <v>17</v>
      </c>
      <c r="F1378" s="47" t="s">
        <v>18</v>
      </c>
      <c r="G1378" s="47" t="s">
        <v>29</v>
      </c>
      <c r="H1378" s="47" t="s">
        <v>20</v>
      </c>
      <c r="I1378" s="47" t="s">
        <v>39</v>
      </c>
      <c r="J1378" s="47" t="s">
        <v>22</v>
      </c>
      <c r="K1378" s="59" t="s">
        <v>23</v>
      </c>
      <c r="L1378" s="47" t="s">
        <v>65</v>
      </c>
      <c r="M1378" s="47" t="s">
        <v>47</v>
      </c>
    </row>
    <row r="1379" customHeight="1" spans="1:13">
      <c r="A1379" s="47" t="s">
        <v>2505</v>
      </c>
      <c r="B1379" s="47" t="s">
        <v>2501</v>
      </c>
      <c r="C1379" s="47" t="s">
        <v>703</v>
      </c>
      <c r="D1379" s="47" t="s">
        <v>43</v>
      </c>
      <c r="E1379" s="47" t="s">
        <v>50</v>
      </c>
      <c r="F1379" s="47" t="s">
        <v>28</v>
      </c>
      <c r="G1379" s="47" t="s">
        <v>38</v>
      </c>
      <c r="H1379" s="47" t="s">
        <v>52</v>
      </c>
      <c r="I1379" s="47" t="s">
        <v>52</v>
      </c>
      <c r="J1379" s="47" t="s">
        <v>22</v>
      </c>
      <c r="K1379" s="59" t="s">
        <v>23</v>
      </c>
      <c r="L1379" s="59" t="s">
        <v>23</v>
      </c>
      <c r="M1379" s="47" t="s">
        <v>40</v>
      </c>
    </row>
    <row r="1380" customHeight="1" spans="1:13">
      <c r="A1380" s="47" t="s">
        <v>2506</v>
      </c>
      <c r="B1380" s="47" t="s">
        <v>2501</v>
      </c>
      <c r="C1380" s="47" t="s">
        <v>576</v>
      </c>
      <c r="D1380" s="47" t="s">
        <v>16</v>
      </c>
      <c r="E1380" s="47" t="s">
        <v>17</v>
      </c>
      <c r="F1380" s="59" t="s">
        <v>23</v>
      </c>
      <c r="G1380" s="47" t="s">
        <v>19</v>
      </c>
      <c r="H1380" s="47" t="s">
        <v>20</v>
      </c>
      <c r="I1380" s="47" t="s">
        <v>21</v>
      </c>
      <c r="J1380" s="47" t="s">
        <v>22</v>
      </c>
      <c r="K1380" s="59" t="s">
        <v>23</v>
      </c>
      <c r="L1380" s="47" t="s">
        <v>65</v>
      </c>
      <c r="M1380" s="47" t="s">
        <v>73</v>
      </c>
    </row>
    <row r="1381" customHeight="1" spans="1:13">
      <c r="A1381" s="47" t="s">
        <v>2507</v>
      </c>
      <c r="B1381" s="47" t="s">
        <v>2501</v>
      </c>
      <c r="C1381" s="47" t="s">
        <v>580</v>
      </c>
      <c r="D1381" s="47" t="s">
        <v>107</v>
      </c>
      <c r="E1381" s="47" t="s">
        <v>50</v>
      </c>
      <c r="F1381" s="47" t="s">
        <v>28</v>
      </c>
      <c r="G1381" s="47" t="s">
        <v>38</v>
      </c>
      <c r="H1381" s="47" t="s">
        <v>52</v>
      </c>
      <c r="I1381" s="47" t="s">
        <v>52</v>
      </c>
      <c r="J1381" s="47" t="s">
        <v>22</v>
      </c>
      <c r="K1381" s="59" t="s">
        <v>23</v>
      </c>
      <c r="L1381" s="47" t="s">
        <v>65</v>
      </c>
      <c r="M1381" s="47" t="s">
        <v>40</v>
      </c>
    </row>
    <row r="1382" customHeight="1" spans="1:13">
      <c r="A1382" s="47" t="s">
        <v>2508</v>
      </c>
      <c r="B1382" s="47" t="s">
        <v>2501</v>
      </c>
      <c r="C1382" s="47" t="s">
        <v>203</v>
      </c>
      <c r="D1382" s="47" t="s">
        <v>16</v>
      </c>
      <c r="E1382" s="47" t="s">
        <v>63</v>
      </c>
      <c r="F1382" s="47" t="s">
        <v>18</v>
      </c>
      <c r="G1382" s="47" t="s">
        <v>38</v>
      </c>
      <c r="H1382" s="47" t="s">
        <v>64</v>
      </c>
      <c r="I1382" s="47" t="s">
        <v>1079</v>
      </c>
      <c r="J1382" s="47" t="s">
        <v>32</v>
      </c>
      <c r="K1382" s="47" t="s">
        <v>143</v>
      </c>
      <c r="L1382" s="59" t="s">
        <v>23</v>
      </c>
      <c r="M1382" s="47" t="s">
        <v>1066</v>
      </c>
    </row>
    <row r="1383" customHeight="1" spans="1:13">
      <c r="A1383" s="47" t="s">
        <v>2509</v>
      </c>
      <c r="B1383" s="47" t="s">
        <v>2510</v>
      </c>
      <c r="C1383" s="47" t="s">
        <v>241</v>
      </c>
      <c r="D1383" s="47" t="s">
        <v>43</v>
      </c>
      <c r="E1383" s="47" t="s">
        <v>719</v>
      </c>
      <c r="F1383" s="47" t="s">
        <v>37</v>
      </c>
      <c r="G1383" s="47" t="s">
        <v>38</v>
      </c>
      <c r="H1383" s="47" t="s">
        <v>77</v>
      </c>
      <c r="I1383" s="47" t="s">
        <v>77</v>
      </c>
      <c r="J1383" s="47" t="s">
        <v>32</v>
      </c>
      <c r="K1383" s="59" t="s">
        <v>23</v>
      </c>
      <c r="L1383" s="59" t="s">
        <v>23</v>
      </c>
      <c r="M1383" s="47" t="s">
        <v>40</v>
      </c>
    </row>
    <row r="1384" customHeight="1" spans="1:13">
      <c r="A1384" s="47" t="s">
        <v>2511</v>
      </c>
      <c r="B1384" s="47" t="s">
        <v>2512</v>
      </c>
      <c r="C1384" s="47" t="s">
        <v>2513</v>
      </c>
      <c r="D1384" s="47" t="s">
        <v>16</v>
      </c>
      <c r="E1384" s="47" t="s">
        <v>63</v>
      </c>
      <c r="F1384" s="47" t="s">
        <v>18</v>
      </c>
      <c r="G1384" s="47" t="s">
        <v>19</v>
      </c>
      <c r="H1384" s="47" t="s">
        <v>64</v>
      </c>
      <c r="I1384" s="47" t="s">
        <v>39</v>
      </c>
      <c r="J1384" s="47" t="s">
        <v>22</v>
      </c>
      <c r="K1384" s="59" t="s">
        <v>23</v>
      </c>
      <c r="L1384" s="59" t="s">
        <v>23</v>
      </c>
      <c r="M1384" s="47" t="s">
        <v>73</v>
      </c>
    </row>
    <row r="1385" customHeight="1" spans="1:13">
      <c r="A1385" s="47" t="s">
        <v>2514</v>
      </c>
      <c r="B1385" s="47" t="s">
        <v>2515</v>
      </c>
      <c r="C1385" s="47" t="s">
        <v>1865</v>
      </c>
      <c r="D1385" s="47" t="s">
        <v>16</v>
      </c>
      <c r="E1385" s="47" t="s">
        <v>81</v>
      </c>
      <c r="F1385" s="47" t="s">
        <v>37</v>
      </c>
      <c r="G1385" s="47" t="s">
        <v>38</v>
      </c>
      <c r="H1385" s="47" t="s">
        <v>82</v>
      </c>
      <c r="I1385" s="47" t="s">
        <v>82</v>
      </c>
      <c r="J1385" s="47" t="s">
        <v>22</v>
      </c>
      <c r="K1385" s="59" t="s">
        <v>23</v>
      </c>
      <c r="L1385" s="59" t="s">
        <v>23</v>
      </c>
      <c r="M1385" s="47" t="s">
        <v>47</v>
      </c>
    </row>
    <row r="1386" customHeight="1" spans="1:13">
      <c r="A1386" s="47" t="s">
        <v>2516</v>
      </c>
      <c r="B1386" s="47" t="s">
        <v>2515</v>
      </c>
      <c r="C1386" s="47" t="s">
        <v>244</v>
      </c>
      <c r="D1386" s="47" t="s">
        <v>43</v>
      </c>
      <c r="E1386" s="47" t="s">
        <v>57</v>
      </c>
      <c r="F1386" s="47" t="s">
        <v>28</v>
      </c>
      <c r="G1386" s="47" t="s">
        <v>29</v>
      </c>
      <c r="H1386" s="47" t="s">
        <v>58</v>
      </c>
      <c r="I1386" s="47" t="s">
        <v>295</v>
      </c>
      <c r="J1386" s="47" t="s">
        <v>32</v>
      </c>
      <c r="K1386" s="59" t="s">
        <v>23</v>
      </c>
      <c r="L1386" s="59" t="s">
        <v>23</v>
      </c>
      <c r="M1386" s="47" t="s">
        <v>24</v>
      </c>
    </row>
    <row r="1387" customHeight="1" spans="1:13">
      <c r="A1387" s="47" t="s">
        <v>2517</v>
      </c>
      <c r="B1387" s="47" t="s">
        <v>2512</v>
      </c>
      <c r="C1387" s="47" t="s">
        <v>629</v>
      </c>
      <c r="D1387" s="47" t="s">
        <v>43</v>
      </c>
      <c r="E1387" s="47" t="s">
        <v>50</v>
      </c>
      <c r="F1387" s="47" t="s">
        <v>28</v>
      </c>
      <c r="G1387" s="47" t="s">
        <v>38</v>
      </c>
      <c r="H1387" s="47" t="s">
        <v>52</v>
      </c>
      <c r="I1387" s="47" t="s">
        <v>52</v>
      </c>
      <c r="J1387" s="47" t="s">
        <v>715</v>
      </c>
      <c r="K1387" s="59" t="s">
        <v>23</v>
      </c>
      <c r="L1387" s="47" t="s">
        <v>54</v>
      </c>
      <c r="M1387" s="47" t="s">
        <v>73</v>
      </c>
    </row>
    <row r="1388" customHeight="1" spans="1:13">
      <c r="A1388" s="47" t="s">
        <v>2518</v>
      </c>
      <c r="B1388" s="47" t="s">
        <v>2512</v>
      </c>
      <c r="C1388" s="47" t="s">
        <v>963</v>
      </c>
      <c r="D1388" s="47" t="s">
        <v>107</v>
      </c>
      <c r="E1388" s="47" t="s">
        <v>63</v>
      </c>
      <c r="F1388" s="47" t="s">
        <v>18</v>
      </c>
      <c r="G1388" s="47" t="s">
        <v>38</v>
      </c>
      <c r="H1388" s="47" t="s">
        <v>64</v>
      </c>
      <c r="I1388" s="47" t="s">
        <v>64</v>
      </c>
      <c r="J1388" s="47" t="s">
        <v>22</v>
      </c>
      <c r="K1388" s="59" t="s">
        <v>23</v>
      </c>
      <c r="L1388" s="47" t="s">
        <v>54</v>
      </c>
      <c r="M1388" s="47" t="s">
        <v>33</v>
      </c>
    </row>
    <row r="1389" customHeight="1" spans="1:13">
      <c r="A1389" s="47" t="s">
        <v>2519</v>
      </c>
      <c r="B1389" s="47" t="s">
        <v>2512</v>
      </c>
      <c r="C1389" s="47" t="s">
        <v>271</v>
      </c>
      <c r="D1389" s="47" t="s">
        <v>16</v>
      </c>
      <c r="E1389" s="47" t="s">
        <v>17</v>
      </c>
      <c r="F1389" s="47" t="s">
        <v>18</v>
      </c>
      <c r="G1389" s="47" t="s">
        <v>38</v>
      </c>
      <c r="H1389" s="47" t="s">
        <v>710</v>
      </c>
      <c r="I1389" s="47" t="s">
        <v>20</v>
      </c>
      <c r="J1389" s="47" t="s">
        <v>32</v>
      </c>
      <c r="K1389" s="59" t="s">
        <v>23</v>
      </c>
      <c r="L1389" s="59" t="s">
        <v>23</v>
      </c>
      <c r="M1389" s="47" t="s">
        <v>40</v>
      </c>
    </row>
    <row r="1390" customHeight="1" spans="1:13">
      <c r="A1390" s="47" t="s">
        <v>2520</v>
      </c>
      <c r="B1390" s="47" t="s">
        <v>2512</v>
      </c>
      <c r="C1390" s="47" t="s">
        <v>905</v>
      </c>
      <c r="D1390" s="47" t="s">
        <v>107</v>
      </c>
      <c r="E1390" s="47" t="s">
        <v>396</v>
      </c>
      <c r="F1390" s="47" t="s">
        <v>2521</v>
      </c>
      <c r="G1390" s="47" t="s">
        <v>38</v>
      </c>
      <c r="H1390" s="47" t="s">
        <v>64</v>
      </c>
      <c r="I1390" s="47" t="s">
        <v>64</v>
      </c>
      <c r="J1390" s="47" t="s">
        <v>32</v>
      </c>
      <c r="K1390" s="59" t="s">
        <v>23</v>
      </c>
      <c r="L1390" s="59" t="s">
        <v>23</v>
      </c>
      <c r="M1390" s="47" t="s">
        <v>40</v>
      </c>
    </row>
    <row r="1391" customHeight="1" spans="1:13">
      <c r="A1391" s="47" t="s">
        <v>2522</v>
      </c>
      <c r="B1391" s="47" t="s">
        <v>2512</v>
      </c>
      <c r="C1391" s="47" t="s">
        <v>909</v>
      </c>
      <c r="D1391" s="47" t="s">
        <v>107</v>
      </c>
      <c r="E1391" s="47" t="s">
        <v>103</v>
      </c>
      <c r="F1391" s="47" t="s">
        <v>37</v>
      </c>
      <c r="G1391" s="47" t="s">
        <v>38</v>
      </c>
      <c r="H1391" s="47" t="s">
        <v>77</v>
      </c>
      <c r="I1391" s="47" t="s">
        <v>77</v>
      </c>
      <c r="J1391" s="47" t="s">
        <v>22</v>
      </c>
      <c r="K1391" s="59" t="s">
        <v>23</v>
      </c>
      <c r="L1391" s="47" t="s">
        <v>29</v>
      </c>
      <c r="M1391" s="47" t="s">
        <v>33</v>
      </c>
    </row>
    <row r="1392" customHeight="1" spans="1:13">
      <c r="A1392" s="47" t="s">
        <v>2523</v>
      </c>
      <c r="B1392" s="47" t="s">
        <v>2512</v>
      </c>
      <c r="C1392" s="47" t="s">
        <v>1942</v>
      </c>
      <c r="D1392" s="47" t="s">
        <v>107</v>
      </c>
      <c r="E1392" s="47" t="s">
        <v>63</v>
      </c>
      <c r="F1392" s="47" t="s">
        <v>18</v>
      </c>
      <c r="G1392" s="47" t="s">
        <v>38</v>
      </c>
      <c r="H1392" s="47" t="s">
        <v>64</v>
      </c>
      <c r="I1392" s="59" t="s">
        <v>23</v>
      </c>
      <c r="J1392" s="47" t="s">
        <v>22</v>
      </c>
      <c r="K1392" s="59" t="s">
        <v>23</v>
      </c>
      <c r="L1392" s="59" t="s">
        <v>23</v>
      </c>
      <c r="M1392" s="47" t="s">
        <v>24</v>
      </c>
    </row>
    <row r="1393" customHeight="1" spans="1:13">
      <c r="A1393" s="47" t="s">
        <v>2524</v>
      </c>
      <c r="B1393" s="47" t="s">
        <v>2515</v>
      </c>
      <c r="C1393" s="47" t="s">
        <v>285</v>
      </c>
      <c r="D1393" s="47" t="s">
        <v>16</v>
      </c>
      <c r="E1393" s="47" t="s">
        <v>341</v>
      </c>
      <c r="F1393" s="47" t="s">
        <v>28</v>
      </c>
      <c r="G1393" s="47" t="s">
        <v>19</v>
      </c>
      <c r="H1393" s="47" t="s">
        <v>147</v>
      </c>
      <c r="I1393" s="47" t="s">
        <v>474</v>
      </c>
      <c r="J1393" s="47" t="s">
        <v>32</v>
      </c>
      <c r="K1393" s="59" t="s">
        <v>23</v>
      </c>
      <c r="L1393" s="47" t="s">
        <v>54</v>
      </c>
      <c r="M1393" s="47" t="s">
        <v>1066</v>
      </c>
    </row>
    <row r="1394" customHeight="1" spans="1:13">
      <c r="A1394" s="47" t="s">
        <v>2525</v>
      </c>
      <c r="B1394" s="47" t="s">
        <v>2515</v>
      </c>
      <c r="C1394" s="47" t="s">
        <v>881</v>
      </c>
      <c r="D1394" s="47" t="s">
        <v>16</v>
      </c>
      <c r="E1394" s="47" t="s">
        <v>63</v>
      </c>
      <c r="F1394" s="59" t="s">
        <v>23</v>
      </c>
      <c r="G1394" s="47" t="s">
        <v>19</v>
      </c>
      <c r="H1394" s="47" t="s">
        <v>64</v>
      </c>
      <c r="I1394" s="47" t="s">
        <v>39</v>
      </c>
      <c r="J1394" s="47" t="s">
        <v>22</v>
      </c>
      <c r="K1394" s="59" t="s">
        <v>23</v>
      </c>
      <c r="L1394" s="59" t="s">
        <v>23</v>
      </c>
      <c r="M1394" s="47" t="s">
        <v>99</v>
      </c>
    </row>
    <row r="1395" customHeight="1" spans="1:13">
      <c r="A1395" s="47" t="s">
        <v>2526</v>
      </c>
      <c r="B1395" s="47" t="s">
        <v>2512</v>
      </c>
      <c r="C1395" s="47" t="s">
        <v>160</v>
      </c>
      <c r="D1395" s="47" t="s">
        <v>43</v>
      </c>
      <c r="E1395" s="47" t="s">
        <v>57</v>
      </c>
      <c r="F1395" s="47" t="s">
        <v>28</v>
      </c>
      <c r="G1395" s="47" t="s">
        <v>38</v>
      </c>
      <c r="H1395" s="47" t="s">
        <v>58</v>
      </c>
      <c r="I1395" s="47" t="s">
        <v>58</v>
      </c>
      <c r="J1395" s="47" t="s">
        <v>32</v>
      </c>
      <c r="K1395" s="59" t="s">
        <v>23</v>
      </c>
      <c r="L1395" s="47" t="s">
        <v>65</v>
      </c>
      <c r="M1395" s="47" t="s">
        <v>40</v>
      </c>
    </row>
    <row r="1396" customHeight="1" spans="1:13">
      <c r="A1396" s="47" t="s">
        <v>2527</v>
      </c>
      <c r="B1396" s="47" t="s">
        <v>2512</v>
      </c>
      <c r="C1396" s="47" t="s">
        <v>1373</v>
      </c>
      <c r="D1396" s="47" t="s">
        <v>16</v>
      </c>
      <c r="E1396" s="47" t="s">
        <v>81</v>
      </c>
      <c r="F1396" s="47" t="s">
        <v>37</v>
      </c>
      <c r="G1396" s="47" t="s">
        <v>29</v>
      </c>
      <c r="H1396" s="47" t="s">
        <v>82</v>
      </c>
      <c r="I1396" s="47" t="s">
        <v>58</v>
      </c>
      <c r="J1396" s="47" t="s">
        <v>32</v>
      </c>
      <c r="K1396" s="59" t="s">
        <v>23</v>
      </c>
      <c r="L1396" s="59" t="s">
        <v>23</v>
      </c>
      <c r="M1396" s="47" t="s">
        <v>73</v>
      </c>
    </row>
    <row r="1397" customHeight="1" spans="1:13">
      <c r="A1397" s="47" t="s">
        <v>2528</v>
      </c>
      <c r="B1397" s="47" t="s">
        <v>2529</v>
      </c>
      <c r="C1397" s="47" t="s">
        <v>599</v>
      </c>
      <c r="D1397" s="47" t="s">
        <v>16</v>
      </c>
      <c r="E1397" s="47" t="s">
        <v>63</v>
      </c>
      <c r="F1397" s="47" t="s">
        <v>18</v>
      </c>
      <c r="G1397" s="47" t="s">
        <v>38</v>
      </c>
      <c r="H1397" s="47" t="s">
        <v>64</v>
      </c>
      <c r="I1397" s="47" t="s">
        <v>64</v>
      </c>
      <c r="J1397" s="47" t="s">
        <v>32</v>
      </c>
      <c r="K1397" s="59" t="s">
        <v>23</v>
      </c>
      <c r="L1397" s="59" t="s">
        <v>23</v>
      </c>
      <c r="M1397" s="47" t="s">
        <v>73</v>
      </c>
    </row>
    <row r="1398" customHeight="1" spans="1:13">
      <c r="A1398" s="47" t="s">
        <v>2530</v>
      </c>
      <c r="B1398" s="47" t="s">
        <v>2529</v>
      </c>
      <c r="C1398" s="47" t="s">
        <v>1514</v>
      </c>
      <c r="D1398" s="47" t="s">
        <v>107</v>
      </c>
      <c r="E1398" s="47" t="s">
        <v>81</v>
      </c>
      <c r="F1398" s="47" t="s">
        <v>37</v>
      </c>
      <c r="G1398" s="47" t="s">
        <v>38</v>
      </c>
      <c r="H1398" s="47" t="s">
        <v>82</v>
      </c>
      <c r="I1398" s="47" t="s">
        <v>443</v>
      </c>
      <c r="J1398" s="47" t="s">
        <v>715</v>
      </c>
      <c r="K1398" s="59" t="s">
        <v>23</v>
      </c>
      <c r="L1398" s="59" t="s">
        <v>23</v>
      </c>
      <c r="M1398" s="47" t="s">
        <v>40</v>
      </c>
    </row>
    <row r="1399" customHeight="1" spans="1:13">
      <c r="A1399" s="47" t="s">
        <v>2531</v>
      </c>
      <c r="B1399" s="47" t="s">
        <v>2529</v>
      </c>
      <c r="C1399" s="47" t="s">
        <v>92</v>
      </c>
      <c r="D1399" s="47" t="s">
        <v>43</v>
      </c>
      <c r="E1399" s="47" t="s">
        <v>647</v>
      </c>
      <c r="F1399" s="47" t="s">
        <v>45</v>
      </c>
      <c r="G1399" s="47" t="s">
        <v>38</v>
      </c>
      <c r="H1399" s="47" t="s">
        <v>227</v>
      </c>
      <c r="I1399" s="47" t="s">
        <v>227</v>
      </c>
      <c r="J1399" s="47" t="s">
        <v>22</v>
      </c>
      <c r="K1399" s="59" t="s">
        <v>23</v>
      </c>
      <c r="L1399" s="47" t="s">
        <v>29</v>
      </c>
      <c r="M1399" s="47" t="s">
        <v>73</v>
      </c>
    </row>
    <row r="1400" customHeight="1" spans="1:13">
      <c r="A1400" s="47" t="s">
        <v>2532</v>
      </c>
      <c r="B1400" s="47" t="s">
        <v>2529</v>
      </c>
      <c r="C1400" s="47" t="s">
        <v>616</v>
      </c>
      <c r="D1400" s="47" t="s">
        <v>16</v>
      </c>
      <c r="E1400" s="47" t="s">
        <v>832</v>
      </c>
      <c r="F1400" s="47" t="s">
        <v>454</v>
      </c>
      <c r="G1400" s="47" t="s">
        <v>38</v>
      </c>
      <c r="H1400" s="47" t="s">
        <v>77</v>
      </c>
      <c r="I1400" s="47" t="s">
        <v>77</v>
      </c>
      <c r="J1400" s="47" t="s">
        <v>32</v>
      </c>
      <c r="K1400" s="59" t="s">
        <v>23</v>
      </c>
      <c r="L1400" s="59" t="s">
        <v>23</v>
      </c>
      <c r="M1400" s="47" t="s">
        <v>292</v>
      </c>
    </row>
    <row r="1401" customHeight="1" spans="1:13">
      <c r="A1401" s="47" t="s">
        <v>2533</v>
      </c>
      <c r="B1401" s="47" t="s">
        <v>2529</v>
      </c>
      <c r="C1401" s="47" t="s">
        <v>967</v>
      </c>
      <c r="D1401" s="47" t="s">
        <v>16</v>
      </c>
      <c r="E1401" s="47" t="s">
        <v>50</v>
      </c>
      <c r="F1401" s="47" t="s">
        <v>28</v>
      </c>
      <c r="G1401" s="47" t="s">
        <v>19</v>
      </c>
      <c r="H1401" s="47" t="s">
        <v>52</v>
      </c>
      <c r="I1401" s="47" t="s">
        <v>425</v>
      </c>
      <c r="J1401" s="47" t="s">
        <v>22</v>
      </c>
      <c r="K1401" s="59" t="s">
        <v>23</v>
      </c>
      <c r="L1401" s="59" t="s">
        <v>23</v>
      </c>
      <c r="M1401" s="47" t="s">
        <v>236</v>
      </c>
    </row>
    <row r="1402" customHeight="1" spans="1:13">
      <c r="A1402" s="47" t="s">
        <v>2534</v>
      </c>
      <c r="B1402" s="47" t="s">
        <v>2535</v>
      </c>
      <c r="C1402" s="47" t="s">
        <v>2536</v>
      </c>
      <c r="D1402" s="47" t="s">
        <v>16</v>
      </c>
      <c r="E1402" s="47" t="s">
        <v>27</v>
      </c>
      <c r="F1402" s="47" t="s">
        <v>28</v>
      </c>
      <c r="G1402" s="47" t="s">
        <v>38</v>
      </c>
      <c r="H1402" s="47" t="s">
        <v>30</v>
      </c>
      <c r="I1402" s="47" t="s">
        <v>30</v>
      </c>
      <c r="J1402" s="47" t="s">
        <v>32</v>
      </c>
      <c r="K1402" s="59" t="s">
        <v>23</v>
      </c>
      <c r="L1402" s="59" t="s">
        <v>23</v>
      </c>
      <c r="M1402" s="47" t="s">
        <v>292</v>
      </c>
    </row>
    <row r="1403" customHeight="1" spans="1:13">
      <c r="A1403" s="47" t="s">
        <v>2537</v>
      </c>
      <c r="B1403" s="47" t="s">
        <v>2538</v>
      </c>
      <c r="C1403" s="47" t="s">
        <v>1740</v>
      </c>
      <c r="D1403" s="47" t="s">
        <v>393</v>
      </c>
      <c r="E1403" s="47" t="s">
        <v>36</v>
      </c>
      <c r="F1403" s="47" t="s">
        <v>37</v>
      </c>
      <c r="G1403" s="47" t="s">
        <v>19</v>
      </c>
      <c r="H1403" s="59" t="s">
        <v>23</v>
      </c>
      <c r="I1403" s="47" t="s">
        <v>82</v>
      </c>
      <c r="J1403" s="47" t="s">
        <v>32</v>
      </c>
      <c r="K1403" s="59" t="s">
        <v>23</v>
      </c>
      <c r="L1403" s="47" t="s">
        <v>65</v>
      </c>
      <c r="M1403" s="47" t="s">
        <v>33</v>
      </c>
    </row>
    <row r="1404" customHeight="1" spans="1:13">
      <c r="A1404" s="47" t="s">
        <v>2539</v>
      </c>
      <c r="B1404" s="47" t="s">
        <v>2540</v>
      </c>
      <c r="C1404" s="47" t="s">
        <v>991</v>
      </c>
      <c r="D1404" s="47" t="s">
        <v>16</v>
      </c>
      <c r="E1404" s="47" t="s">
        <v>396</v>
      </c>
      <c r="F1404" s="47" t="s">
        <v>18</v>
      </c>
      <c r="G1404" s="47" t="s">
        <v>38</v>
      </c>
      <c r="H1404" s="47" t="s">
        <v>64</v>
      </c>
      <c r="I1404" s="47" t="s">
        <v>64</v>
      </c>
      <c r="J1404" s="47" t="s">
        <v>22</v>
      </c>
      <c r="K1404" s="59" t="s">
        <v>23</v>
      </c>
      <c r="L1404" s="47" t="s">
        <v>29</v>
      </c>
      <c r="M1404" s="47" t="s">
        <v>33</v>
      </c>
    </row>
    <row r="1405" customHeight="1" spans="1:13">
      <c r="A1405" s="47" t="s">
        <v>2541</v>
      </c>
      <c r="B1405" s="47" t="s">
        <v>2540</v>
      </c>
      <c r="C1405" s="47" t="s">
        <v>70</v>
      </c>
      <c r="D1405" s="47" t="s">
        <v>16</v>
      </c>
      <c r="E1405" s="47" t="s">
        <v>63</v>
      </c>
      <c r="F1405" s="47" t="s">
        <v>18</v>
      </c>
      <c r="G1405" s="47" t="s">
        <v>19</v>
      </c>
      <c r="H1405" s="47" t="s">
        <v>644</v>
      </c>
      <c r="I1405" s="47" t="s">
        <v>39</v>
      </c>
      <c r="J1405" s="47" t="s">
        <v>22</v>
      </c>
      <c r="K1405" s="59" t="s">
        <v>23</v>
      </c>
      <c r="L1405" s="47" t="s">
        <v>29</v>
      </c>
      <c r="M1405" s="47" t="s">
        <v>40</v>
      </c>
    </row>
    <row r="1406" customHeight="1" spans="1:13">
      <c r="A1406" s="47" t="s">
        <v>2542</v>
      </c>
      <c r="B1406" s="47" t="s">
        <v>2538</v>
      </c>
      <c r="C1406" s="47" t="s">
        <v>616</v>
      </c>
      <c r="D1406" s="47" t="s">
        <v>16</v>
      </c>
      <c r="E1406" s="47" t="s">
        <v>57</v>
      </c>
      <c r="F1406" s="47" t="s">
        <v>28</v>
      </c>
      <c r="G1406" s="47" t="s">
        <v>38</v>
      </c>
      <c r="H1406" s="47" t="s">
        <v>58</v>
      </c>
      <c r="I1406" s="47" t="s">
        <v>58</v>
      </c>
      <c r="J1406" s="47" t="s">
        <v>22</v>
      </c>
      <c r="K1406" s="59" t="s">
        <v>23</v>
      </c>
      <c r="L1406" s="47" t="s">
        <v>65</v>
      </c>
      <c r="M1406" s="47" t="s">
        <v>40</v>
      </c>
    </row>
    <row r="1407" customHeight="1" spans="1:13">
      <c r="A1407" s="47" t="s">
        <v>2543</v>
      </c>
      <c r="B1407" s="47" t="s">
        <v>2538</v>
      </c>
      <c r="C1407" s="47" t="s">
        <v>646</v>
      </c>
      <c r="D1407" s="47" t="s">
        <v>16</v>
      </c>
      <c r="E1407" s="47" t="s">
        <v>63</v>
      </c>
      <c r="F1407" s="59" t="s">
        <v>23</v>
      </c>
      <c r="G1407" s="47" t="s">
        <v>38</v>
      </c>
      <c r="H1407" s="47" t="s">
        <v>64</v>
      </c>
      <c r="I1407" s="47" t="s">
        <v>64</v>
      </c>
      <c r="J1407" s="47" t="s">
        <v>32</v>
      </c>
      <c r="K1407" s="59" t="s">
        <v>23</v>
      </c>
      <c r="L1407" s="59" t="s">
        <v>23</v>
      </c>
      <c r="M1407" s="47" t="s">
        <v>24</v>
      </c>
    </row>
    <row r="1408" customHeight="1" spans="1:13">
      <c r="A1408" s="47" t="s">
        <v>2544</v>
      </c>
      <c r="B1408" s="47" t="s">
        <v>2540</v>
      </c>
      <c r="C1408" s="47" t="s">
        <v>155</v>
      </c>
      <c r="D1408" s="47" t="s">
        <v>854</v>
      </c>
      <c r="E1408" s="47" t="s">
        <v>367</v>
      </c>
      <c r="F1408" s="47" t="s">
        <v>109</v>
      </c>
      <c r="G1408" s="47" t="s">
        <v>19</v>
      </c>
      <c r="H1408" s="47" t="s">
        <v>110</v>
      </c>
      <c r="I1408" s="47" t="s">
        <v>357</v>
      </c>
      <c r="J1408" s="47" t="s">
        <v>32</v>
      </c>
      <c r="K1408" s="59" t="s">
        <v>23</v>
      </c>
      <c r="L1408" s="59" t="s">
        <v>23</v>
      </c>
      <c r="M1408" s="47" t="s">
        <v>47</v>
      </c>
    </row>
    <row r="1409" customHeight="1" spans="1:13">
      <c r="A1409" s="47" t="s">
        <v>2545</v>
      </c>
      <c r="B1409" s="47" t="s">
        <v>2538</v>
      </c>
      <c r="C1409" s="47" t="s">
        <v>471</v>
      </c>
      <c r="D1409" s="47" t="s">
        <v>107</v>
      </c>
      <c r="E1409" s="47" t="s">
        <v>63</v>
      </c>
      <c r="F1409" s="47" t="s">
        <v>18</v>
      </c>
      <c r="G1409" s="47" t="s">
        <v>38</v>
      </c>
      <c r="H1409" s="47" t="s">
        <v>724</v>
      </c>
      <c r="I1409" s="47" t="s">
        <v>64</v>
      </c>
      <c r="J1409" s="47" t="s">
        <v>22</v>
      </c>
      <c r="K1409" s="59" t="s">
        <v>23</v>
      </c>
      <c r="L1409" s="59" t="s">
        <v>23</v>
      </c>
      <c r="M1409" s="47" t="s">
        <v>73</v>
      </c>
    </row>
    <row r="1410" customHeight="1" spans="1:13">
      <c r="A1410" s="47" t="s">
        <v>2546</v>
      </c>
      <c r="B1410" s="47" t="s">
        <v>2547</v>
      </c>
      <c r="C1410" s="47" t="s">
        <v>1190</v>
      </c>
      <c r="D1410" s="47" t="s">
        <v>16</v>
      </c>
      <c r="E1410" s="47" t="s">
        <v>27</v>
      </c>
      <c r="F1410" s="47" t="s">
        <v>28</v>
      </c>
      <c r="G1410" s="47" t="s">
        <v>38</v>
      </c>
      <c r="H1410" s="47" t="s">
        <v>30</v>
      </c>
      <c r="I1410" s="47" t="s">
        <v>2548</v>
      </c>
      <c r="J1410" s="47" t="s">
        <v>22</v>
      </c>
      <c r="K1410" s="47" t="s">
        <v>143</v>
      </c>
      <c r="L1410" s="47" t="s">
        <v>54</v>
      </c>
      <c r="M1410" s="47" t="s">
        <v>1177</v>
      </c>
    </row>
    <row r="1411" customHeight="1" spans="1:13">
      <c r="A1411" s="47" t="s">
        <v>2549</v>
      </c>
      <c r="B1411" s="47" t="s">
        <v>2550</v>
      </c>
      <c r="C1411" s="47" t="s">
        <v>2551</v>
      </c>
      <c r="D1411" s="47" t="s">
        <v>43</v>
      </c>
      <c r="E1411" s="47" t="s">
        <v>63</v>
      </c>
      <c r="F1411" s="47" t="s">
        <v>18</v>
      </c>
      <c r="G1411" s="47" t="s">
        <v>19</v>
      </c>
      <c r="H1411" s="47" t="s">
        <v>64</v>
      </c>
      <c r="I1411" s="47" t="s">
        <v>39</v>
      </c>
      <c r="J1411" s="47" t="s">
        <v>32</v>
      </c>
      <c r="K1411" s="59" t="s">
        <v>23</v>
      </c>
      <c r="L1411" s="47" t="s">
        <v>65</v>
      </c>
      <c r="M1411" s="47" t="s">
        <v>40</v>
      </c>
    </row>
    <row r="1412" customHeight="1" spans="1:13">
      <c r="A1412" s="47" t="s">
        <v>2552</v>
      </c>
      <c r="B1412" s="47" t="s">
        <v>2553</v>
      </c>
      <c r="C1412" s="47" t="s">
        <v>398</v>
      </c>
      <c r="D1412" s="47" t="s">
        <v>43</v>
      </c>
      <c r="E1412" s="47" t="s">
        <v>27</v>
      </c>
      <c r="F1412" s="47" t="s">
        <v>28</v>
      </c>
      <c r="G1412" s="47" t="s">
        <v>19</v>
      </c>
      <c r="H1412" s="47" t="s">
        <v>30</v>
      </c>
      <c r="I1412" s="59" t="s">
        <v>23</v>
      </c>
      <c r="J1412" s="47" t="s">
        <v>32</v>
      </c>
      <c r="K1412" s="59" t="s">
        <v>23</v>
      </c>
      <c r="L1412" s="47" t="s">
        <v>29</v>
      </c>
      <c r="M1412" s="47" t="s">
        <v>181</v>
      </c>
    </row>
    <row r="1413" customHeight="1" spans="1:13">
      <c r="A1413" s="47" t="s">
        <v>2552</v>
      </c>
      <c r="B1413" s="47" t="s">
        <v>2554</v>
      </c>
      <c r="C1413" s="47" t="s">
        <v>398</v>
      </c>
      <c r="D1413" s="47" t="s">
        <v>43</v>
      </c>
      <c r="E1413" s="47" t="s">
        <v>27</v>
      </c>
      <c r="F1413" s="47" t="s">
        <v>28</v>
      </c>
      <c r="G1413" s="47" t="s">
        <v>19</v>
      </c>
      <c r="H1413" s="47" t="s">
        <v>30</v>
      </c>
      <c r="I1413" s="47" t="s">
        <v>258</v>
      </c>
      <c r="J1413" s="47" t="s">
        <v>485</v>
      </c>
      <c r="K1413" s="59" t="s">
        <v>23</v>
      </c>
      <c r="L1413" s="47" t="s">
        <v>29</v>
      </c>
      <c r="M1413" s="47" t="s">
        <v>33</v>
      </c>
    </row>
    <row r="1414" customHeight="1" spans="1:13">
      <c r="A1414" s="47" t="s">
        <v>2555</v>
      </c>
      <c r="B1414" s="47" t="s">
        <v>2554</v>
      </c>
      <c r="C1414" s="47" t="s">
        <v>2556</v>
      </c>
      <c r="D1414" s="47" t="s">
        <v>2557</v>
      </c>
      <c r="E1414" s="47" t="s">
        <v>199</v>
      </c>
      <c r="F1414" s="47" t="s">
        <v>18</v>
      </c>
      <c r="G1414" s="47" t="s">
        <v>38</v>
      </c>
      <c r="H1414" s="47" t="s">
        <v>39</v>
      </c>
      <c r="I1414" s="47" t="s">
        <v>39</v>
      </c>
      <c r="J1414" s="47" t="s">
        <v>32</v>
      </c>
      <c r="K1414" s="59" t="s">
        <v>23</v>
      </c>
      <c r="L1414" s="59" t="s">
        <v>23</v>
      </c>
      <c r="M1414" s="47" t="s">
        <v>33</v>
      </c>
    </row>
    <row r="1415" customHeight="1" spans="1:13">
      <c r="A1415" s="47" t="s">
        <v>2558</v>
      </c>
      <c r="B1415" s="47" t="s">
        <v>2554</v>
      </c>
      <c r="C1415" s="47" t="s">
        <v>2559</v>
      </c>
      <c r="D1415" s="47" t="s">
        <v>352</v>
      </c>
      <c r="E1415" s="47" t="s">
        <v>396</v>
      </c>
      <c r="F1415" s="47" t="s">
        <v>18</v>
      </c>
      <c r="G1415" s="47" t="s">
        <v>38</v>
      </c>
      <c r="H1415" s="47" t="s">
        <v>64</v>
      </c>
      <c r="I1415" s="47" t="s">
        <v>64</v>
      </c>
      <c r="J1415" s="47" t="s">
        <v>22</v>
      </c>
      <c r="K1415" s="59" t="s">
        <v>23</v>
      </c>
      <c r="L1415" s="47" t="s">
        <v>65</v>
      </c>
      <c r="M1415" s="47" t="s">
        <v>33</v>
      </c>
    </row>
    <row r="1416" customHeight="1" spans="1:13">
      <c r="A1416" s="47" t="s">
        <v>2560</v>
      </c>
      <c r="B1416" s="47" t="s">
        <v>2554</v>
      </c>
      <c r="C1416" s="47" t="s">
        <v>802</v>
      </c>
      <c r="D1416" s="47" t="s">
        <v>43</v>
      </c>
      <c r="E1416" s="47" t="s">
        <v>50</v>
      </c>
      <c r="F1416" s="47" t="s">
        <v>28</v>
      </c>
      <c r="G1416" s="47" t="s">
        <v>38</v>
      </c>
      <c r="H1416" s="47" t="s">
        <v>347</v>
      </c>
      <c r="I1416" s="47" t="s">
        <v>734</v>
      </c>
      <c r="J1416" s="47" t="s">
        <v>22</v>
      </c>
      <c r="K1416" s="59" t="s">
        <v>23</v>
      </c>
      <c r="L1416" s="59" t="s">
        <v>23</v>
      </c>
      <c r="M1416" s="47" t="s">
        <v>47</v>
      </c>
    </row>
    <row r="1417" customHeight="1" spans="1:13">
      <c r="A1417" s="47" t="s">
        <v>2561</v>
      </c>
      <c r="B1417" s="47" t="s">
        <v>2554</v>
      </c>
      <c r="C1417" s="47" t="s">
        <v>1620</v>
      </c>
      <c r="D1417" s="47" t="s">
        <v>43</v>
      </c>
      <c r="E1417" s="47" t="s">
        <v>36</v>
      </c>
      <c r="F1417" s="47" t="s">
        <v>37</v>
      </c>
      <c r="G1417" s="47" t="s">
        <v>38</v>
      </c>
      <c r="H1417" s="47" t="s">
        <v>39</v>
      </c>
      <c r="I1417" s="47" t="s">
        <v>39</v>
      </c>
      <c r="J1417" s="47" t="s">
        <v>22</v>
      </c>
      <c r="K1417" s="59" t="s">
        <v>23</v>
      </c>
      <c r="L1417" s="59" t="s">
        <v>23</v>
      </c>
      <c r="M1417" s="47" t="s">
        <v>40</v>
      </c>
    </row>
    <row r="1418" customHeight="1" spans="1:13">
      <c r="A1418" s="47" t="s">
        <v>2561</v>
      </c>
      <c r="B1418" s="47" t="s">
        <v>2553</v>
      </c>
      <c r="C1418" s="47" t="s">
        <v>1620</v>
      </c>
      <c r="D1418" s="47" t="s">
        <v>43</v>
      </c>
      <c r="E1418" s="47" t="s">
        <v>36</v>
      </c>
      <c r="F1418" s="47" t="s">
        <v>37</v>
      </c>
      <c r="G1418" s="47" t="s">
        <v>38</v>
      </c>
      <c r="H1418" s="59" t="s">
        <v>23</v>
      </c>
      <c r="I1418" s="47" t="s">
        <v>39</v>
      </c>
      <c r="J1418" s="47" t="s">
        <v>22</v>
      </c>
      <c r="K1418" s="59" t="s">
        <v>23</v>
      </c>
      <c r="L1418" s="59" t="s">
        <v>23</v>
      </c>
      <c r="M1418" s="47" t="s">
        <v>40</v>
      </c>
    </row>
    <row r="1419" customHeight="1" spans="1:13">
      <c r="A1419" s="47" t="s">
        <v>2562</v>
      </c>
      <c r="B1419" s="47" t="s">
        <v>2554</v>
      </c>
      <c r="C1419" s="47" t="s">
        <v>273</v>
      </c>
      <c r="D1419" s="47" t="s">
        <v>43</v>
      </c>
      <c r="E1419" s="47" t="s">
        <v>81</v>
      </c>
      <c r="F1419" s="47" t="s">
        <v>37</v>
      </c>
      <c r="G1419" s="47" t="s">
        <v>38</v>
      </c>
      <c r="H1419" s="47" t="s">
        <v>82</v>
      </c>
      <c r="I1419" s="47" t="s">
        <v>82</v>
      </c>
      <c r="J1419" s="47" t="s">
        <v>22</v>
      </c>
      <c r="K1419" s="59" t="s">
        <v>23</v>
      </c>
      <c r="L1419" s="47" t="s">
        <v>65</v>
      </c>
      <c r="M1419" s="47" t="s">
        <v>73</v>
      </c>
    </row>
    <row r="1420" customHeight="1" spans="1:13">
      <c r="A1420" s="47" t="s">
        <v>2563</v>
      </c>
      <c r="B1420" s="47" t="s">
        <v>2554</v>
      </c>
      <c r="C1420" s="47" t="s">
        <v>1681</v>
      </c>
      <c r="D1420" s="47" t="s">
        <v>43</v>
      </c>
      <c r="E1420" s="47" t="s">
        <v>57</v>
      </c>
      <c r="F1420" s="59" t="s">
        <v>23</v>
      </c>
      <c r="G1420" s="47" t="s">
        <v>38</v>
      </c>
      <c r="H1420" s="47" t="s">
        <v>1408</v>
      </c>
      <c r="I1420" s="47" t="s">
        <v>2564</v>
      </c>
      <c r="J1420" s="47" t="s">
        <v>22</v>
      </c>
      <c r="K1420" s="59" t="s">
        <v>23</v>
      </c>
      <c r="L1420" s="47" t="s">
        <v>65</v>
      </c>
      <c r="M1420" s="47" t="s">
        <v>73</v>
      </c>
    </row>
    <row r="1421" customHeight="1" spans="1:13">
      <c r="A1421" s="47" t="s">
        <v>2565</v>
      </c>
      <c r="B1421" s="47" t="s">
        <v>2554</v>
      </c>
      <c r="C1421" s="47" t="s">
        <v>2223</v>
      </c>
      <c r="D1421" s="47" t="s">
        <v>16</v>
      </c>
      <c r="E1421" s="47" t="s">
        <v>17</v>
      </c>
      <c r="F1421" s="47" t="s">
        <v>18</v>
      </c>
      <c r="G1421" s="47" t="s">
        <v>38</v>
      </c>
      <c r="H1421" s="59" t="s">
        <v>23</v>
      </c>
      <c r="I1421" s="47" t="s">
        <v>20</v>
      </c>
      <c r="J1421" s="47" t="s">
        <v>22</v>
      </c>
      <c r="K1421" s="59" t="s">
        <v>23</v>
      </c>
      <c r="L1421" s="59" t="s">
        <v>23</v>
      </c>
      <c r="M1421" s="47" t="s">
        <v>40</v>
      </c>
    </row>
    <row r="1422" customHeight="1" spans="1:13">
      <c r="A1422" s="47" t="s">
        <v>2566</v>
      </c>
      <c r="B1422" s="47" t="s">
        <v>2567</v>
      </c>
      <c r="C1422" s="47" t="s">
        <v>2568</v>
      </c>
      <c r="D1422" s="47" t="s">
        <v>107</v>
      </c>
      <c r="E1422" s="47" t="s">
        <v>36</v>
      </c>
      <c r="F1422" s="47" t="s">
        <v>37</v>
      </c>
      <c r="G1422" s="47" t="s">
        <v>38</v>
      </c>
      <c r="H1422" s="47" t="s">
        <v>39</v>
      </c>
      <c r="I1422" s="47" t="s">
        <v>1423</v>
      </c>
      <c r="J1422" s="47" t="s">
        <v>22</v>
      </c>
      <c r="K1422" s="59" t="s">
        <v>23</v>
      </c>
      <c r="L1422" s="59" t="s">
        <v>23</v>
      </c>
      <c r="M1422" s="47" t="s">
        <v>33</v>
      </c>
    </row>
    <row r="1423" customHeight="1" spans="1:13">
      <c r="A1423" s="47" t="s">
        <v>2569</v>
      </c>
      <c r="B1423" s="47" t="s">
        <v>2570</v>
      </c>
      <c r="C1423" s="47" t="s">
        <v>2571</v>
      </c>
      <c r="D1423" s="47" t="s">
        <v>16</v>
      </c>
      <c r="E1423" s="47" t="s">
        <v>57</v>
      </c>
      <c r="F1423" s="47" t="s">
        <v>28</v>
      </c>
      <c r="G1423" s="47" t="s">
        <v>38</v>
      </c>
      <c r="H1423" s="47" t="s">
        <v>2564</v>
      </c>
      <c r="I1423" s="47" t="s">
        <v>58</v>
      </c>
      <c r="J1423" s="47" t="s">
        <v>32</v>
      </c>
      <c r="K1423" s="59" t="s">
        <v>23</v>
      </c>
      <c r="L1423" s="59" t="s">
        <v>23</v>
      </c>
      <c r="M1423" s="47" t="s">
        <v>490</v>
      </c>
    </row>
    <row r="1424" customHeight="1" spans="1:13">
      <c r="A1424" s="47" t="s">
        <v>2572</v>
      </c>
      <c r="B1424" s="47" t="s">
        <v>2567</v>
      </c>
      <c r="C1424" s="47" t="s">
        <v>2573</v>
      </c>
      <c r="D1424" s="47" t="s">
        <v>125</v>
      </c>
      <c r="E1424" s="47" t="s">
        <v>563</v>
      </c>
      <c r="F1424" s="47" t="s">
        <v>45</v>
      </c>
      <c r="G1424" s="47" t="s">
        <v>19</v>
      </c>
      <c r="H1424" s="47" t="s">
        <v>77</v>
      </c>
      <c r="I1424" s="47" t="s">
        <v>96</v>
      </c>
      <c r="J1424" s="47" t="s">
        <v>556</v>
      </c>
      <c r="K1424" s="59" t="s">
        <v>23</v>
      </c>
      <c r="L1424" s="59" t="s">
        <v>23</v>
      </c>
      <c r="M1424" s="47" t="s">
        <v>47</v>
      </c>
    </row>
    <row r="1425" customHeight="1" spans="1:13">
      <c r="A1425" s="47" t="s">
        <v>2574</v>
      </c>
      <c r="B1425" s="47" t="s">
        <v>2570</v>
      </c>
      <c r="C1425" s="47" t="s">
        <v>196</v>
      </c>
      <c r="D1425" s="47" t="s">
        <v>43</v>
      </c>
      <c r="E1425" s="47" t="s">
        <v>17</v>
      </c>
      <c r="F1425" s="47" t="s">
        <v>18</v>
      </c>
      <c r="G1425" s="47" t="s">
        <v>38</v>
      </c>
      <c r="H1425" s="47" t="s">
        <v>662</v>
      </c>
      <c r="I1425" s="47" t="s">
        <v>20</v>
      </c>
      <c r="J1425" s="47" t="s">
        <v>22</v>
      </c>
      <c r="K1425" s="59" t="s">
        <v>23</v>
      </c>
      <c r="L1425" s="59" t="s">
        <v>23</v>
      </c>
      <c r="M1425" s="47" t="s">
        <v>33</v>
      </c>
    </row>
    <row r="1426" customHeight="1" spans="1:13">
      <c r="A1426" s="47" t="s">
        <v>2575</v>
      </c>
      <c r="B1426" s="47" t="s">
        <v>2576</v>
      </c>
      <c r="C1426" s="47" t="s">
        <v>408</v>
      </c>
      <c r="D1426" s="47" t="s">
        <v>43</v>
      </c>
      <c r="E1426" s="47" t="s">
        <v>103</v>
      </c>
      <c r="F1426" s="47" t="s">
        <v>37</v>
      </c>
      <c r="G1426" s="47" t="s">
        <v>19</v>
      </c>
      <c r="H1426" s="47" t="s">
        <v>77</v>
      </c>
      <c r="I1426" s="47" t="s">
        <v>96</v>
      </c>
      <c r="J1426" s="47" t="s">
        <v>22</v>
      </c>
      <c r="K1426" s="59" t="s">
        <v>23</v>
      </c>
      <c r="L1426" s="47" t="s">
        <v>65</v>
      </c>
      <c r="M1426" s="47" t="s">
        <v>490</v>
      </c>
    </row>
    <row r="1427" customHeight="1" spans="1:13">
      <c r="A1427" s="47" t="s">
        <v>2577</v>
      </c>
      <c r="B1427" s="47" t="s">
        <v>2570</v>
      </c>
      <c r="C1427" s="47" t="s">
        <v>363</v>
      </c>
      <c r="D1427" s="47" t="s">
        <v>62</v>
      </c>
      <c r="E1427" s="47" t="s">
        <v>27</v>
      </c>
      <c r="F1427" s="47" t="s">
        <v>28</v>
      </c>
      <c r="G1427" s="47" t="s">
        <v>38</v>
      </c>
      <c r="H1427" s="47" t="s">
        <v>30</v>
      </c>
      <c r="I1427" s="47" t="s">
        <v>30</v>
      </c>
      <c r="J1427" s="47" t="s">
        <v>22</v>
      </c>
      <c r="K1427" s="59" t="s">
        <v>23</v>
      </c>
      <c r="L1427" s="47" t="s">
        <v>65</v>
      </c>
      <c r="M1427" s="47" t="s">
        <v>73</v>
      </c>
    </row>
    <row r="1428" customHeight="1" spans="1:13">
      <c r="A1428" s="47" t="s">
        <v>2578</v>
      </c>
      <c r="B1428" s="47" t="s">
        <v>2570</v>
      </c>
      <c r="C1428" s="47" t="s">
        <v>837</v>
      </c>
      <c r="D1428" s="47" t="s">
        <v>43</v>
      </c>
      <c r="E1428" s="47" t="s">
        <v>27</v>
      </c>
      <c r="F1428" s="47" t="s">
        <v>28</v>
      </c>
      <c r="G1428" s="47" t="s">
        <v>38</v>
      </c>
      <c r="H1428" s="47" t="s">
        <v>30</v>
      </c>
      <c r="I1428" s="47" t="s">
        <v>30</v>
      </c>
      <c r="J1428" s="47" t="s">
        <v>22</v>
      </c>
      <c r="K1428" s="59" t="s">
        <v>23</v>
      </c>
      <c r="L1428" s="59" t="s">
        <v>23</v>
      </c>
      <c r="M1428" s="47" t="s">
        <v>47</v>
      </c>
    </row>
    <row r="1429" customHeight="1" spans="1:13">
      <c r="A1429" s="47" t="s">
        <v>2579</v>
      </c>
      <c r="B1429" s="47" t="s">
        <v>2567</v>
      </c>
      <c r="C1429" s="47" t="s">
        <v>297</v>
      </c>
      <c r="D1429" s="47" t="s">
        <v>43</v>
      </c>
      <c r="E1429" s="47" t="s">
        <v>367</v>
      </c>
      <c r="F1429" s="47" t="s">
        <v>109</v>
      </c>
      <c r="G1429" s="47" t="s">
        <v>38</v>
      </c>
      <c r="H1429" s="47" t="s">
        <v>110</v>
      </c>
      <c r="I1429" s="47" t="s">
        <v>110</v>
      </c>
      <c r="J1429" s="47" t="s">
        <v>22</v>
      </c>
      <c r="K1429" s="59" t="s">
        <v>23</v>
      </c>
      <c r="L1429" s="47" t="s">
        <v>54</v>
      </c>
      <c r="M1429" s="47" t="s">
        <v>73</v>
      </c>
    </row>
    <row r="1430" customHeight="1" spans="1:13">
      <c r="A1430" s="47" t="s">
        <v>2580</v>
      </c>
      <c r="B1430" s="47" t="s">
        <v>2581</v>
      </c>
      <c r="C1430" s="47" t="s">
        <v>2582</v>
      </c>
      <c r="D1430" s="47" t="s">
        <v>107</v>
      </c>
      <c r="E1430" s="47" t="s">
        <v>81</v>
      </c>
      <c r="F1430" s="47" t="s">
        <v>37</v>
      </c>
      <c r="G1430" s="47" t="s">
        <v>38</v>
      </c>
      <c r="H1430" s="47" t="s">
        <v>769</v>
      </c>
      <c r="I1430" s="47" t="s">
        <v>82</v>
      </c>
      <c r="J1430" s="47" t="s">
        <v>32</v>
      </c>
      <c r="K1430" s="59" t="s">
        <v>23</v>
      </c>
      <c r="L1430" s="59" t="s">
        <v>23</v>
      </c>
      <c r="M1430" s="47" t="s">
        <v>577</v>
      </c>
    </row>
    <row r="1431" customHeight="1" spans="1:13">
      <c r="A1431" s="47" t="s">
        <v>2583</v>
      </c>
      <c r="B1431" s="47" t="s">
        <v>2581</v>
      </c>
      <c r="C1431" s="47" t="s">
        <v>2070</v>
      </c>
      <c r="D1431" s="47" t="s">
        <v>513</v>
      </c>
      <c r="E1431" s="47" t="s">
        <v>44</v>
      </c>
      <c r="F1431" s="47" t="s">
        <v>45</v>
      </c>
      <c r="G1431" s="59" t="s">
        <v>23</v>
      </c>
      <c r="H1431" s="47" t="s">
        <v>46</v>
      </c>
      <c r="I1431" s="47" t="s">
        <v>114</v>
      </c>
      <c r="J1431" s="47" t="s">
        <v>22</v>
      </c>
      <c r="K1431" s="59" t="s">
        <v>23</v>
      </c>
      <c r="L1431" s="47" t="s">
        <v>65</v>
      </c>
      <c r="M1431" s="47" t="s">
        <v>24</v>
      </c>
    </row>
    <row r="1432" customHeight="1" spans="1:13">
      <c r="A1432" s="47" t="s">
        <v>2584</v>
      </c>
      <c r="B1432" s="47" t="s">
        <v>2581</v>
      </c>
      <c r="C1432" s="47" t="s">
        <v>15</v>
      </c>
      <c r="D1432" s="47" t="s">
        <v>107</v>
      </c>
      <c r="E1432" s="47" t="s">
        <v>17</v>
      </c>
      <c r="F1432" s="47" t="s">
        <v>18</v>
      </c>
      <c r="G1432" s="47" t="s">
        <v>38</v>
      </c>
      <c r="H1432" s="47" t="s">
        <v>20</v>
      </c>
      <c r="I1432" s="47" t="s">
        <v>20</v>
      </c>
      <c r="J1432" s="47" t="s">
        <v>22</v>
      </c>
      <c r="K1432" s="59" t="s">
        <v>23</v>
      </c>
      <c r="L1432" s="59" t="s">
        <v>23</v>
      </c>
      <c r="M1432" s="47" t="s">
        <v>181</v>
      </c>
    </row>
    <row r="1433" customHeight="1" spans="1:13">
      <c r="A1433" s="47" t="s">
        <v>2585</v>
      </c>
      <c r="B1433" s="47" t="s">
        <v>2581</v>
      </c>
      <c r="C1433" s="47" t="s">
        <v>2586</v>
      </c>
      <c r="D1433" s="47" t="s">
        <v>43</v>
      </c>
      <c r="E1433" s="47" t="s">
        <v>81</v>
      </c>
      <c r="F1433" s="47" t="s">
        <v>37</v>
      </c>
      <c r="G1433" s="47" t="s">
        <v>38</v>
      </c>
      <c r="H1433" s="47" t="s">
        <v>82</v>
      </c>
      <c r="I1433" s="47" t="s">
        <v>82</v>
      </c>
      <c r="J1433" s="47" t="s">
        <v>32</v>
      </c>
      <c r="K1433" s="59" t="s">
        <v>23</v>
      </c>
      <c r="L1433" s="59" t="s">
        <v>23</v>
      </c>
      <c r="M1433" s="47" t="s">
        <v>24</v>
      </c>
    </row>
    <row r="1434" customHeight="1" spans="1:13">
      <c r="A1434" s="47" t="s">
        <v>2587</v>
      </c>
      <c r="B1434" s="47" t="s">
        <v>2581</v>
      </c>
      <c r="C1434" s="47" t="s">
        <v>1400</v>
      </c>
      <c r="D1434" s="47" t="s">
        <v>16</v>
      </c>
      <c r="E1434" s="47" t="s">
        <v>700</v>
      </c>
      <c r="F1434" s="47" t="s">
        <v>18</v>
      </c>
      <c r="G1434" s="47" t="s">
        <v>38</v>
      </c>
      <c r="H1434" s="47" t="s">
        <v>64</v>
      </c>
      <c r="I1434" s="47" t="s">
        <v>64</v>
      </c>
      <c r="J1434" s="47" t="s">
        <v>22</v>
      </c>
      <c r="K1434" s="59" t="s">
        <v>23</v>
      </c>
      <c r="L1434" s="59" t="s">
        <v>23</v>
      </c>
      <c r="M1434" s="47" t="s">
        <v>24</v>
      </c>
    </row>
    <row r="1435" customHeight="1" spans="1:13">
      <c r="A1435" s="47" t="s">
        <v>2588</v>
      </c>
      <c r="B1435" s="47" t="s">
        <v>2581</v>
      </c>
      <c r="C1435" s="47" t="s">
        <v>637</v>
      </c>
      <c r="D1435" s="47" t="s">
        <v>43</v>
      </c>
      <c r="E1435" s="47" t="s">
        <v>57</v>
      </c>
      <c r="F1435" s="59" t="s">
        <v>23</v>
      </c>
      <c r="G1435" s="47" t="s">
        <v>19</v>
      </c>
      <c r="H1435" s="47" t="s">
        <v>58</v>
      </c>
      <c r="I1435" s="47" t="s">
        <v>140</v>
      </c>
      <c r="J1435" s="47" t="s">
        <v>32</v>
      </c>
      <c r="K1435" s="59" t="s">
        <v>23</v>
      </c>
      <c r="L1435" s="59" t="s">
        <v>23</v>
      </c>
      <c r="M1435" s="47" t="s">
        <v>47</v>
      </c>
    </row>
    <row r="1436" customHeight="1" spans="1:13">
      <c r="A1436" s="47" t="s">
        <v>2589</v>
      </c>
      <c r="B1436" s="47" t="s">
        <v>2581</v>
      </c>
      <c r="C1436" s="47" t="s">
        <v>765</v>
      </c>
      <c r="D1436" s="47" t="s">
        <v>43</v>
      </c>
      <c r="E1436" s="47" t="s">
        <v>50</v>
      </c>
      <c r="F1436" s="47" t="s">
        <v>28</v>
      </c>
      <c r="G1436" s="47" t="s">
        <v>29</v>
      </c>
      <c r="H1436" s="47" t="s">
        <v>52</v>
      </c>
      <c r="I1436" s="59" t="s">
        <v>23</v>
      </c>
      <c r="J1436" s="47" t="s">
        <v>22</v>
      </c>
      <c r="K1436" s="59" t="s">
        <v>23</v>
      </c>
      <c r="L1436" s="47" t="s">
        <v>65</v>
      </c>
      <c r="M1436" s="47" t="s">
        <v>73</v>
      </c>
    </row>
    <row r="1437" customHeight="1" spans="1:13">
      <c r="A1437" s="47" t="s">
        <v>2590</v>
      </c>
      <c r="B1437" s="47" t="s">
        <v>2581</v>
      </c>
      <c r="C1437" s="47" t="s">
        <v>1291</v>
      </c>
      <c r="D1437" s="47" t="s">
        <v>43</v>
      </c>
      <c r="E1437" s="47" t="s">
        <v>146</v>
      </c>
      <c r="F1437" s="47" t="s">
        <v>28</v>
      </c>
      <c r="G1437" s="47" t="s">
        <v>38</v>
      </c>
      <c r="H1437" s="47" t="s">
        <v>147</v>
      </c>
      <c r="I1437" s="59" t="s">
        <v>23</v>
      </c>
      <c r="J1437" s="47" t="s">
        <v>32</v>
      </c>
      <c r="K1437" s="59" t="s">
        <v>23</v>
      </c>
      <c r="L1437" s="47" t="s">
        <v>54</v>
      </c>
      <c r="M1437" s="47" t="s">
        <v>33</v>
      </c>
    </row>
    <row r="1438" customHeight="1" spans="1:13">
      <c r="A1438" s="47" t="s">
        <v>2591</v>
      </c>
      <c r="B1438" s="47" t="s">
        <v>2592</v>
      </c>
      <c r="C1438" s="47" t="s">
        <v>2593</v>
      </c>
      <c r="D1438" s="47" t="s">
        <v>16</v>
      </c>
      <c r="E1438" s="47" t="s">
        <v>103</v>
      </c>
      <c r="F1438" s="47" t="s">
        <v>37</v>
      </c>
      <c r="G1438" s="47" t="s">
        <v>38</v>
      </c>
      <c r="H1438" s="47" t="s">
        <v>77</v>
      </c>
      <c r="I1438" s="47" t="s">
        <v>77</v>
      </c>
      <c r="J1438" s="47" t="s">
        <v>32</v>
      </c>
      <c r="K1438" s="47" t="s">
        <v>53</v>
      </c>
      <c r="L1438" s="59" t="s">
        <v>23</v>
      </c>
      <c r="M1438" s="47" t="s">
        <v>33</v>
      </c>
    </row>
    <row r="1439" customHeight="1" spans="1:13">
      <c r="A1439" s="47" t="s">
        <v>2594</v>
      </c>
      <c r="B1439" s="47" t="s">
        <v>2595</v>
      </c>
      <c r="C1439" s="47" t="s">
        <v>2596</v>
      </c>
      <c r="D1439" s="47" t="s">
        <v>16</v>
      </c>
      <c r="E1439" s="47" t="s">
        <v>27</v>
      </c>
      <c r="F1439" s="47" t="s">
        <v>28</v>
      </c>
      <c r="G1439" s="47" t="s">
        <v>38</v>
      </c>
      <c r="H1439" s="47" t="s">
        <v>30</v>
      </c>
      <c r="I1439" s="47" t="s">
        <v>2597</v>
      </c>
      <c r="J1439" s="47" t="s">
        <v>32</v>
      </c>
      <c r="K1439" s="59" t="s">
        <v>23</v>
      </c>
      <c r="L1439" s="59" t="s">
        <v>23</v>
      </c>
      <c r="M1439" s="47" t="s">
        <v>40</v>
      </c>
    </row>
    <row r="1440" customHeight="1" spans="1:13">
      <c r="A1440" s="47" t="s">
        <v>2598</v>
      </c>
      <c r="B1440" s="47" t="s">
        <v>2592</v>
      </c>
      <c r="C1440" s="47" t="s">
        <v>2599</v>
      </c>
      <c r="D1440" s="47" t="s">
        <v>16</v>
      </c>
      <c r="E1440" s="47" t="s">
        <v>50</v>
      </c>
      <c r="F1440" s="59" t="s">
        <v>23</v>
      </c>
      <c r="G1440" s="47" t="s">
        <v>38</v>
      </c>
      <c r="H1440" s="47" t="s">
        <v>52</v>
      </c>
      <c r="I1440" s="47" t="s">
        <v>347</v>
      </c>
      <c r="J1440" s="47" t="s">
        <v>32</v>
      </c>
      <c r="K1440" s="59" t="s">
        <v>23</v>
      </c>
      <c r="L1440" s="59" t="s">
        <v>23</v>
      </c>
      <c r="M1440" s="47" t="s">
        <v>47</v>
      </c>
    </row>
    <row r="1441" customHeight="1" spans="1:13">
      <c r="A1441" s="47" t="s">
        <v>2600</v>
      </c>
      <c r="B1441" s="47" t="s">
        <v>2592</v>
      </c>
      <c r="C1441" s="47" t="s">
        <v>802</v>
      </c>
      <c r="D1441" s="47" t="s">
        <v>16</v>
      </c>
      <c r="E1441" s="47" t="s">
        <v>63</v>
      </c>
      <c r="F1441" s="47" t="s">
        <v>18</v>
      </c>
      <c r="G1441" s="47" t="s">
        <v>38</v>
      </c>
      <c r="H1441" s="47" t="s">
        <v>64</v>
      </c>
      <c r="I1441" s="47" t="s">
        <v>64</v>
      </c>
      <c r="J1441" s="47" t="s">
        <v>22</v>
      </c>
      <c r="K1441" s="59" t="s">
        <v>23</v>
      </c>
      <c r="L1441" s="47" t="s">
        <v>29</v>
      </c>
      <c r="M1441" s="47" t="s">
        <v>47</v>
      </c>
    </row>
    <row r="1442" customHeight="1" spans="1:13">
      <c r="A1442" s="47" t="s">
        <v>2601</v>
      </c>
      <c r="B1442" s="47" t="s">
        <v>2592</v>
      </c>
      <c r="C1442" s="47" t="s">
        <v>85</v>
      </c>
      <c r="D1442" s="47" t="s">
        <v>107</v>
      </c>
      <c r="E1442" s="47" t="s">
        <v>146</v>
      </c>
      <c r="F1442" s="47" t="s">
        <v>28</v>
      </c>
      <c r="G1442" s="47" t="s">
        <v>38</v>
      </c>
      <c r="H1442" s="47" t="s">
        <v>147</v>
      </c>
      <c r="I1442" s="47" t="s">
        <v>147</v>
      </c>
      <c r="J1442" s="47" t="s">
        <v>32</v>
      </c>
      <c r="K1442" s="59" t="s">
        <v>23</v>
      </c>
      <c r="L1442" s="59" t="s">
        <v>23</v>
      </c>
      <c r="M1442" s="47" t="s">
        <v>33</v>
      </c>
    </row>
    <row r="1443" customHeight="1" spans="1:13">
      <c r="A1443" s="47" t="s">
        <v>2602</v>
      </c>
      <c r="B1443" s="47" t="s">
        <v>2603</v>
      </c>
      <c r="C1443" s="47" t="s">
        <v>1615</v>
      </c>
      <c r="D1443" s="47" t="s">
        <v>234</v>
      </c>
      <c r="E1443" s="47" t="s">
        <v>17</v>
      </c>
      <c r="F1443" s="47" t="s">
        <v>18</v>
      </c>
      <c r="G1443" s="47" t="s">
        <v>38</v>
      </c>
      <c r="H1443" s="47" t="s">
        <v>20</v>
      </c>
      <c r="I1443" s="47" t="s">
        <v>827</v>
      </c>
      <c r="J1443" s="47" t="s">
        <v>22</v>
      </c>
      <c r="K1443" s="47" t="s">
        <v>53</v>
      </c>
      <c r="L1443" s="59" t="s">
        <v>23</v>
      </c>
      <c r="M1443" s="47" t="s">
        <v>47</v>
      </c>
    </row>
    <row r="1444" customHeight="1" spans="1:13">
      <c r="A1444" s="47" t="s">
        <v>2604</v>
      </c>
      <c r="B1444" s="47" t="s">
        <v>2592</v>
      </c>
      <c r="C1444" s="47" t="s">
        <v>61</v>
      </c>
      <c r="D1444" s="47" t="s">
        <v>43</v>
      </c>
      <c r="E1444" s="47" t="s">
        <v>199</v>
      </c>
      <c r="F1444" s="47" t="s">
        <v>18</v>
      </c>
      <c r="G1444" s="47" t="s">
        <v>38</v>
      </c>
      <c r="H1444" s="47" t="s">
        <v>39</v>
      </c>
      <c r="I1444" s="47" t="s">
        <v>39</v>
      </c>
      <c r="J1444" s="47" t="s">
        <v>32</v>
      </c>
      <c r="K1444" s="59" t="s">
        <v>23</v>
      </c>
      <c r="L1444" s="47" t="s">
        <v>54</v>
      </c>
      <c r="M1444" s="47" t="s">
        <v>24</v>
      </c>
    </row>
    <row r="1445" customHeight="1" spans="1:13">
      <c r="A1445" s="47" t="s">
        <v>2605</v>
      </c>
      <c r="B1445" s="47" t="s">
        <v>2592</v>
      </c>
      <c r="C1445" s="47" t="s">
        <v>430</v>
      </c>
      <c r="D1445" s="47" t="s">
        <v>16</v>
      </c>
      <c r="E1445" s="47" t="s">
        <v>17</v>
      </c>
      <c r="F1445" s="47" t="s">
        <v>18</v>
      </c>
      <c r="G1445" s="47" t="s">
        <v>38</v>
      </c>
      <c r="H1445" s="47" t="s">
        <v>20</v>
      </c>
      <c r="I1445" s="47" t="s">
        <v>20</v>
      </c>
      <c r="J1445" s="47" t="s">
        <v>22</v>
      </c>
      <c r="K1445" s="59" t="s">
        <v>23</v>
      </c>
      <c r="L1445" s="59" t="s">
        <v>23</v>
      </c>
      <c r="M1445" s="47" t="s">
        <v>47</v>
      </c>
    </row>
    <row r="1446" customHeight="1" spans="1:13">
      <c r="A1446" s="47" t="s">
        <v>2606</v>
      </c>
      <c r="B1446" s="47" t="s">
        <v>2592</v>
      </c>
      <c r="C1446" s="47" t="s">
        <v>1637</v>
      </c>
      <c r="D1446" s="47" t="s">
        <v>16</v>
      </c>
      <c r="E1446" s="47" t="s">
        <v>199</v>
      </c>
      <c r="F1446" s="47" t="s">
        <v>18</v>
      </c>
      <c r="G1446" s="47" t="s">
        <v>38</v>
      </c>
      <c r="H1446" s="47" t="s">
        <v>39</v>
      </c>
      <c r="I1446" s="47" t="s">
        <v>39</v>
      </c>
      <c r="J1446" s="47" t="s">
        <v>32</v>
      </c>
      <c r="K1446" s="59" t="s">
        <v>23</v>
      </c>
      <c r="L1446" s="59" t="s">
        <v>23</v>
      </c>
      <c r="M1446" s="47" t="s">
        <v>24</v>
      </c>
    </row>
    <row r="1447" customHeight="1" spans="1:13">
      <c r="A1447" s="47" t="s">
        <v>2607</v>
      </c>
      <c r="B1447" s="47" t="s">
        <v>2592</v>
      </c>
      <c r="C1447" s="47" t="s">
        <v>468</v>
      </c>
      <c r="D1447" s="47" t="s">
        <v>43</v>
      </c>
      <c r="E1447" s="47" t="s">
        <v>63</v>
      </c>
      <c r="F1447" s="47" t="s">
        <v>18</v>
      </c>
      <c r="G1447" s="47" t="s">
        <v>19</v>
      </c>
      <c r="H1447" s="47" t="s">
        <v>64</v>
      </c>
      <c r="I1447" s="47" t="s">
        <v>39</v>
      </c>
      <c r="J1447" s="47" t="s">
        <v>32</v>
      </c>
      <c r="K1447" s="59" t="s">
        <v>23</v>
      </c>
      <c r="L1447" s="59" t="s">
        <v>23</v>
      </c>
      <c r="M1447" s="47" t="s">
        <v>40</v>
      </c>
    </row>
    <row r="1448" customHeight="1" spans="1:13">
      <c r="A1448" s="47" t="s">
        <v>2608</v>
      </c>
      <c r="B1448" s="47" t="s">
        <v>2592</v>
      </c>
      <c r="C1448" s="47" t="s">
        <v>676</v>
      </c>
      <c r="D1448" s="47" t="s">
        <v>43</v>
      </c>
      <c r="E1448" s="47" t="s">
        <v>63</v>
      </c>
      <c r="F1448" s="47" t="s">
        <v>18</v>
      </c>
      <c r="G1448" s="47" t="s">
        <v>19</v>
      </c>
      <c r="H1448" s="47" t="s">
        <v>64</v>
      </c>
      <c r="I1448" s="59" t="s">
        <v>23</v>
      </c>
      <c r="J1448" s="47" t="s">
        <v>22</v>
      </c>
      <c r="K1448" s="59" t="s">
        <v>23</v>
      </c>
      <c r="L1448" s="59" t="s">
        <v>23</v>
      </c>
      <c r="M1448" s="47" t="s">
        <v>33</v>
      </c>
    </row>
    <row r="1449" customHeight="1" spans="1:13">
      <c r="A1449" s="47" t="s">
        <v>2609</v>
      </c>
      <c r="B1449" s="47" t="s">
        <v>2592</v>
      </c>
      <c r="C1449" s="47" t="s">
        <v>747</v>
      </c>
      <c r="D1449" s="47" t="s">
        <v>16</v>
      </c>
      <c r="E1449" s="47" t="s">
        <v>17</v>
      </c>
      <c r="F1449" s="47" t="s">
        <v>18</v>
      </c>
      <c r="G1449" s="47" t="s">
        <v>38</v>
      </c>
      <c r="H1449" s="47" t="s">
        <v>20</v>
      </c>
      <c r="I1449" s="59" t="s">
        <v>23</v>
      </c>
      <c r="J1449" s="47" t="s">
        <v>22</v>
      </c>
      <c r="K1449" s="59" t="s">
        <v>23</v>
      </c>
      <c r="L1449" s="59" t="s">
        <v>23</v>
      </c>
      <c r="M1449" s="47" t="s">
        <v>47</v>
      </c>
    </row>
    <row r="1450" customHeight="1" spans="1:13">
      <c r="A1450" s="47" t="s">
        <v>2609</v>
      </c>
      <c r="B1450" s="47" t="s">
        <v>2595</v>
      </c>
      <c r="C1450" s="47" t="s">
        <v>747</v>
      </c>
      <c r="D1450" s="47" t="s">
        <v>16</v>
      </c>
      <c r="E1450" s="47" t="s">
        <v>17</v>
      </c>
      <c r="F1450" s="47" t="s">
        <v>18</v>
      </c>
      <c r="G1450" s="59" t="s">
        <v>23</v>
      </c>
      <c r="H1450" s="47" t="s">
        <v>20</v>
      </c>
      <c r="I1450" s="47" t="s">
        <v>20</v>
      </c>
      <c r="J1450" s="47" t="s">
        <v>22</v>
      </c>
      <c r="K1450" s="59" t="s">
        <v>23</v>
      </c>
      <c r="L1450" s="59" t="s">
        <v>23</v>
      </c>
      <c r="M1450" s="47" t="s">
        <v>47</v>
      </c>
    </row>
    <row r="1451" customHeight="1" spans="1:13">
      <c r="A1451" s="47" t="s">
        <v>2610</v>
      </c>
      <c r="B1451" s="47" t="s">
        <v>2611</v>
      </c>
      <c r="C1451" s="47" t="s">
        <v>2251</v>
      </c>
      <c r="D1451" s="47" t="s">
        <v>934</v>
      </c>
      <c r="E1451" s="47" t="s">
        <v>63</v>
      </c>
      <c r="F1451" s="47" t="s">
        <v>18</v>
      </c>
      <c r="G1451" s="47" t="s">
        <v>38</v>
      </c>
      <c r="H1451" s="47" t="s">
        <v>64</v>
      </c>
      <c r="I1451" s="47" t="s">
        <v>64</v>
      </c>
      <c r="J1451" s="47" t="s">
        <v>32</v>
      </c>
      <c r="K1451" s="59" t="s">
        <v>23</v>
      </c>
      <c r="L1451" s="59" t="s">
        <v>23</v>
      </c>
      <c r="M1451" s="47" t="s">
        <v>73</v>
      </c>
    </row>
    <row r="1452" customHeight="1" spans="1:13">
      <c r="A1452" s="47" t="s">
        <v>2612</v>
      </c>
      <c r="B1452" s="47" t="s">
        <v>2611</v>
      </c>
      <c r="C1452" s="47" t="s">
        <v>2613</v>
      </c>
      <c r="D1452" s="47" t="s">
        <v>43</v>
      </c>
      <c r="E1452" s="47" t="s">
        <v>103</v>
      </c>
      <c r="F1452" s="47" t="s">
        <v>37</v>
      </c>
      <c r="G1452" s="47" t="s">
        <v>38</v>
      </c>
      <c r="H1452" s="47" t="s">
        <v>77</v>
      </c>
      <c r="I1452" s="47" t="s">
        <v>77</v>
      </c>
      <c r="J1452" s="47" t="s">
        <v>22</v>
      </c>
      <c r="K1452" s="59" t="s">
        <v>23</v>
      </c>
      <c r="L1452" s="47" t="s">
        <v>65</v>
      </c>
      <c r="M1452" s="47" t="s">
        <v>490</v>
      </c>
    </row>
    <row r="1453" customHeight="1" spans="1:13">
      <c r="A1453" s="47" t="s">
        <v>2614</v>
      </c>
      <c r="B1453" s="47" t="s">
        <v>2611</v>
      </c>
      <c r="C1453" s="47" t="s">
        <v>1981</v>
      </c>
      <c r="D1453" s="47" t="s">
        <v>107</v>
      </c>
      <c r="E1453" s="47" t="s">
        <v>63</v>
      </c>
      <c r="F1453" s="47" t="s">
        <v>18</v>
      </c>
      <c r="G1453" s="47" t="s">
        <v>38</v>
      </c>
      <c r="H1453" s="47" t="s">
        <v>64</v>
      </c>
      <c r="I1453" s="47" t="s">
        <v>64</v>
      </c>
      <c r="J1453" s="47" t="s">
        <v>32</v>
      </c>
      <c r="K1453" s="59" t="s">
        <v>23</v>
      </c>
      <c r="L1453" s="59" t="s">
        <v>23</v>
      </c>
      <c r="M1453" s="47" t="s">
        <v>24</v>
      </c>
    </row>
    <row r="1454" customHeight="1" spans="1:13">
      <c r="A1454" s="47" t="s">
        <v>2615</v>
      </c>
      <c r="B1454" s="47" t="s">
        <v>2611</v>
      </c>
      <c r="C1454" s="47" t="s">
        <v>2616</v>
      </c>
      <c r="D1454" s="47" t="s">
        <v>107</v>
      </c>
      <c r="E1454" s="47" t="s">
        <v>63</v>
      </c>
      <c r="F1454" s="47" t="s">
        <v>18</v>
      </c>
      <c r="G1454" s="47" t="s">
        <v>38</v>
      </c>
      <c r="H1454" s="47" t="s">
        <v>64</v>
      </c>
      <c r="I1454" s="47" t="s">
        <v>162</v>
      </c>
      <c r="J1454" s="47" t="s">
        <v>32</v>
      </c>
      <c r="K1454" s="47" t="s">
        <v>53</v>
      </c>
      <c r="L1454" s="59" t="s">
        <v>23</v>
      </c>
      <c r="M1454" s="47" t="s">
        <v>73</v>
      </c>
    </row>
    <row r="1455" customHeight="1" spans="1:13">
      <c r="A1455" s="47" t="s">
        <v>2617</v>
      </c>
      <c r="B1455" s="47" t="s">
        <v>2611</v>
      </c>
      <c r="C1455" s="47" t="s">
        <v>909</v>
      </c>
      <c r="D1455" s="47" t="s">
        <v>513</v>
      </c>
      <c r="E1455" s="47" t="s">
        <v>161</v>
      </c>
      <c r="F1455" s="47" t="s">
        <v>18</v>
      </c>
      <c r="G1455" s="47" t="s">
        <v>19</v>
      </c>
      <c r="H1455" s="47" t="s">
        <v>64</v>
      </c>
      <c r="I1455" s="47" t="s">
        <v>39</v>
      </c>
      <c r="J1455" s="47" t="s">
        <v>22</v>
      </c>
      <c r="K1455" s="59" t="s">
        <v>23</v>
      </c>
      <c r="L1455" s="47" t="s">
        <v>65</v>
      </c>
      <c r="M1455" s="47" t="s">
        <v>47</v>
      </c>
    </row>
    <row r="1456" customHeight="1" spans="1:13">
      <c r="A1456" s="47" t="s">
        <v>2618</v>
      </c>
      <c r="B1456" s="47" t="s">
        <v>2611</v>
      </c>
      <c r="C1456" s="47" t="s">
        <v>1663</v>
      </c>
      <c r="D1456" s="47" t="s">
        <v>43</v>
      </c>
      <c r="E1456" s="47" t="s">
        <v>63</v>
      </c>
      <c r="F1456" s="47" t="s">
        <v>18</v>
      </c>
      <c r="G1456" s="47" t="s">
        <v>38</v>
      </c>
      <c r="H1456" s="47" t="s">
        <v>64</v>
      </c>
      <c r="I1456" s="59" t="s">
        <v>23</v>
      </c>
      <c r="J1456" s="47" t="s">
        <v>32</v>
      </c>
      <c r="K1456" s="59" t="s">
        <v>23</v>
      </c>
      <c r="L1456" s="59" t="s">
        <v>23</v>
      </c>
      <c r="M1456" s="47" t="s">
        <v>1177</v>
      </c>
    </row>
    <row r="1457" customHeight="1" spans="1:13">
      <c r="A1457" s="47" t="s">
        <v>2619</v>
      </c>
      <c r="B1457" s="47" t="s">
        <v>2620</v>
      </c>
      <c r="C1457" s="47" t="s">
        <v>2621</v>
      </c>
      <c r="D1457" s="47" t="s">
        <v>107</v>
      </c>
      <c r="E1457" s="47" t="s">
        <v>81</v>
      </c>
      <c r="F1457" s="47" t="s">
        <v>37</v>
      </c>
      <c r="G1457" s="47" t="s">
        <v>38</v>
      </c>
      <c r="H1457" s="47" t="s">
        <v>82</v>
      </c>
      <c r="I1457" s="47" t="s">
        <v>82</v>
      </c>
      <c r="J1457" s="47" t="s">
        <v>32</v>
      </c>
      <c r="K1457" s="59" t="s">
        <v>23</v>
      </c>
      <c r="L1457" s="59" t="s">
        <v>23</v>
      </c>
      <c r="M1457" s="47" t="s">
        <v>40</v>
      </c>
    </row>
    <row r="1458" customHeight="1" spans="1:13">
      <c r="A1458" s="47" t="s">
        <v>2622</v>
      </c>
      <c r="B1458" s="47" t="s">
        <v>2623</v>
      </c>
      <c r="C1458" s="47" t="s">
        <v>142</v>
      </c>
      <c r="D1458" s="47" t="s">
        <v>16</v>
      </c>
      <c r="E1458" s="47" t="s">
        <v>1082</v>
      </c>
      <c r="F1458" s="47" t="s">
        <v>28</v>
      </c>
      <c r="G1458" s="47" t="s">
        <v>19</v>
      </c>
      <c r="H1458" s="47" t="s">
        <v>30</v>
      </c>
      <c r="I1458" s="47" t="s">
        <v>258</v>
      </c>
      <c r="J1458" s="47" t="s">
        <v>32</v>
      </c>
      <c r="K1458" s="59" t="s">
        <v>23</v>
      </c>
      <c r="L1458" s="47" t="s">
        <v>65</v>
      </c>
      <c r="M1458" s="47" t="s">
        <v>33</v>
      </c>
    </row>
    <row r="1459" customHeight="1" spans="1:13">
      <c r="A1459" s="47" t="s">
        <v>2624</v>
      </c>
      <c r="B1459" s="47" t="s">
        <v>2620</v>
      </c>
      <c r="C1459" s="47" t="s">
        <v>2341</v>
      </c>
      <c r="D1459" s="47" t="s">
        <v>43</v>
      </c>
      <c r="E1459" s="47" t="s">
        <v>50</v>
      </c>
      <c r="F1459" s="47" t="s">
        <v>28</v>
      </c>
      <c r="G1459" s="47" t="s">
        <v>38</v>
      </c>
      <c r="H1459" s="59" t="s">
        <v>23</v>
      </c>
      <c r="I1459" s="47" t="s">
        <v>52</v>
      </c>
      <c r="J1459" s="47" t="s">
        <v>32</v>
      </c>
      <c r="K1459" s="59" t="s">
        <v>23</v>
      </c>
      <c r="L1459" s="59" t="s">
        <v>23</v>
      </c>
      <c r="M1459" s="47" t="s">
        <v>24</v>
      </c>
    </row>
    <row r="1460" customHeight="1" spans="1:13">
      <c r="A1460" s="47" t="s">
        <v>2625</v>
      </c>
      <c r="B1460" s="47" t="s">
        <v>2620</v>
      </c>
      <c r="C1460" s="47" t="s">
        <v>750</v>
      </c>
      <c r="D1460" s="47" t="s">
        <v>137</v>
      </c>
      <c r="E1460" s="47" t="s">
        <v>146</v>
      </c>
      <c r="F1460" s="47" t="s">
        <v>28</v>
      </c>
      <c r="G1460" s="47" t="s">
        <v>38</v>
      </c>
      <c r="H1460" s="47" t="s">
        <v>147</v>
      </c>
      <c r="I1460" s="47" t="s">
        <v>147</v>
      </c>
      <c r="J1460" s="47" t="s">
        <v>32</v>
      </c>
      <c r="K1460" s="59" t="s">
        <v>23</v>
      </c>
      <c r="L1460" s="59" t="s">
        <v>23</v>
      </c>
      <c r="M1460" s="47" t="s">
        <v>24</v>
      </c>
    </row>
    <row r="1461" customHeight="1" spans="1:13">
      <c r="A1461" s="47" t="s">
        <v>2626</v>
      </c>
      <c r="B1461" s="47" t="s">
        <v>2620</v>
      </c>
      <c r="C1461" s="47" t="s">
        <v>70</v>
      </c>
      <c r="D1461" s="47" t="s">
        <v>16</v>
      </c>
      <c r="E1461" s="47" t="s">
        <v>267</v>
      </c>
      <c r="F1461" s="47" t="s">
        <v>18</v>
      </c>
      <c r="G1461" s="47" t="s">
        <v>38</v>
      </c>
      <c r="H1461" s="47" t="s">
        <v>64</v>
      </c>
      <c r="I1461" s="47" t="s">
        <v>64</v>
      </c>
      <c r="J1461" s="47" t="s">
        <v>22</v>
      </c>
      <c r="K1461" s="59" t="s">
        <v>23</v>
      </c>
      <c r="L1461" s="59" t="s">
        <v>23</v>
      </c>
      <c r="M1461" s="47" t="s">
        <v>24</v>
      </c>
    </row>
    <row r="1462" customHeight="1" spans="1:13">
      <c r="A1462" s="47" t="s">
        <v>2627</v>
      </c>
      <c r="B1462" s="47" t="s">
        <v>2620</v>
      </c>
      <c r="C1462" s="47" t="s">
        <v>1900</v>
      </c>
      <c r="D1462" s="47" t="s">
        <v>16</v>
      </c>
      <c r="E1462" s="47" t="s">
        <v>81</v>
      </c>
      <c r="F1462" s="47" t="s">
        <v>37</v>
      </c>
      <c r="G1462" s="47" t="s">
        <v>38</v>
      </c>
      <c r="H1462" s="59" t="s">
        <v>23</v>
      </c>
      <c r="I1462" s="47" t="s">
        <v>82</v>
      </c>
      <c r="J1462" s="47" t="s">
        <v>22</v>
      </c>
      <c r="K1462" s="59" t="s">
        <v>23</v>
      </c>
      <c r="L1462" s="47" t="s">
        <v>65</v>
      </c>
      <c r="M1462" s="47" t="s">
        <v>33</v>
      </c>
    </row>
    <row r="1463" customHeight="1" spans="1:13">
      <c r="A1463" s="47" t="s">
        <v>2628</v>
      </c>
      <c r="B1463" s="47" t="s">
        <v>2629</v>
      </c>
      <c r="C1463" s="47" t="s">
        <v>1491</v>
      </c>
      <c r="D1463" s="47" t="s">
        <v>43</v>
      </c>
      <c r="E1463" s="47" t="s">
        <v>57</v>
      </c>
      <c r="F1463" s="47" t="s">
        <v>28</v>
      </c>
      <c r="G1463" s="47" t="s">
        <v>38</v>
      </c>
      <c r="H1463" s="47" t="s">
        <v>58</v>
      </c>
      <c r="I1463" s="47" t="s">
        <v>58</v>
      </c>
      <c r="J1463" s="47" t="s">
        <v>753</v>
      </c>
      <c r="K1463" s="59" t="s">
        <v>23</v>
      </c>
      <c r="L1463" s="47" t="s">
        <v>65</v>
      </c>
      <c r="M1463" s="47" t="s">
        <v>327</v>
      </c>
    </row>
    <row r="1464" customHeight="1" spans="1:13">
      <c r="A1464" s="47" t="s">
        <v>2630</v>
      </c>
      <c r="B1464" s="47" t="s">
        <v>2631</v>
      </c>
      <c r="C1464" s="47" t="s">
        <v>840</v>
      </c>
      <c r="D1464" s="47" t="s">
        <v>43</v>
      </c>
      <c r="E1464" s="47" t="s">
        <v>63</v>
      </c>
      <c r="F1464" s="47" t="s">
        <v>18</v>
      </c>
      <c r="G1464" s="47" t="s">
        <v>38</v>
      </c>
      <c r="H1464" s="47" t="s">
        <v>64</v>
      </c>
      <c r="I1464" s="47" t="s">
        <v>64</v>
      </c>
      <c r="J1464" s="47" t="s">
        <v>22</v>
      </c>
      <c r="K1464" s="59" t="s">
        <v>23</v>
      </c>
      <c r="L1464" s="59" t="s">
        <v>23</v>
      </c>
      <c r="M1464" s="47" t="s">
        <v>24</v>
      </c>
    </row>
    <row r="1465" customHeight="1" spans="1:13">
      <c r="A1465" s="47" t="s">
        <v>2632</v>
      </c>
      <c r="B1465" s="47" t="s">
        <v>2633</v>
      </c>
      <c r="C1465" s="47" t="s">
        <v>706</v>
      </c>
      <c r="D1465" s="47" t="s">
        <v>107</v>
      </c>
      <c r="E1465" s="47" t="s">
        <v>95</v>
      </c>
      <c r="F1465" s="47" t="s">
        <v>45</v>
      </c>
      <c r="G1465" s="47" t="s">
        <v>19</v>
      </c>
      <c r="H1465" s="47" t="s">
        <v>77</v>
      </c>
      <c r="I1465" s="47" t="s">
        <v>96</v>
      </c>
      <c r="J1465" s="47" t="s">
        <v>22</v>
      </c>
      <c r="K1465" s="59" t="s">
        <v>23</v>
      </c>
      <c r="L1465" s="59" t="s">
        <v>23</v>
      </c>
      <c r="M1465" s="47" t="s">
        <v>47</v>
      </c>
    </row>
    <row r="1466" customHeight="1" spans="1:13">
      <c r="A1466" s="47" t="s">
        <v>2634</v>
      </c>
      <c r="B1466" s="47" t="s">
        <v>2635</v>
      </c>
      <c r="C1466" s="47" t="s">
        <v>432</v>
      </c>
      <c r="D1466" s="47" t="s">
        <v>43</v>
      </c>
      <c r="E1466" s="47" t="s">
        <v>17</v>
      </c>
      <c r="F1466" s="47" t="s">
        <v>18</v>
      </c>
      <c r="G1466" s="47" t="s">
        <v>38</v>
      </c>
      <c r="H1466" s="47" t="s">
        <v>20</v>
      </c>
      <c r="I1466" s="47" t="s">
        <v>20</v>
      </c>
      <c r="J1466" s="47" t="s">
        <v>22</v>
      </c>
      <c r="K1466" s="59" t="s">
        <v>23</v>
      </c>
      <c r="L1466" s="59" t="s">
        <v>23</v>
      </c>
      <c r="M1466" s="47" t="s">
        <v>24</v>
      </c>
    </row>
    <row r="1467" customHeight="1" spans="1:13">
      <c r="A1467" s="47" t="s">
        <v>2636</v>
      </c>
      <c r="B1467" s="47" t="s">
        <v>2637</v>
      </c>
      <c r="C1467" s="47" t="s">
        <v>261</v>
      </c>
      <c r="D1467" s="47" t="s">
        <v>16</v>
      </c>
      <c r="E1467" s="47" t="s">
        <v>63</v>
      </c>
      <c r="F1467" s="47" t="s">
        <v>18</v>
      </c>
      <c r="G1467" s="47" t="s">
        <v>38</v>
      </c>
      <c r="H1467" s="47" t="s">
        <v>64</v>
      </c>
      <c r="I1467" s="47" t="s">
        <v>64</v>
      </c>
      <c r="J1467" s="47" t="s">
        <v>32</v>
      </c>
      <c r="K1467" s="59" t="s">
        <v>23</v>
      </c>
      <c r="L1467" s="47" t="s">
        <v>29</v>
      </c>
      <c r="M1467" s="47" t="s">
        <v>574</v>
      </c>
    </row>
    <row r="1468" customHeight="1" spans="1:13">
      <c r="A1468" s="47" t="s">
        <v>2638</v>
      </c>
      <c r="B1468" s="47" t="s">
        <v>2637</v>
      </c>
      <c r="C1468" s="47" t="s">
        <v>562</v>
      </c>
      <c r="D1468" s="47" t="s">
        <v>107</v>
      </c>
      <c r="E1468" s="47" t="s">
        <v>146</v>
      </c>
      <c r="F1468" s="47" t="s">
        <v>28</v>
      </c>
      <c r="G1468" s="47" t="s">
        <v>38</v>
      </c>
      <c r="H1468" s="47" t="s">
        <v>147</v>
      </c>
      <c r="I1468" s="47" t="s">
        <v>147</v>
      </c>
      <c r="J1468" s="47" t="s">
        <v>32</v>
      </c>
      <c r="K1468" s="59" t="s">
        <v>23</v>
      </c>
      <c r="L1468" s="59" t="s">
        <v>23</v>
      </c>
      <c r="M1468" s="47" t="s">
        <v>73</v>
      </c>
    </row>
    <row r="1469" customHeight="1" spans="1:13">
      <c r="A1469" s="47" t="s">
        <v>2638</v>
      </c>
      <c r="B1469" s="47" t="s">
        <v>2639</v>
      </c>
      <c r="C1469" s="47" t="s">
        <v>562</v>
      </c>
      <c r="D1469" s="47" t="s">
        <v>107</v>
      </c>
      <c r="E1469" s="47" t="s">
        <v>146</v>
      </c>
      <c r="F1469" s="47" t="s">
        <v>2640</v>
      </c>
      <c r="G1469" s="47" t="s">
        <v>38</v>
      </c>
      <c r="H1469" s="47" t="s">
        <v>147</v>
      </c>
      <c r="I1469" s="47" t="s">
        <v>147</v>
      </c>
      <c r="J1469" s="47" t="s">
        <v>32</v>
      </c>
      <c r="K1469" s="59" t="s">
        <v>23</v>
      </c>
      <c r="L1469" s="59" t="s">
        <v>23</v>
      </c>
      <c r="M1469" s="47" t="s">
        <v>73</v>
      </c>
    </row>
    <row r="1470" customHeight="1" spans="1:13">
      <c r="A1470" s="47" t="s">
        <v>2641</v>
      </c>
      <c r="B1470" s="47" t="s">
        <v>2637</v>
      </c>
      <c r="C1470" s="47" t="s">
        <v>2642</v>
      </c>
      <c r="D1470" s="47" t="s">
        <v>43</v>
      </c>
      <c r="E1470" s="47" t="s">
        <v>647</v>
      </c>
      <c r="F1470" s="47" t="s">
        <v>45</v>
      </c>
      <c r="G1470" s="47" t="s">
        <v>38</v>
      </c>
      <c r="H1470" s="47" t="s">
        <v>227</v>
      </c>
      <c r="I1470" s="47" t="s">
        <v>227</v>
      </c>
      <c r="J1470" s="47" t="s">
        <v>22</v>
      </c>
      <c r="K1470" s="59" t="s">
        <v>23</v>
      </c>
      <c r="L1470" s="59" t="s">
        <v>23</v>
      </c>
      <c r="M1470" s="47" t="s">
        <v>157</v>
      </c>
    </row>
    <row r="1471" customHeight="1" spans="1:13">
      <c r="A1471" s="47" t="s">
        <v>2643</v>
      </c>
      <c r="B1471" s="47" t="s">
        <v>2637</v>
      </c>
      <c r="C1471" s="47" t="s">
        <v>1591</v>
      </c>
      <c r="D1471" s="47" t="s">
        <v>43</v>
      </c>
      <c r="E1471" s="47" t="s">
        <v>103</v>
      </c>
      <c r="F1471" s="47" t="s">
        <v>37</v>
      </c>
      <c r="G1471" s="47" t="s">
        <v>38</v>
      </c>
      <c r="H1471" s="47" t="s">
        <v>77</v>
      </c>
      <c r="I1471" s="47" t="s">
        <v>77</v>
      </c>
      <c r="J1471" s="47" t="s">
        <v>22</v>
      </c>
      <c r="K1471" s="59" t="s">
        <v>23</v>
      </c>
      <c r="L1471" s="59" t="s">
        <v>23</v>
      </c>
      <c r="M1471" s="47" t="s">
        <v>73</v>
      </c>
    </row>
    <row r="1472" customHeight="1" spans="1:13">
      <c r="A1472" s="47" t="s">
        <v>2644</v>
      </c>
      <c r="B1472" s="47" t="s">
        <v>2637</v>
      </c>
      <c r="C1472" s="47" t="s">
        <v>2645</v>
      </c>
      <c r="D1472" s="47" t="s">
        <v>43</v>
      </c>
      <c r="E1472" s="47" t="s">
        <v>95</v>
      </c>
      <c r="F1472" s="47" t="s">
        <v>45</v>
      </c>
      <c r="G1472" s="47" t="s">
        <v>38</v>
      </c>
      <c r="H1472" s="47" t="s">
        <v>77</v>
      </c>
      <c r="I1472" s="47" t="s">
        <v>77</v>
      </c>
      <c r="J1472" s="47" t="s">
        <v>22</v>
      </c>
      <c r="K1472" s="59" t="s">
        <v>23</v>
      </c>
      <c r="L1472" s="59" t="s">
        <v>23</v>
      </c>
      <c r="M1472" s="47" t="s">
        <v>24</v>
      </c>
    </row>
    <row r="1473" customHeight="1" spans="1:13">
      <c r="A1473" s="47" t="s">
        <v>2646</v>
      </c>
      <c r="B1473" s="47" t="s">
        <v>2637</v>
      </c>
      <c r="C1473" s="47" t="s">
        <v>584</v>
      </c>
      <c r="D1473" s="47" t="s">
        <v>16</v>
      </c>
      <c r="E1473" s="47" t="s">
        <v>647</v>
      </c>
      <c r="F1473" s="47" t="s">
        <v>45</v>
      </c>
      <c r="G1473" s="47" t="s">
        <v>38</v>
      </c>
      <c r="H1473" s="47" t="s">
        <v>227</v>
      </c>
      <c r="I1473" s="47" t="s">
        <v>227</v>
      </c>
      <c r="J1473" s="47" t="s">
        <v>32</v>
      </c>
      <c r="K1473" s="59" t="s">
        <v>23</v>
      </c>
      <c r="L1473" s="59" t="s">
        <v>23</v>
      </c>
      <c r="M1473" s="47" t="s">
        <v>73</v>
      </c>
    </row>
    <row r="1474" customHeight="1" spans="1:13">
      <c r="A1474" s="47" t="s">
        <v>2647</v>
      </c>
      <c r="B1474" s="47" t="s">
        <v>2637</v>
      </c>
      <c r="C1474" s="47" t="s">
        <v>732</v>
      </c>
      <c r="D1474" s="47" t="s">
        <v>43</v>
      </c>
      <c r="E1474" s="47" t="s">
        <v>89</v>
      </c>
      <c r="F1474" s="47" t="s">
        <v>28</v>
      </c>
      <c r="G1474" s="47" t="s">
        <v>38</v>
      </c>
      <c r="H1474" s="47" t="s">
        <v>30</v>
      </c>
      <c r="I1474" s="47" t="s">
        <v>30</v>
      </c>
      <c r="J1474" s="47" t="s">
        <v>32</v>
      </c>
      <c r="K1474" s="59" t="s">
        <v>23</v>
      </c>
      <c r="L1474" s="47" t="s">
        <v>65</v>
      </c>
      <c r="M1474" s="47" t="s">
        <v>181</v>
      </c>
    </row>
    <row r="1475" customHeight="1" spans="1:13">
      <c r="A1475" s="47" t="s">
        <v>2648</v>
      </c>
      <c r="B1475" s="47" t="s">
        <v>2637</v>
      </c>
      <c r="C1475" s="47" t="s">
        <v>1661</v>
      </c>
      <c r="D1475" s="47" t="s">
        <v>43</v>
      </c>
      <c r="E1475" s="47" t="s">
        <v>63</v>
      </c>
      <c r="F1475" s="47" t="s">
        <v>18</v>
      </c>
      <c r="G1475" s="47" t="s">
        <v>38</v>
      </c>
      <c r="H1475" s="47" t="s">
        <v>64</v>
      </c>
      <c r="I1475" s="47" t="s">
        <v>64</v>
      </c>
      <c r="J1475" s="47" t="s">
        <v>32</v>
      </c>
      <c r="K1475" s="59" t="s">
        <v>23</v>
      </c>
      <c r="L1475" s="59" t="s">
        <v>23</v>
      </c>
      <c r="M1475" s="47" t="s">
        <v>73</v>
      </c>
    </row>
    <row r="1476" customHeight="1" spans="1:13">
      <c r="A1476" s="47" t="s">
        <v>2649</v>
      </c>
      <c r="B1476" s="47" t="s">
        <v>2650</v>
      </c>
      <c r="C1476" s="47" t="s">
        <v>844</v>
      </c>
      <c r="D1476" s="47" t="s">
        <v>16</v>
      </c>
      <c r="E1476" s="47" t="s">
        <v>146</v>
      </c>
      <c r="F1476" s="47" t="s">
        <v>28</v>
      </c>
      <c r="G1476" s="47" t="s">
        <v>19</v>
      </c>
      <c r="H1476" s="47" t="s">
        <v>147</v>
      </c>
      <c r="I1476" s="47" t="s">
        <v>474</v>
      </c>
      <c r="J1476" s="47" t="s">
        <v>22</v>
      </c>
      <c r="K1476" s="59" t="s">
        <v>23</v>
      </c>
      <c r="L1476" s="59" t="s">
        <v>23</v>
      </c>
      <c r="M1476" s="47" t="s">
        <v>73</v>
      </c>
    </row>
    <row r="1477" customHeight="1" spans="1:13">
      <c r="A1477" s="47" t="s">
        <v>2651</v>
      </c>
      <c r="B1477" s="47" t="s">
        <v>2650</v>
      </c>
      <c r="C1477" s="47" t="s">
        <v>1084</v>
      </c>
      <c r="D1477" s="47" t="s">
        <v>16</v>
      </c>
      <c r="E1477" s="47" t="s">
        <v>17</v>
      </c>
      <c r="F1477" s="47" t="s">
        <v>18</v>
      </c>
      <c r="G1477" s="47" t="s">
        <v>38</v>
      </c>
      <c r="H1477" s="47" t="s">
        <v>20</v>
      </c>
      <c r="I1477" s="47" t="s">
        <v>20</v>
      </c>
      <c r="J1477" s="47" t="s">
        <v>22</v>
      </c>
      <c r="K1477" s="59" t="s">
        <v>23</v>
      </c>
      <c r="L1477" s="59" t="s">
        <v>23</v>
      </c>
      <c r="M1477" s="47" t="s">
        <v>47</v>
      </c>
    </row>
    <row r="1478" customHeight="1" spans="1:13">
      <c r="A1478" s="47" t="s">
        <v>2652</v>
      </c>
      <c r="B1478" s="47" t="s">
        <v>2650</v>
      </c>
      <c r="C1478" s="47" t="s">
        <v>661</v>
      </c>
      <c r="D1478" s="47" t="s">
        <v>16</v>
      </c>
      <c r="E1478" s="47" t="s">
        <v>44</v>
      </c>
      <c r="F1478" s="47" t="s">
        <v>45</v>
      </c>
      <c r="G1478" s="47" t="s">
        <v>38</v>
      </c>
      <c r="H1478" s="47" t="s">
        <v>46</v>
      </c>
      <c r="I1478" s="47" t="s">
        <v>46</v>
      </c>
      <c r="J1478" s="47" t="s">
        <v>22</v>
      </c>
      <c r="K1478" s="59" t="s">
        <v>23</v>
      </c>
      <c r="L1478" s="59" t="s">
        <v>23</v>
      </c>
      <c r="M1478" s="47" t="s">
        <v>1100</v>
      </c>
    </row>
    <row r="1479" customHeight="1" spans="1:13">
      <c r="A1479" s="47" t="s">
        <v>2653</v>
      </c>
      <c r="B1479" s="47" t="s">
        <v>2654</v>
      </c>
      <c r="C1479" s="47" t="s">
        <v>2655</v>
      </c>
      <c r="D1479" s="47" t="s">
        <v>16</v>
      </c>
      <c r="E1479" s="47" t="s">
        <v>199</v>
      </c>
      <c r="F1479" s="47" t="s">
        <v>18</v>
      </c>
      <c r="G1479" s="47" t="s">
        <v>19</v>
      </c>
      <c r="H1479" s="47" t="s">
        <v>39</v>
      </c>
      <c r="I1479" s="47" t="s">
        <v>82</v>
      </c>
      <c r="J1479" s="47" t="s">
        <v>32</v>
      </c>
      <c r="K1479" s="59" t="s">
        <v>23</v>
      </c>
      <c r="L1479" s="59" t="s">
        <v>23</v>
      </c>
      <c r="M1479" s="47" t="s">
        <v>47</v>
      </c>
    </row>
    <row r="1480" customHeight="1" spans="1:13">
      <c r="A1480" s="47" t="s">
        <v>2656</v>
      </c>
      <c r="B1480" s="47" t="s">
        <v>2650</v>
      </c>
      <c r="C1480" s="47" t="s">
        <v>2429</v>
      </c>
      <c r="D1480" s="47" t="s">
        <v>16</v>
      </c>
      <c r="E1480" s="47" t="s">
        <v>27</v>
      </c>
      <c r="F1480" s="47" t="s">
        <v>28</v>
      </c>
      <c r="G1480" s="47" t="s">
        <v>38</v>
      </c>
      <c r="H1480" s="47" t="s">
        <v>30</v>
      </c>
      <c r="I1480" s="47" t="s">
        <v>30</v>
      </c>
      <c r="J1480" s="47" t="s">
        <v>32</v>
      </c>
      <c r="K1480" s="59" t="s">
        <v>23</v>
      </c>
      <c r="L1480" s="47" t="s">
        <v>65</v>
      </c>
      <c r="M1480" s="47" t="s">
        <v>33</v>
      </c>
    </row>
    <row r="1481" customHeight="1" spans="1:13">
      <c r="A1481" s="47" t="s">
        <v>2657</v>
      </c>
      <c r="B1481" s="47" t="s">
        <v>2650</v>
      </c>
      <c r="C1481" s="47" t="s">
        <v>92</v>
      </c>
      <c r="D1481" s="47" t="s">
        <v>43</v>
      </c>
      <c r="E1481" s="47" t="s">
        <v>367</v>
      </c>
      <c r="F1481" s="47" t="s">
        <v>109</v>
      </c>
      <c r="G1481" s="47" t="s">
        <v>38</v>
      </c>
      <c r="H1481" s="47" t="s">
        <v>111</v>
      </c>
      <c r="I1481" s="47" t="s">
        <v>110</v>
      </c>
      <c r="J1481" s="47" t="s">
        <v>22</v>
      </c>
      <c r="K1481" s="59" t="s">
        <v>23</v>
      </c>
      <c r="L1481" s="59" t="s">
        <v>23</v>
      </c>
      <c r="M1481" s="47" t="s">
        <v>40</v>
      </c>
    </row>
    <row r="1482" customHeight="1" spans="1:13">
      <c r="A1482" s="47" t="s">
        <v>2658</v>
      </c>
      <c r="B1482" s="47" t="s">
        <v>2650</v>
      </c>
      <c r="C1482" s="47" t="s">
        <v>1733</v>
      </c>
      <c r="D1482" s="47" t="s">
        <v>43</v>
      </c>
      <c r="E1482" s="47" t="s">
        <v>146</v>
      </c>
      <c r="F1482" s="47" t="s">
        <v>28</v>
      </c>
      <c r="G1482" s="47" t="s">
        <v>38</v>
      </c>
      <c r="H1482" s="47" t="s">
        <v>147</v>
      </c>
      <c r="I1482" s="47" t="s">
        <v>147</v>
      </c>
      <c r="J1482" s="47" t="s">
        <v>22</v>
      </c>
      <c r="K1482" s="59" t="s">
        <v>23</v>
      </c>
      <c r="L1482" s="59" t="s">
        <v>23</v>
      </c>
      <c r="M1482" s="47" t="s">
        <v>33</v>
      </c>
    </row>
    <row r="1483" customHeight="1" spans="1:13">
      <c r="A1483" s="47" t="s">
        <v>2659</v>
      </c>
      <c r="B1483" s="47" t="s">
        <v>2631</v>
      </c>
      <c r="C1483" s="47" t="s">
        <v>2660</v>
      </c>
      <c r="D1483" s="47" t="s">
        <v>16</v>
      </c>
      <c r="E1483" s="47" t="s">
        <v>832</v>
      </c>
      <c r="F1483" s="47" t="s">
        <v>387</v>
      </c>
      <c r="G1483" s="47" t="s">
        <v>38</v>
      </c>
      <c r="H1483" s="47" t="s">
        <v>416</v>
      </c>
      <c r="I1483" s="47" t="s">
        <v>77</v>
      </c>
      <c r="J1483" s="47" t="s">
        <v>22</v>
      </c>
      <c r="K1483" s="59" t="s">
        <v>23</v>
      </c>
      <c r="L1483" s="47" t="s">
        <v>54</v>
      </c>
      <c r="M1483" s="47" t="s">
        <v>73</v>
      </c>
    </row>
    <row r="1484" customHeight="1" spans="1:13">
      <c r="A1484" s="47" t="s">
        <v>2661</v>
      </c>
      <c r="B1484" s="47" t="s">
        <v>2631</v>
      </c>
      <c r="C1484" s="47" t="s">
        <v>2662</v>
      </c>
      <c r="D1484" s="47" t="s">
        <v>107</v>
      </c>
      <c r="E1484" s="47" t="s">
        <v>17</v>
      </c>
      <c r="F1484" s="47" t="s">
        <v>18</v>
      </c>
      <c r="G1484" s="47" t="s">
        <v>19</v>
      </c>
      <c r="H1484" s="47" t="s">
        <v>20</v>
      </c>
      <c r="I1484" s="59" t="s">
        <v>23</v>
      </c>
      <c r="J1484" s="47" t="s">
        <v>32</v>
      </c>
      <c r="K1484" s="47" t="s">
        <v>143</v>
      </c>
      <c r="L1484" s="47" t="s">
        <v>65</v>
      </c>
      <c r="M1484" s="47" t="s">
        <v>40</v>
      </c>
    </row>
    <row r="1485" customHeight="1" spans="1:13">
      <c r="A1485" s="47" t="s">
        <v>2663</v>
      </c>
      <c r="B1485" s="47" t="s">
        <v>2631</v>
      </c>
      <c r="C1485" s="47" t="s">
        <v>2664</v>
      </c>
      <c r="D1485" s="47" t="s">
        <v>16</v>
      </c>
      <c r="E1485" s="47" t="s">
        <v>103</v>
      </c>
      <c r="F1485" s="47" t="s">
        <v>37</v>
      </c>
      <c r="G1485" s="47" t="s">
        <v>38</v>
      </c>
      <c r="H1485" s="47" t="s">
        <v>77</v>
      </c>
      <c r="I1485" s="47" t="s">
        <v>104</v>
      </c>
      <c r="J1485" s="47" t="s">
        <v>22</v>
      </c>
      <c r="K1485" s="59" t="s">
        <v>23</v>
      </c>
      <c r="L1485" s="59" t="s">
        <v>23</v>
      </c>
      <c r="M1485" s="47" t="s">
        <v>73</v>
      </c>
    </row>
    <row r="1486" customHeight="1" spans="1:13">
      <c r="A1486" s="47" t="s">
        <v>2665</v>
      </c>
      <c r="B1486" s="47" t="s">
        <v>2631</v>
      </c>
      <c r="C1486" s="47" t="s">
        <v>480</v>
      </c>
      <c r="D1486" s="47" t="s">
        <v>43</v>
      </c>
      <c r="E1486" s="47" t="s">
        <v>50</v>
      </c>
      <c r="F1486" s="59" t="s">
        <v>23</v>
      </c>
      <c r="G1486" s="47" t="s">
        <v>38</v>
      </c>
      <c r="H1486" s="47" t="s">
        <v>52</v>
      </c>
      <c r="I1486" s="47" t="s">
        <v>52</v>
      </c>
      <c r="J1486" s="47" t="s">
        <v>22</v>
      </c>
      <c r="K1486" s="59" t="s">
        <v>23</v>
      </c>
      <c r="L1486" s="59" t="s">
        <v>23</v>
      </c>
      <c r="M1486" s="47" t="s">
        <v>24</v>
      </c>
    </row>
    <row r="1487" customHeight="1" spans="1:13">
      <c r="A1487" s="47" t="s">
        <v>2666</v>
      </c>
      <c r="B1487" s="47" t="s">
        <v>2667</v>
      </c>
      <c r="C1487" s="47" t="s">
        <v>1889</v>
      </c>
      <c r="D1487" s="47" t="s">
        <v>16</v>
      </c>
      <c r="E1487" s="47" t="s">
        <v>1645</v>
      </c>
      <c r="F1487" s="47" t="s">
        <v>28</v>
      </c>
      <c r="G1487" s="47" t="s">
        <v>38</v>
      </c>
      <c r="H1487" s="47" t="s">
        <v>608</v>
      </c>
      <c r="I1487" s="47" t="s">
        <v>147</v>
      </c>
      <c r="J1487" s="47" t="s">
        <v>32</v>
      </c>
      <c r="K1487" s="59" t="s">
        <v>23</v>
      </c>
      <c r="L1487" s="59" t="s">
        <v>23</v>
      </c>
      <c r="M1487" s="47" t="s">
        <v>33</v>
      </c>
    </row>
    <row r="1488" customHeight="1" spans="1:13">
      <c r="A1488" s="47" t="s">
        <v>2668</v>
      </c>
      <c r="B1488" s="47" t="s">
        <v>2669</v>
      </c>
      <c r="C1488" s="47" t="s">
        <v>1212</v>
      </c>
      <c r="D1488" s="47" t="s">
        <v>43</v>
      </c>
      <c r="E1488" s="47" t="s">
        <v>63</v>
      </c>
      <c r="F1488" s="47" t="s">
        <v>18</v>
      </c>
      <c r="G1488" s="47" t="s">
        <v>38</v>
      </c>
      <c r="H1488" s="59" t="s">
        <v>23</v>
      </c>
      <c r="I1488" s="47" t="s">
        <v>64</v>
      </c>
      <c r="J1488" s="47" t="s">
        <v>127</v>
      </c>
      <c r="K1488" s="59" t="s">
        <v>23</v>
      </c>
      <c r="L1488" s="59" t="s">
        <v>23</v>
      </c>
      <c r="M1488" s="47" t="s">
        <v>73</v>
      </c>
    </row>
    <row r="1489" customHeight="1" spans="1:13">
      <c r="A1489" s="47" t="s">
        <v>2670</v>
      </c>
      <c r="B1489" s="47" t="s">
        <v>2631</v>
      </c>
      <c r="C1489" s="47" t="s">
        <v>2429</v>
      </c>
      <c r="D1489" s="47" t="s">
        <v>16</v>
      </c>
      <c r="E1489" s="47" t="s">
        <v>50</v>
      </c>
      <c r="F1489" s="47" t="s">
        <v>28</v>
      </c>
      <c r="G1489" s="47" t="s">
        <v>38</v>
      </c>
      <c r="H1489" s="47" t="s">
        <v>52</v>
      </c>
      <c r="I1489" s="47" t="s">
        <v>52</v>
      </c>
      <c r="J1489" s="47" t="s">
        <v>22</v>
      </c>
      <c r="K1489" s="59" t="s">
        <v>23</v>
      </c>
      <c r="L1489" s="47" t="s">
        <v>65</v>
      </c>
      <c r="M1489" s="47" t="s">
        <v>99</v>
      </c>
    </row>
    <row r="1490" customHeight="1" spans="1:13">
      <c r="A1490" s="47" t="s">
        <v>2671</v>
      </c>
      <c r="B1490" s="47" t="s">
        <v>2631</v>
      </c>
      <c r="C1490" s="47" t="s">
        <v>2672</v>
      </c>
      <c r="D1490" s="47" t="s">
        <v>43</v>
      </c>
      <c r="E1490" s="47" t="s">
        <v>50</v>
      </c>
      <c r="F1490" s="47" t="s">
        <v>28</v>
      </c>
      <c r="G1490" s="47" t="s">
        <v>38</v>
      </c>
      <c r="H1490" s="47" t="s">
        <v>52</v>
      </c>
      <c r="I1490" s="47" t="s">
        <v>281</v>
      </c>
      <c r="J1490" s="47" t="s">
        <v>32</v>
      </c>
      <c r="K1490" s="47" t="s">
        <v>53</v>
      </c>
      <c r="L1490" s="59" t="s">
        <v>23</v>
      </c>
      <c r="M1490" s="47" t="s">
        <v>33</v>
      </c>
    </row>
    <row r="1491" customHeight="1" spans="1:13">
      <c r="A1491" s="47" t="s">
        <v>2673</v>
      </c>
      <c r="B1491" s="47" t="s">
        <v>2631</v>
      </c>
      <c r="C1491" s="47" t="s">
        <v>183</v>
      </c>
      <c r="D1491" s="47" t="s">
        <v>43</v>
      </c>
      <c r="E1491" s="47" t="s">
        <v>36</v>
      </c>
      <c r="F1491" s="47" t="s">
        <v>37</v>
      </c>
      <c r="G1491" s="47" t="s">
        <v>19</v>
      </c>
      <c r="H1491" s="47" t="s">
        <v>39</v>
      </c>
      <c r="I1491" s="47" t="s">
        <v>683</v>
      </c>
      <c r="J1491" s="47" t="s">
        <v>22</v>
      </c>
      <c r="K1491" s="47" t="s">
        <v>143</v>
      </c>
      <c r="L1491" s="59" t="s">
        <v>23</v>
      </c>
      <c r="M1491" s="47" t="s">
        <v>33</v>
      </c>
    </row>
    <row r="1492" customHeight="1" spans="1:13">
      <c r="A1492" s="47" t="s">
        <v>2674</v>
      </c>
      <c r="B1492" s="47" t="s">
        <v>2631</v>
      </c>
      <c r="C1492" s="47" t="s">
        <v>229</v>
      </c>
      <c r="D1492" s="47" t="s">
        <v>43</v>
      </c>
      <c r="E1492" s="47" t="s">
        <v>36</v>
      </c>
      <c r="F1492" s="47" t="s">
        <v>37</v>
      </c>
      <c r="G1492" s="47" t="s">
        <v>19</v>
      </c>
      <c r="H1492" s="47" t="s">
        <v>39</v>
      </c>
      <c r="I1492" s="47" t="s">
        <v>82</v>
      </c>
      <c r="J1492" s="47" t="s">
        <v>32</v>
      </c>
      <c r="K1492" s="59" t="s">
        <v>23</v>
      </c>
      <c r="L1492" s="59" t="s">
        <v>23</v>
      </c>
      <c r="M1492" s="47" t="s">
        <v>24</v>
      </c>
    </row>
    <row r="1493" customHeight="1" spans="1:13">
      <c r="A1493" s="47" t="s">
        <v>2675</v>
      </c>
      <c r="B1493" s="47" t="s">
        <v>2631</v>
      </c>
      <c r="C1493" s="47" t="s">
        <v>518</v>
      </c>
      <c r="D1493" s="47" t="s">
        <v>16</v>
      </c>
      <c r="E1493" s="47" t="s">
        <v>647</v>
      </c>
      <c r="F1493" s="47" t="s">
        <v>45</v>
      </c>
      <c r="G1493" s="47" t="s">
        <v>38</v>
      </c>
      <c r="H1493" s="47" t="s">
        <v>227</v>
      </c>
      <c r="I1493" s="47" t="s">
        <v>2676</v>
      </c>
      <c r="J1493" s="47" t="s">
        <v>32</v>
      </c>
      <c r="K1493" s="59" t="s">
        <v>23</v>
      </c>
      <c r="L1493" s="47" t="s">
        <v>19</v>
      </c>
      <c r="M1493" s="47" t="s">
        <v>686</v>
      </c>
    </row>
    <row r="1494" customHeight="1" spans="1:13">
      <c r="A1494" s="47" t="s">
        <v>2677</v>
      </c>
      <c r="B1494" s="47" t="s">
        <v>2631</v>
      </c>
      <c r="C1494" s="47" t="s">
        <v>280</v>
      </c>
      <c r="D1494" s="47" t="s">
        <v>16</v>
      </c>
      <c r="E1494" s="47" t="s">
        <v>36</v>
      </c>
      <c r="F1494" s="47" t="s">
        <v>37</v>
      </c>
      <c r="G1494" s="47" t="s">
        <v>38</v>
      </c>
      <c r="H1494" s="47" t="s">
        <v>39</v>
      </c>
      <c r="I1494" s="47" t="s">
        <v>39</v>
      </c>
      <c r="J1494" s="47" t="s">
        <v>22</v>
      </c>
      <c r="K1494" s="59" t="s">
        <v>23</v>
      </c>
      <c r="L1494" s="47" t="s">
        <v>29</v>
      </c>
      <c r="M1494" s="47" t="s">
        <v>24</v>
      </c>
    </row>
    <row r="1495" customHeight="1" spans="1:13">
      <c r="A1495" s="47" t="s">
        <v>2678</v>
      </c>
      <c r="B1495" s="47" t="s">
        <v>2631</v>
      </c>
      <c r="C1495" s="47" t="s">
        <v>529</v>
      </c>
      <c r="D1495" s="47" t="s">
        <v>43</v>
      </c>
      <c r="E1495" s="47" t="s">
        <v>396</v>
      </c>
      <c r="F1495" s="47" t="s">
        <v>18</v>
      </c>
      <c r="G1495" s="47" t="s">
        <v>38</v>
      </c>
      <c r="H1495" s="47" t="s">
        <v>64</v>
      </c>
      <c r="I1495" s="47" t="s">
        <v>64</v>
      </c>
      <c r="J1495" s="47" t="s">
        <v>22</v>
      </c>
      <c r="K1495" s="59" t="s">
        <v>23</v>
      </c>
      <c r="L1495" s="47" t="s">
        <v>29</v>
      </c>
      <c r="M1495" s="47" t="s">
        <v>73</v>
      </c>
    </row>
    <row r="1496" customHeight="1" spans="1:13">
      <c r="A1496" s="47" t="s">
        <v>2679</v>
      </c>
      <c r="B1496" s="47" t="s">
        <v>2631</v>
      </c>
      <c r="C1496" s="47" t="s">
        <v>607</v>
      </c>
      <c r="D1496" s="47" t="s">
        <v>234</v>
      </c>
      <c r="E1496" s="47" t="s">
        <v>81</v>
      </c>
      <c r="F1496" s="47" t="s">
        <v>37</v>
      </c>
      <c r="G1496" s="47" t="s">
        <v>38</v>
      </c>
      <c r="H1496" s="47" t="s">
        <v>82</v>
      </c>
      <c r="I1496" s="47" t="s">
        <v>82</v>
      </c>
      <c r="J1496" s="47" t="s">
        <v>22</v>
      </c>
      <c r="K1496" s="59" t="s">
        <v>23</v>
      </c>
      <c r="L1496" s="59" t="s">
        <v>23</v>
      </c>
      <c r="M1496" s="47" t="s">
        <v>40</v>
      </c>
    </row>
    <row r="1497" customHeight="1" spans="1:13">
      <c r="A1497" s="47" t="s">
        <v>2680</v>
      </c>
      <c r="B1497" s="47" t="s">
        <v>2631</v>
      </c>
      <c r="C1497" s="47" t="s">
        <v>637</v>
      </c>
      <c r="D1497" s="47" t="s">
        <v>43</v>
      </c>
      <c r="E1497" s="47" t="s">
        <v>81</v>
      </c>
      <c r="F1497" s="59" t="s">
        <v>23</v>
      </c>
      <c r="G1497" s="47" t="s">
        <v>38</v>
      </c>
      <c r="H1497" s="47" t="s">
        <v>443</v>
      </c>
      <c r="I1497" s="47" t="s">
        <v>532</v>
      </c>
      <c r="J1497" s="47" t="s">
        <v>32</v>
      </c>
      <c r="K1497" s="47" t="s">
        <v>119</v>
      </c>
      <c r="L1497" s="47" t="s">
        <v>54</v>
      </c>
      <c r="M1497" s="47" t="s">
        <v>33</v>
      </c>
    </row>
    <row r="1498" customHeight="1" spans="1:13">
      <c r="A1498" s="47" t="s">
        <v>2681</v>
      </c>
      <c r="B1498" s="47" t="s">
        <v>2635</v>
      </c>
      <c r="C1498" s="47" t="s">
        <v>603</v>
      </c>
      <c r="D1498" s="47" t="s">
        <v>43</v>
      </c>
      <c r="E1498" s="47" t="s">
        <v>832</v>
      </c>
      <c r="F1498" s="47" t="s">
        <v>37</v>
      </c>
      <c r="G1498" s="47" t="s">
        <v>19</v>
      </c>
      <c r="H1498" s="47" t="s">
        <v>77</v>
      </c>
      <c r="I1498" s="47" t="s">
        <v>96</v>
      </c>
      <c r="J1498" s="47" t="s">
        <v>127</v>
      </c>
      <c r="K1498" s="59" t="s">
        <v>23</v>
      </c>
      <c r="L1498" s="59" t="s">
        <v>23</v>
      </c>
      <c r="M1498" s="47" t="s">
        <v>157</v>
      </c>
    </row>
    <row r="1499" customHeight="1" spans="1:13">
      <c r="A1499" s="47" t="s">
        <v>2682</v>
      </c>
      <c r="B1499" s="47" t="s">
        <v>2631</v>
      </c>
      <c r="C1499" s="47" t="s">
        <v>612</v>
      </c>
      <c r="D1499" s="47" t="s">
        <v>43</v>
      </c>
      <c r="E1499" s="47" t="s">
        <v>63</v>
      </c>
      <c r="F1499" s="47" t="s">
        <v>18</v>
      </c>
      <c r="G1499" s="47" t="s">
        <v>19</v>
      </c>
      <c r="H1499" s="47" t="s">
        <v>64</v>
      </c>
      <c r="I1499" s="47" t="s">
        <v>39</v>
      </c>
      <c r="J1499" s="47" t="s">
        <v>127</v>
      </c>
      <c r="K1499" s="59" t="s">
        <v>23</v>
      </c>
      <c r="L1499" s="59" t="s">
        <v>23</v>
      </c>
      <c r="M1499" s="47" t="s">
        <v>40</v>
      </c>
    </row>
    <row r="1500" customHeight="1" spans="1:13">
      <c r="A1500" s="47" t="s">
        <v>2683</v>
      </c>
      <c r="B1500" s="47" t="s">
        <v>2631</v>
      </c>
      <c r="C1500" s="47" t="s">
        <v>2369</v>
      </c>
      <c r="D1500" s="47" t="s">
        <v>43</v>
      </c>
      <c r="E1500" s="47" t="s">
        <v>36</v>
      </c>
      <c r="F1500" s="47" t="s">
        <v>37</v>
      </c>
      <c r="G1500" s="47" t="s">
        <v>38</v>
      </c>
      <c r="H1500" s="47" t="s">
        <v>39</v>
      </c>
      <c r="I1500" s="47" t="s">
        <v>332</v>
      </c>
      <c r="J1500" s="47" t="s">
        <v>32</v>
      </c>
      <c r="K1500" s="47" t="s">
        <v>53</v>
      </c>
      <c r="L1500" s="59" t="s">
        <v>23</v>
      </c>
      <c r="M1500" s="47" t="s">
        <v>40</v>
      </c>
    </row>
    <row r="1501" customHeight="1" spans="1:13">
      <c r="A1501" s="47" t="s">
        <v>2684</v>
      </c>
      <c r="B1501" s="47" t="s">
        <v>2631</v>
      </c>
      <c r="C1501" s="47" t="s">
        <v>471</v>
      </c>
      <c r="D1501" s="47" t="s">
        <v>62</v>
      </c>
      <c r="E1501" s="47" t="s">
        <v>103</v>
      </c>
      <c r="F1501" s="47" t="s">
        <v>37</v>
      </c>
      <c r="G1501" s="47" t="s">
        <v>38</v>
      </c>
      <c r="H1501" s="47" t="s">
        <v>77</v>
      </c>
      <c r="I1501" s="47" t="s">
        <v>77</v>
      </c>
      <c r="J1501" s="47" t="s">
        <v>22</v>
      </c>
      <c r="K1501" s="59" t="s">
        <v>23</v>
      </c>
      <c r="L1501" s="59" t="s">
        <v>23</v>
      </c>
      <c r="M1501" s="47" t="s">
        <v>40</v>
      </c>
    </row>
    <row r="1502" customHeight="1" spans="1:13">
      <c r="A1502" s="47"/>
      <c r="B1502" s="47"/>
      <c r="C1502" s="47"/>
      <c r="D1502" s="47"/>
      <c r="E1502" s="47"/>
      <c r="F1502" s="47"/>
      <c r="G1502" s="47"/>
      <c r="H1502" s="47"/>
      <c r="I1502" s="47"/>
      <c r="J1502" s="47"/>
      <c r="K1502" s="59"/>
      <c r="L1502" s="59"/>
      <c r="M1502" s="47"/>
    </row>
    <row r="1503" customHeight="1" spans="1:13">
      <c r="A1503" s="47"/>
      <c r="B1503" s="47"/>
      <c r="C1503" s="47"/>
      <c r="D1503" s="47"/>
      <c r="E1503" s="47"/>
      <c r="F1503" s="47"/>
      <c r="G1503" s="47"/>
      <c r="H1503" s="47"/>
      <c r="I1503" s="47"/>
      <c r="J1503" s="47"/>
      <c r="K1503" s="59"/>
      <c r="L1503" s="59"/>
      <c r="M1503" s="47"/>
    </row>
    <row r="1504" customHeight="1" spans="1:13">
      <c r="A1504" s="47"/>
      <c r="B1504" s="47"/>
      <c r="C1504" s="47"/>
      <c r="D1504" s="47"/>
      <c r="E1504" s="47"/>
      <c r="F1504" s="47"/>
      <c r="G1504" s="47"/>
      <c r="H1504" s="47"/>
      <c r="I1504" s="47"/>
      <c r="J1504" s="47"/>
      <c r="K1504" s="59"/>
      <c r="L1504" s="59"/>
      <c r="M1504" s="47"/>
    </row>
    <row r="1505" customHeight="1" spans="1:13">
      <c r="A1505" s="47"/>
      <c r="B1505" s="47"/>
      <c r="C1505" s="47"/>
      <c r="D1505" s="47"/>
      <c r="E1505" s="47"/>
      <c r="F1505" s="47"/>
      <c r="G1505" s="47"/>
      <c r="H1505" s="47"/>
      <c r="I1505" s="47"/>
      <c r="J1505" s="47"/>
      <c r="K1505" s="59"/>
      <c r="L1505" s="59"/>
      <c r="M1505" s="47"/>
    </row>
    <row r="1506" customHeight="1" spans="1:13">
      <c r="A1506" s="47"/>
      <c r="B1506" s="47"/>
      <c r="C1506" s="47"/>
      <c r="D1506" s="47"/>
      <c r="E1506" s="47"/>
      <c r="F1506" s="47"/>
      <c r="G1506" s="47"/>
      <c r="H1506" s="47"/>
      <c r="I1506" s="47"/>
      <c r="J1506" s="47"/>
      <c r="K1506" s="59"/>
      <c r="L1506" s="59"/>
      <c r="M1506" s="47"/>
    </row>
    <row r="1507" customHeight="1" spans="1:13">
      <c r="A1507" s="47"/>
      <c r="B1507" s="47"/>
      <c r="C1507" s="47"/>
      <c r="D1507" s="47"/>
      <c r="E1507" s="47"/>
      <c r="F1507" s="47"/>
      <c r="G1507" s="47"/>
      <c r="H1507" s="47"/>
      <c r="I1507" s="47"/>
      <c r="J1507" s="47"/>
      <c r="K1507" s="59"/>
      <c r="L1507" s="59"/>
      <c r="M1507" s="47"/>
    </row>
    <row r="1508" customHeight="1" spans="1:13">
      <c r="A1508" s="47"/>
      <c r="B1508" s="47"/>
      <c r="C1508" s="47"/>
      <c r="D1508" s="47"/>
      <c r="E1508" s="47"/>
      <c r="F1508" s="47"/>
      <c r="G1508" s="47"/>
      <c r="H1508" s="47"/>
      <c r="I1508" s="47"/>
      <c r="J1508" s="47"/>
      <c r="K1508" s="59"/>
      <c r="L1508" s="59"/>
      <c r="M1508" s="47"/>
    </row>
    <row r="1509" customHeight="1" spans="1:13">
      <c r="A1509" s="47"/>
      <c r="B1509" s="47"/>
      <c r="C1509" s="47"/>
      <c r="D1509" s="47"/>
      <c r="E1509" s="47"/>
      <c r="F1509" s="47"/>
      <c r="G1509" s="47"/>
      <c r="H1509" s="47"/>
      <c r="I1509" s="47"/>
      <c r="J1509" s="47"/>
      <c r="K1509" s="59"/>
      <c r="L1509" s="59"/>
      <c r="M1509" s="47"/>
    </row>
    <row r="1510" customHeight="1" spans="1:13">
      <c r="A1510" s="47"/>
      <c r="B1510" s="47"/>
      <c r="C1510" s="47"/>
      <c r="D1510" s="47"/>
      <c r="E1510" s="47"/>
      <c r="F1510" s="47"/>
      <c r="G1510" s="47"/>
      <c r="H1510" s="47"/>
      <c r="I1510" s="47"/>
      <c r="J1510" s="47"/>
      <c r="K1510" s="59"/>
      <c r="L1510" s="59"/>
      <c r="M1510" s="47"/>
    </row>
    <row r="1511" customHeight="1" spans="1:13">
      <c r="A1511" s="47"/>
      <c r="B1511" s="47"/>
      <c r="C1511" s="47"/>
      <c r="D1511" s="47"/>
      <c r="E1511" s="47"/>
      <c r="F1511" s="47"/>
      <c r="G1511" s="47"/>
      <c r="H1511" s="47"/>
      <c r="I1511" s="47"/>
      <c r="J1511" s="47"/>
      <c r="K1511" s="59"/>
      <c r="L1511" s="59"/>
      <c r="M1511" s="47"/>
    </row>
    <row r="1512" customHeight="1" spans="1:13">
      <c r="A1512" s="47"/>
      <c r="B1512" s="47"/>
      <c r="C1512" s="47"/>
      <c r="D1512" s="47"/>
      <c r="E1512" s="47"/>
      <c r="F1512" s="47"/>
      <c r="G1512" s="47"/>
      <c r="H1512" s="47"/>
      <c r="I1512" s="47"/>
      <c r="J1512" s="47"/>
      <c r="K1512" s="59"/>
      <c r="L1512" s="59"/>
      <c r="M1512" s="47"/>
    </row>
    <row r="1513" customHeight="1" spans="1:13">
      <c r="A1513" s="47"/>
      <c r="B1513" s="47"/>
      <c r="C1513" s="47"/>
      <c r="D1513" s="47"/>
      <c r="E1513" s="47"/>
      <c r="F1513" s="47"/>
      <c r="G1513" s="47"/>
      <c r="H1513" s="47"/>
      <c r="I1513" s="47"/>
      <c r="J1513" s="47"/>
      <c r="K1513" s="59"/>
      <c r="L1513" s="59"/>
      <c r="M1513" s="47"/>
    </row>
    <row r="1514" customHeight="1" spans="1:13">
      <c r="A1514" s="47"/>
      <c r="B1514" s="47"/>
      <c r="C1514" s="47"/>
      <c r="D1514" s="47"/>
      <c r="E1514" s="47"/>
      <c r="F1514" s="47"/>
      <c r="G1514" s="47"/>
      <c r="H1514" s="47"/>
      <c r="I1514" s="47"/>
      <c r="J1514" s="47"/>
      <c r="K1514" s="59"/>
      <c r="L1514" s="59"/>
      <c r="M1514" s="47"/>
    </row>
    <row r="1515" customHeight="1" spans="1:13">
      <c r="A1515" s="47"/>
      <c r="B1515" s="47"/>
      <c r="C1515" s="47"/>
      <c r="D1515" s="47"/>
      <c r="E1515" s="47"/>
      <c r="F1515" s="47"/>
      <c r="G1515" s="47"/>
      <c r="H1515" s="47"/>
      <c r="I1515" s="47"/>
      <c r="J1515" s="47"/>
      <c r="K1515" s="59"/>
      <c r="L1515" s="59"/>
      <c r="M1515" s="47"/>
    </row>
    <row r="1516" customHeight="1" spans="1:13">
      <c r="A1516" s="47"/>
      <c r="B1516" s="47"/>
      <c r="C1516" s="47"/>
      <c r="D1516" s="47"/>
      <c r="E1516" s="47"/>
      <c r="F1516" s="47"/>
      <c r="G1516" s="47"/>
      <c r="H1516" s="47"/>
      <c r="I1516" s="47"/>
      <c r="J1516" s="47"/>
      <c r="K1516" s="59"/>
      <c r="L1516" s="59"/>
      <c r="M1516" s="47"/>
    </row>
    <row r="1517" customHeight="1" spans="1:13">
      <c r="A1517" s="47"/>
      <c r="B1517" s="47"/>
      <c r="C1517" s="47"/>
      <c r="D1517" s="47"/>
      <c r="E1517" s="47"/>
      <c r="F1517" s="47"/>
      <c r="G1517" s="47"/>
      <c r="H1517" s="47"/>
      <c r="I1517" s="47"/>
      <c r="J1517" s="47"/>
      <c r="K1517" s="59"/>
      <c r="L1517" s="59"/>
      <c r="M1517" s="47"/>
    </row>
    <row r="1518" customHeight="1" spans="1:13">
      <c r="A1518" s="47"/>
      <c r="B1518" s="47"/>
      <c r="C1518" s="47"/>
      <c r="D1518" s="47"/>
      <c r="E1518" s="47"/>
      <c r="F1518" s="47"/>
      <c r="G1518" s="47"/>
      <c r="H1518" s="47"/>
      <c r="I1518" s="47"/>
      <c r="J1518" s="47"/>
      <c r="K1518" s="59"/>
      <c r="L1518" s="59"/>
      <c r="M1518" s="47"/>
    </row>
    <row r="1519" customHeight="1" spans="1:13">
      <c r="A1519" s="47"/>
      <c r="B1519" s="47"/>
      <c r="C1519" s="47"/>
      <c r="D1519" s="47"/>
      <c r="E1519" s="47"/>
      <c r="F1519" s="47"/>
      <c r="G1519" s="47"/>
      <c r="H1519" s="47"/>
      <c r="I1519" s="47"/>
      <c r="J1519" s="47"/>
      <c r="K1519" s="59"/>
      <c r="L1519" s="59"/>
      <c r="M1519" s="47"/>
    </row>
    <row r="1520" customHeight="1" spans="1:13">
      <c r="A1520" s="47"/>
      <c r="B1520" s="47"/>
      <c r="C1520" s="47"/>
      <c r="D1520" s="47"/>
      <c r="E1520" s="47"/>
      <c r="F1520" s="47"/>
      <c r="G1520" s="47"/>
      <c r="H1520" s="47"/>
      <c r="I1520" s="47"/>
      <c r="J1520" s="47"/>
      <c r="K1520" s="59"/>
      <c r="L1520" s="59"/>
      <c r="M1520" s="47"/>
    </row>
    <row r="1521" customHeight="1" spans="1:13">
      <c r="A1521" s="47"/>
      <c r="B1521" s="47"/>
      <c r="C1521" s="47"/>
      <c r="D1521" s="47"/>
      <c r="E1521" s="47"/>
      <c r="F1521" s="47"/>
      <c r="G1521" s="47"/>
      <c r="H1521" s="47"/>
      <c r="I1521" s="47"/>
      <c r="J1521" s="47"/>
      <c r="K1521" s="59"/>
      <c r="L1521" s="59"/>
      <c r="M1521" s="47"/>
    </row>
    <row r="1522" customHeight="1" spans="1:13">
      <c r="A1522" s="47"/>
      <c r="B1522" s="47"/>
      <c r="C1522" s="47"/>
      <c r="D1522" s="47"/>
      <c r="E1522" s="47"/>
      <c r="F1522" s="47"/>
      <c r="G1522" s="47"/>
      <c r="H1522" s="47"/>
      <c r="I1522" s="47"/>
      <c r="J1522" s="47"/>
      <c r="K1522" s="59"/>
      <c r="L1522" s="59"/>
      <c r="M1522" s="47"/>
    </row>
    <row r="1523" customHeight="1" spans="1:13">
      <c r="A1523" s="47"/>
      <c r="B1523" s="47"/>
      <c r="C1523" s="47"/>
      <c r="D1523" s="47"/>
      <c r="E1523" s="47"/>
      <c r="F1523" s="47"/>
      <c r="G1523" s="47"/>
      <c r="H1523" s="47"/>
      <c r="I1523" s="47"/>
      <c r="J1523" s="47"/>
      <c r="K1523" s="59"/>
      <c r="L1523" s="59"/>
      <c r="M1523" s="47"/>
    </row>
    <row r="1524" customHeight="1" spans="1:13">
      <c r="A1524" s="47"/>
      <c r="B1524" s="47"/>
      <c r="C1524" s="47"/>
      <c r="D1524" s="47"/>
      <c r="E1524" s="47"/>
      <c r="F1524" s="47"/>
      <c r="G1524" s="47"/>
      <c r="H1524" s="47"/>
      <c r="I1524" s="47"/>
      <c r="J1524" s="47"/>
      <c r="K1524" s="59"/>
      <c r="L1524" s="59"/>
      <c r="M1524" s="47"/>
    </row>
    <row r="1525" customHeight="1" spans="1:13">
      <c r="A1525" s="47"/>
      <c r="B1525" s="47"/>
      <c r="C1525" s="47"/>
      <c r="D1525" s="47"/>
      <c r="E1525" s="47"/>
      <c r="F1525" s="47"/>
      <c r="G1525" s="47"/>
      <c r="H1525" s="47"/>
      <c r="I1525" s="47"/>
      <c r="J1525" s="47"/>
      <c r="K1525" s="59"/>
      <c r="L1525" s="59"/>
      <c r="M1525" s="47"/>
    </row>
    <row r="1526" customHeight="1" spans="1:13">
      <c r="A1526" s="47"/>
      <c r="B1526" s="47"/>
      <c r="C1526" s="47"/>
      <c r="D1526" s="47"/>
      <c r="E1526" s="47"/>
      <c r="F1526" s="47"/>
      <c r="G1526" s="47"/>
      <c r="H1526" s="47"/>
      <c r="I1526" s="47"/>
      <c r="J1526" s="47"/>
      <c r="K1526" s="59"/>
      <c r="L1526" s="59"/>
      <c r="M1526" s="47"/>
    </row>
    <row r="1527" customHeight="1" spans="1:13">
      <c r="A1527" s="47"/>
      <c r="B1527" s="47"/>
      <c r="C1527" s="47"/>
      <c r="D1527" s="47"/>
      <c r="E1527" s="47"/>
      <c r="F1527" s="47"/>
      <c r="G1527" s="47"/>
      <c r="H1527" s="47"/>
      <c r="I1527" s="47"/>
      <c r="J1527" s="47"/>
      <c r="K1527" s="59"/>
      <c r="L1527" s="59"/>
      <c r="M1527" s="47"/>
    </row>
    <row r="1528" customHeight="1" spans="1:13">
      <c r="A1528" s="47"/>
      <c r="B1528" s="47"/>
      <c r="C1528" s="47"/>
      <c r="D1528" s="47"/>
      <c r="E1528" s="47"/>
      <c r="F1528" s="47"/>
      <c r="G1528" s="47"/>
      <c r="H1528" s="47"/>
      <c r="I1528" s="47"/>
      <c r="J1528" s="47"/>
      <c r="K1528" s="59"/>
      <c r="L1528" s="59"/>
      <c r="M1528" s="47"/>
    </row>
    <row r="1529" customHeight="1" spans="1:13">
      <c r="A1529" s="47"/>
      <c r="B1529" s="47"/>
      <c r="C1529" s="47"/>
      <c r="D1529" s="47"/>
      <c r="E1529" s="47"/>
      <c r="F1529" s="47"/>
      <c r="G1529" s="47"/>
      <c r="H1529" s="47"/>
      <c r="I1529" s="47"/>
      <c r="J1529" s="47"/>
      <c r="K1529" s="59"/>
      <c r="L1529" s="59"/>
      <c r="M1529" s="47"/>
    </row>
    <row r="1530" customHeight="1" spans="1:13">
      <c r="A1530" s="47"/>
      <c r="B1530" s="47"/>
      <c r="C1530" s="47"/>
      <c r="D1530" s="47"/>
      <c r="E1530" s="47"/>
      <c r="F1530" s="47"/>
      <c r="G1530" s="47"/>
      <c r="H1530" s="47"/>
      <c r="I1530" s="47"/>
      <c r="J1530" s="47"/>
      <c r="K1530" s="59"/>
      <c r="L1530" s="59"/>
      <c r="M1530" s="47"/>
    </row>
    <row r="1531" customHeight="1" spans="1:13">
      <c r="A1531" s="47"/>
      <c r="B1531" s="47"/>
      <c r="C1531" s="47"/>
      <c r="D1531" s="47"/>
      <c r="E1531" s="47"/>
      <c r="F1531" s="47"/>
      <c r="G1531" s="47"/>
      <c r="H1531" s="47"/>
      <c r="I1531" s="47"/>
      <c r="J1531" s="47"/>
      <c r="K1531" s="59"/>
      <c r="L1531" s="59"/>
      <c r="M1531" s="47"/>
    </row>
    <row r="1532" customHeight="1" spans="1:13">
      <c r="A1532" s="47"/>
      <c r="B1532" s="47"/>
      <c r="C1532" s="47"/>
      <c r="D1532" s="47"/>
      <c r="E1532" s="47"/>
      <c r="F1532" s="47"/>
      <c r="G1532" s="47"/>
      <c r="H1532" s="47"/>
      <c r="I1532" s="47"/>
      <c r="J1532" s="47"/>
      <c r="K1532" s="59"/>
      <c r="L1532" s="59"/>
      <c r="M1532" s="47"/>
    </row>
    <row r="1533" customHeight="1" spans="1:13">
      <c r="A1533" s="47"/>
      <c r="B1533" s="47"/>
      <c r="C1533" s="47"/>
      <c r="D1533" s="47"/>
      <c r="E1533" s="47"/>
      <c r="F1533" s="47"/>
      <c r="G1533" s="47"/>
      <c r="H1533" s="47"/>
      <c r="I1533" s="47"/>
      <c r="J1533" s="47"/>
      <c r="K1533" s="59"/>
      <c r="L1533" s="59"/>
      <c r="M1533" s="47"/>
    </row>
    <row r="1534" customHeight="1" spans="1:13">
      <c r="A1534" s="47"/>
      <c r="B1534" s="47"/>
      <c r="C1534" s="47"/>
      <c r="D1534" s="47"/>
      <c r="E1534" s="47"/>
      <c r="F1534" s="47"/>
      <c r="G1534" s="47"/>
      <c r="H1534" s="47"/>
      <c r="I1534" s="47"/>
      <c r="J1534" s="47"/>
      <c r="K1534" s="59"/>
      <c r="L1534" s="59"/>
      <c r="M1534" s="47"/>
    </row>
    <row r="1535" customHeight="1" spans="1:13">
      <c r="A1535" s="47"/>
      <c r="B1535" s="47"/>
      <c r="C1535" s="47"/>
      <c r="D1535" s="47"/>
      <c r="E1535" s="47"/>
      <c r="F1535" s="47"/>
      <c r="G1535" s="47"/>
      <c r="H1535" s="47"/>
      <c r="I1535" s="47"/>
      <c r="J1535" s="47"/>
      <c r="K1535" s="59"/>
      <c r="L1535" s="59"/>
      <c r="M1535" s="47"/>
    </row>
    <row r="1536" customHeight="1" spans="1:13">
      <c r="A1536" s="47"/>
      <c r="B1536" s="47"/>
      <c r="C1536" s="47"/>
      <c r="D1536" s="47"/>
      <c r="E1536" s="47"/>
      <c r="F1536" s="47"/>
      <c r="G1536" s="47"/>
      <c r="H1536" s="47"/>
      <c r="I1536" s="47"/>
      <c r="J1536" s="47"/>
      <c r="K1536" s="59"/>
      <c r="L1536" s="59"/>
      <c r="M1536" s="47"/>
    </row>
    <row r="1537" customHeight="1" spans="1:13">
      <c r="A1537" s="47"/>
      <c r="B1537" s="47"/>
      <c r="C1537" s="47"/>
      <c r="D1537" s="47"/>
      <c r="E1537" s="47"/>
      <c r="F1537" s="47"/>
      <c r="G1537" s="47"/>
      <c r="H1537" s="47"/>
      <c r="I1537" s="47"/>
      <c r="J1537" s="47"/>
      <c r="K1537" s="59"/>
      <c r="L1537" s="59"/>
      <c r="M1537" s="47"/>
    </row>
    <row r="1538" customHeight="1" spans="1:13">
      <c r="A1538" s="47"/>
      <c r="B1538" s="47"/>
      <c r="C1538" s="47"/>
      <c r="D1538" s="47"/>
      <c r="E1538" s="47"/>
      <c r="F1538" s="47"/>
      <c r="G1538" s="47"/>
      <c r="H1538" s="47"/>
      <c r="I1538" s="47"/>
      <c r="J1538" s="47"/>
      <c r="K1538" s="59"/>
      <c r="L1538" s="59"/>
      <c r="M1538" s="47"/>
    </row>
    <row r="1539" customHeight="1" spans="1:13">
      <c r="A1539" s="47"/>
      <c r="B1539" s="47"/>
      <c r="C1539" s="47"/>
      <c r="D1539" s="47"/>
      <c r="E1539" s="47"/>
      <c r="F1539" s="47"/>
      <c r="G1539" s="47"/>
      <c r="H1539" s="47"/>
      <c r="I1539" s="47"/>
      <c r="J1539" s="47"/>
      <c r="K1539" s="59"/>
      <c r="L1539" s="59"/>
      <c r="M1539" s="47"/>
    </row>
    <row r="1540" customHeight="1" spans="1:13">
      <c r="A1540" s="47"/>
      <c r="B1540" s="47"/>
      <c r="C1540" s="47"/>
      <c r="D1540" s="47"/>
      <c r="E1540" s="47"/>
      <c r="F1540" s="47"/>
      <c r="G1540" s="47"/>
      <c r="H1540" s="47"/>
      <c r="I1540" s="47"/>
      <c r="J1540" s="47"/>
      <c r="K1540" s="59"/>
      <c r="L1540" s="59"/>
      <c r="M1540" s="47"/>
    </row>
    <row r="1541" customHeight="1" spans="1:13">
      <c r="A1541" s="47"/>
      <c r="B1541" s="47"/>
      <c r="C1541" s="47"/>
      <c r="D1541" s="47"/>
      <c r="E1541" s="47"/>
      <c r="F1541" s="47"/>
      <c r="G1541" s="47"/>
      <c r="H1541" s="47"/>
      <c r="I1541" s="47"/>
      <c r="J1541" s="47"/>
      <c r="K1541" s="59"/>
      <c r="L1541" s="59"/>
      <c r="M1541" s="47"/>
    </row>
    <row r="1542" customHeight="1" spans="1:13">
      <c r="A1542" s="47"/>
      <c r="B1542" s="47"/>
      <c r="C1542" s="47"/>
      <c r="D1542" s="47"/>
      <c r="E1542" s="47"/>
      <c r="F1542" s="47"/>
      <c r="G1542" s="47"/>
      <c r="H1542" s="47"/>
      <c r="I1542" s="47"/>
      <c r="J1542" s="47"/>
      <c r="K1542" s="59"/>
      <c r="L1542" s="59"/>
      <c r="M1542" s="47"/>
    </row>
    <row r="1543" customHeight="1" spans="1:13">
      <c r="A1543" s="47"/>
      <c r="B1543" s="47"/>
      <c r="C1543" s="47"/>
      <c r="D1543" s="47"/>
      <c r="E1543" s="47"/>
      <c r="F1543" s="47"/>
      <c r="G1543" s="47"/>
      <c r="H1543" s="47"/>
      <c r="I1543" s="47"/>
      <c r="J1543" s="47"/>
      <c r="K1543" s="59"/>
      <c r="L1543" s="59"/>
      <c r="M1543" s="47"/>
    </row>
    <row r="1544" customHeight="1" spans="1:13">
      <c r="A1544" s="47"/>
      <c r="B1544" s="47"/>
      <c r="C1544" s="47"/>
      <c r="D1544" s="47"/>
      <c r="E1544" s="47"/>
      <c r="F1544" s="47"/>
      <c r="G1544" s="47"/>
      <c r="H1544" s="47"/>
      <c r="I1544" s="47"/>
      <c r="J1544" s="47"/>
      <c r="K1544" s="59"/>
      <c r="L1544" s="59"/>
      <c r="M1544" s="47"/>
    </row>
    <row r="1545" customHeight="1" spans="1:13">
      <c r="A1545" s="47"/>
      <c r="B1545" s="47"/>
      <c r="C1545" s="47"/>
      <c r="D1545" s="47"/>
      <c r="E1545" s="47"/>
      <c r="F1545" s="47"/>
      <c r="G1545" s="47"/>
      <c r="H1545" s="47"/>
      <c r="I1545" s="47"/>
      <c r="J1545" s="47"/>
      <c r="K1545" s="59"/>
      <c r="L1545" s="59"/>
      <c r="M1545" s="47"/>
    </row>
    <row r="1546" customHeight="1" spans="1:13">
      <c r="A1546" s="47"/>
      <c r="B1546" s="47"/>
      <c r="C1546" s="47"/>
      <c r="D1546" s="47"/>
      <c r="E1546" s="47"/>
      <c r="F1546" s="47"/>
      <c r="G1546" s="47"/>
      <c r="H1546" s="47"/>
      <c r="I1546" s="47"/>
      <c r="J1546" s="47"/>
      <c r="K1546" s="59"/>
      <c r="L1546" s="59"/>
      <c r="M1546" s="47"/>
    </row>
    <row r="1547" customHeight="1" spans="1:13">
      <c r="A1547" s="47"/>
      <c r="B1547" s="47"/>
      <c r="C1547" s="47"/>
      <c r="D1547" s="47"/>
      <c r="E1547" s="47"/>
      <c r="F1547" s="47"/>
      <c r="G1547" s="47"/>
      <c r="H1547" s="47"/>
      <c r="I1547" s="47"/>
      <c r="J1547" s="47"/>
      <c r="K1547" s="59"/>
      <c r="L1547" s="59"/>
      <c r="M1547" s="47"/>
    </row>
    <row r="1548" customHeight="1" spans="1:13">
      <c r="A1548" s="47"/>
      <c r="B1548" s="47"/>
      <c r="C1548" s="47"/>
      <c r="D1548" s="47"/>
      <c r="E1548" s="47"/>
      <c r="F1548" s="47"/>
      <c r="G1548" s="47"/>
      <c r="H1548" s="47"/>
      <c r="I1548" s="47"/>
      <c r="J1548" s="47"/>
      <c r="K1548" s="59"/>
      <c r="L1548" s="59"/>
      <c r="M1548" s="47"/>
    </row>
    <row r="1549" customHeight="1" spans="1:13">
      <c r="A1549" s="47"/>
      <c r="B1549" s="47"/>
      <c r="C1549" s="47"/>
      <c r="D1549" s="47"/>
      <c r="E1549" s="47"/>
      <c r="F1549" s="47"/>
      <c r="G1549" s="47"/>
      <c r="H1549" s="47"/>
      <c r="I1549" s="47"/>
      <c r="J1549" s="47"/>
      <c r="K1549" s="59"/>
      <c r="L1549" s="59"/>
      <c r="M1549" s="47"/>
    </row>
    <row r="1550" customHeight="1" spans="1:13">
      <c r="A1550" s="47"/>
      <c r="B1550" s="47"/>
      <c r="C1550" s="47"/>
      <c r="D1550" s="47"/>
      <c r="E1550" s="47"/>
      <c r="F1550" s="47"/>
      <c r="G1550" s="47"/>
      <c r="H1550" s="47"/>
      <c r="I1550" s="47"/>
      <c r="J1550" s="47"/>
      <c r="K1550" s="59"/>
      <c r="L1550" s="59"/>
      <c r="M1550" s="47"/>
    </row>
    <row r="1551" customHeight="1" spans="1:13">
      <c r="A1551" s="47"/>
      <c r="B1551" s="47"/>
      <c r="C1551" s="47"/>
      <c r="D1551" s="47"/>
      <c r="E1551" s="47"/>
      <c r="F1551" s="47"/>
      <c r="G1551" s="47"/>
      <c r="H1551" s="47"/>
      <c r="I1551" s="47"/>
      <c r="J1551" s="47"/>
      <c r="K1551" s="59"/>
      <c r="L1551" s="59"/>
      <c r="M1551" s="47"/>
    </row>
    <row r="1552" customHeight="1" spans="1:13">
      <c r="A1552" s="47"/>
      <c r="B1552" s="47"/>
      <c r="C1552" s="47"/>
      <c r="D1552" s="47"/>
      <c r="E1552" s="47"/>
      <c r="F1552" s="47"/>
      <c r="G1552" s="47"/>
      <c r="H1552" s="47"/>
      <c r="I1552" s="47"/>
      <c r="J1552" s="47"/>
      <c r="K1552" s="59"/>
      <c r="L1552" s="59"/>
      <c r="M1552" s="47"/>
    </row>
    <row r="1553" customHeight="1" spans="1:13">
      <c r="A1553" s="47"/>
      <c r="B1553" s="47"/>
      <c r="C1553" s="47"/>
      <c r="D1553" s="47"/>
      <c r="E1553" s="47"/>
      <c r="F1553" s="47"/>
      <c r="G1553" s="47"/>
      <c r="H1553" s="47"/>
      <c r="I1553" s="47"/>
      <c r="J1553" s="47"/>
      <c r="K1553" s="59"/>
      <c r="L1553" s="59"/>
      <c r="M1553" s="47"/>
    </row>
    <row r="1554" customHeight="1" spans="1:13">
      <c r="A1554" s="47"/>
      <c r="B1554" s="47"/>
      <c r="C1554" s="47"/>
      <c r="D1554" s="47"/>
      <c r="E1554" s="47"/>
      <c r="F1554" s="47"/>
      <c r="G1554" s="47"/>
      <c r="H1554" s="47"/>
      <c r="I1554" s="47"/>
      <c r="J1554" s="47"/>
      <c r="K1554" s="59"/>
      <c r="L1554" s="59"/>
      <c r="M1554" s="47"/>
    </row>
    <row r="1555" customHeight="1" spans="1:13">
      <c r="A1555" s="47"/>
      <c r="B1555" s="47"/>
      <c r="C1555" s="47"/>
      <c r="D1555" s="47"/>
      <c r="E1555" s="47"/>
      <c r="F1555" s="47"/>
      <c r="G1555" s="47"/>
      <c r="H1555" s="47"/>
      <c r="I1555" s="47"/>
      <c r="J1555" s="47"/>
      <c r="K1555" s="59"/>
      <c r="L1555" s="59"/>
      <c r="M1555" s="47"/>
    </row>
    <row r="1556" customHeight="1" spans="1:13">
      <c r="A1556" s="47"/>
      <c r="B1556" s="47"/>
      <c r="C1556" s="47"/>
      <c r="D1556" s="47"/>
      <c r="E1556" s="47"/>
      <c r="F1556" s="47"/>
      <c r="G1556" s="47"/>
      <c r="H1556" s="47"/>
      <c r="I1556" s="47"/>
      <c r="J1556" s="47"/>
      <c r="K1556" s="59"/>
      <c r="L1556" s="59"/>
      <c r="M1556" s="47"/>
    </row>
    <row r="1557" customHeight="1" spans="1:13">
      <c r="A1557" s="47"/>
      <c r="B1557" s="47"/>
      <c r="C1557" s="47"/>
      <c r="D1557" s="47"/>
      <c r="E1557" s="47"/>
      <c r="F1557" s="47"/>
      <c r="G1557" s="47"/>
      <c r="H1557" s="47"/>
      <c r="I1557" s="47"/>
      <c r="J1557" s="47"/>
      <c r="K1557" s="59"/>
      <c r="L1557" s="59"/>
      <c r="M1557" s="47"/>
    </row>
    <row r="1558" customHeight="1" spans="1:13">
      <c r="A1558" s="47"/>
      <c r="B1558" s="47"/>
      <c r="C1558" s="47"/>
      <c r="D1558" s="47"/>
      <c r="E1558" s="47"/>
      <c r="F1558" s="47"/>
      <c r="G1558" s="47"/>
      <c r="H1558" s="47"/>
      <c r="I1558" s="47"/>
      <c r="J1558" s="47"/>
      <c r="K1558" s="59"/>
      <c r="L1558" s="59"/>
      <c r="M1558" s="47"/>
    </row>
    <row r="1559" customHeight="1" spans="1:13">
      <c r="A1559" s="47"/>
      <c r="B1559" s="47"/>
      <c r="C1559" s="47"/>
      <c r="D1559" s="47"/>
      <c r="E1559" s="47"/>
      <c r="F1559" s="47"/>
      <c r="G1559" s="47"/>
      <c r="H1559" s="47"/>
      <c r="I1559" s="47"/>
      <c r="J1559" s="47"/>
      <c r="K1559" s="59"/>
      <c r="L1559" s="59"/>
      <c r="M1559" s="47"/>
    </row>
    <row r="1560" customHeight="1" spans="1:13">
      <c r="A1560" s="47"/>
      <c r="B1560" s="47"/>
      <c r="C1560" s="47"/>
      <c r="D1560" s="47"/>
      <c r="E1560" s="47"/>
      <c r="F1560" s="47"/>
      <c r="G1560" s="47"/>
      <c r="H1560" s="47"/>
      <c r="I1560" s="47"/>
      <c r="J1560" s="47"/>
      <c r="K1560" s="59"/>
      <c r="L1560" s="59"/>
      <c r="M1560" s="47"/>
    </row>
    <row r="1561" customHeight="1" spans="1:13">
      <c r="A1561" s="47"/>
      <c r="B1561" s="47"/>
      <c r="C1561" s="47"/>
      <c r="D1561" s="47"/>
      <c r="E1561" s="47"/>
      <c r="F1561" s="47"/>
      <c r="G1561" s="47"/>
      <c r="H1561" s="47"/>
      <c r="I1561" s="47"/>
      <c r="J1561" s="47"/>
      <c r="K1561" s="59"/>
      <c r="L1561" s="59"/>
      <c r="M1561" s="47"/>
    </row>
    <row r="1562" customHeight="1" spans="1:13">
      <c r="A1562" s="47"/>
      <c r="B1562" s="47"/>
      <c r="C1562" s="47"/>
      <c r="D1562" s="47"/>
      <c r="E1562" s="47"/>
      <c r="F1562" s="47"/>
      <c r="G1562" s="47"/>
      <c r="H1562" s="47"/>
      <c r="I1562" s="47"/>
      <c r="J1562" s="47"/>
      <c r="K1562" s="59"/>
      <c r="L1562" s="59"/>
      <c r="M1562" s="47"/>
    </row>
    <row r="1563" customHeight="1" spans="1:13">
      <c r="A1563" s="47"/>
      <c r="B1563" s="47"/>
      <c r="C1563" s="47"/>
      <c r="D1563" s="47"/>
      <c r="E1563" s="47"/>
      <c r="F1563" s="47"/>
      <c r="G1563" s="47"/>
      <c r="H1563" s="47"/>
      <c r="I1563" s="47"/>
      <c r="J1563" s="47"/>
      <c r="K1563" s="59"/>
      <c r="L1563" s="59"/>
      <c r="M1563" s="47"/>
    </row>
    <row r="1564" customHeight="1" spans="1:13">
      <c r="A1564" s="47"/>
      <c r="B1564" s="47"/>
      <c r="C1564" s="47"/>
      <c r="D1564" s="47"/>
      <c r="E1564" s="47"/>
      <c r="F1564" s="47"/>
      <c r="G1564" s="47"/>
      <c r="H1564" s="47"/>
      <c r="I1564" s="47"/>
      <c r="J1564" s="47"/>
      <c r="K1564" s="59"/>
      <c r="L1564" s="59"/>
      <c r="M1564" s="47"/>
    </row>
    <row r="1565" customHeight="1" spans="1:13">
      <c r="A1565" s="47"/>
      <c r="B1565" s="47"/>
      <c r="C1565" s="47"/>
      <c r="D1565" s="47"/>
      <c r="E1565" s="47"/>
      <c r="F1565" s="47"/>
      <c r="G1565" s="47"/>
      <c r="H1565" s="47"/>
      <c r="I1565" s="47"/>
      <c r="J1565" s="47"/>
      <c r="K1565" s="59"/>
      <c r="L1565" s="59"/>
      <c r="M1565" s="47"/>
    </row>
    <row r="1566" customHeight="1" spans="1:13">
      <c r="A1566" s="47"/>
      <c r="B1566" s="47"/>
      <c r="C1566" s="47"/>
      <c r="D1566" s="47"/>
      <c r="E1566" s="47"/>
      <c r="F1566" s="47"/>
      <c r="G1566" s="47"/>
      <c r="H1566" s="47"/>
      <c r="I1566" s="47"/>
      <c r="J1566" s="47"/>
      <c r="K1566" s="59"/>
      <c r="L1566" s="59"/>
      <c r="M1566" s="47"/>
    </row>
    <row r="1567" customHeight="1" spans="1:13">
      <c r="A1567" s="47"/>
      <c r="B1567" s="47"/>
      <c r="C1567" s="47"/>
      <c r="D1567" s="47"/>
      <c r="E1567" s="47"/>
      <c r="F1567" s="47"/>
      <c r="G1567" s="47"/>
      <c r="H1567" s="47"/>
      <c r="I1567" s="47"/>
      <c r="J1567" s="47"/>
      <c r="K1567" s="59"/>
      <c r="L1567" s="59"/>
      <c r="M1567" s="47"/>
    </row>
    <row r="1568" customHeight="1" spans="1:13">
      <c r="A1568" s="47"/>
      <c r="B1568" s="47"/>
      <c r="C1568" s="47"/>
      <c r="D1568" s="47"/>
      <c r="E1568" s="47"/>
      <c r="F1568" s="47"/>
      <c r="G1568" s="47"/>
      <c r="H1568" s="47"/>
      <c r="I1568" s="47"/>
      <c r="J1568" s="47"/>
      <c r="K1568" s="59"/>
      <c r="L1568" s="59"/>
      <c r="M1568" s="47"/>
    </row>
    <row r="1569" customHeight="1" spans="1:13">
      <c r="A1569" s="47"/>
      <c r="B1569" s="47"/>
      <c r="C1569" s="47"/>
      <c r="D1569" s="47"/>
      <c r="E1569" s="47"/>
      <c r="F1569" s="47"/>
      <c r="G1569" s="47"/>
      <c r="H1569" s="47"/>
      <c r="I1569" s="47"/>
      <c r="J1569" s="47"/>
      <c r="K1569" s="59"/>
      <c r="L1569" s="59"/>
      <c r="M1569" s="47"/>
    </row>
    <row r="1570" customHeight="1" spans="1:13">
      <c r="A1570" s="47"/>
      <c r="B1570" s="47"/>
      <c r="C1570" s="47"/>
      <c r="D1570" s="47"/>
      <c r="E1570" s="47"/>
      <c r="F1570" s="47"/>
      <c r="G1570" s="47"/>
      <c r="H1570" s="47"/>
      <c r="I1570" s="47"/>
      <c r="J1570" s="47"/>
      <c r="K1570" s="59"/>
      <c r="L1570" s="59"/>
      <c r="M1570" s="47"/>
    </row>
    <row r="1571" customHeight="1" spans="1:13">
      <c r="A1571" s="47"/>
      <c r="B1571" s="47"/>
      <c r="C1571" s="47"/>
      <c r="D1571" s="47"/>
      <c r="E1571" s="47"/>
      <c r="F1571" s="47"/>
      <c r="G1571" s="47"/>
      <c r="H1571" s="47"/>
      <c r="I1571" s="47"/>
      <c r="J1571" s="47"/>
      <c r="K1571" s="59"/>
      <c r="L1571" s="59"/>
      <c r="M1571" s="47"/>
    </row>
    <row r="1572" customHeight="1" spans="1:13">
      <c r="A1572" s="47"/>
      <c r="B1572" s="47"/>
      <c r="C1572" s="47"/>
      <c r="D1572" s="47"/>
      <c r="E1572" s="47"/>
      <c r="F1572" s="47"/>
      <c r="G1572" s="47"/>
      <c r="H1572" s="47"/>
      <c r="I1572" s="47"/>
      <c r="J1572" s="47"/>
      <c r="K1572" s="59"/>
      <c r="L1572" s="59"/>
      <c r="M1572" s="47"/>
    </row>
    <row r="1573" customHeight="1" spans="1:13">
      <c r="A1573" s="47"/>
      <c r="B1573" s="47"/>
      <c r="C1573" s="47"/>
      <c r="D1573" s="47"/>
      <c r="E1573" s="47"/>
      <c r="F1573" s="47"/>
      <c r="G1573" s="47"/>
      <c r="H1573" s="47"/>
      <c r="I1573" s="47"/>
      <c r="J1573" s="47"/>
      <c r="K1573" s="59"/>
      <c r="L1573" s="59"/>
      <c r="M1573" s="47"/>
    </row>
    <row r="1574" customHeight="1" spans="1:13">
      <c r="A1574" s="47"/>
      <c r="B1574" s="47"/>
      <c r="C1574" s="47"/>
      <c r="D1574" s="47"/>
      <c r="E1574" s="47"/>
      <c r="F1574" s="47"/>
      <c r="G1574" s="47"/>
      <c r="H1574" s="47"/>
      <c r="I1574" s="47"/>
      <c r="J1574" s="47"/>
      <c r="K1574" s="59"/>
      <c r="L1574" s="59"/>
      <c r="M1574" s="47"/>
    </row>
    <row r="1575" customHeight="1" spans="1:13">
      <c r="A1575" s="47"/>
      <c r="B1575" s="47"/>
      <c r="C1575" s="47"/>
      <c r="D1575" s="47"/>
      <c r="E1575" s="47"/>
      <c r="F1575" s="47"/>
      <c r="G1575" s="47"/>
      <c r="H1575" s="47"/>
      <c r="I1575" s="47"/>
      <c r="J1575" s="47"/>
      <c r="K1575" s="59"/>
      <c r="L1575" s="59"/>
      <c r="M1575" s="47"/>
    </row>
    <row r="1576" customHeight="1" spans="1:13">
      <c r="A1576" s="47"/>
      <c r="B1576" s="47"/>
      <c r="C1576" s="47"/>
      <c r="D1576" s="47"/>
      <c r="E1576" s="47"/>
      <c r="F1576" s="47"/>
      <c r="G1576" s="47"/>
      <c r="H1576" s="47"/>
      <c r="I1576" s="47"/>
      <c r="J1576" s="47"/>
      <c r="K1576" s="59"/>
      <c r="L1576" s="59"/>
      <c r="M1576" s="47"/>
    </row>
    <row r="1577" customHeight="1" spans="1:13">
      <c r="A1577" s="47"/>
      <c r="B1577" s="47"/>
      <c r="C1577" s="47"/>
      <c r="D1577" s="47"/>
      <c r="E1577" s="47"/>
      <c r="F1577" s="47"/>
      <c r="G1577" s="47"/>
      <c r="H1577" s="47"/>
      <c r="I1577" s="47"/>
      <c r="J1577" s="47"/>
      <c r="K1577" s="59"/>
      <c r="L1577" s="59"/>
      <c r="M1577" s="47"/>
    </row>
    <row r="1578" customHeight="1" spans="1:13">
      <c r="A1578" s="47"/>
      <c r="B1578" s="47"/>
      <c r="C1578" s="47"/>
      <c r="D1578" s="47"/>
      <c r="E1578" s="47"/>
      <c r="F1578" s="47"/>
      <c r="G1578" s="47"/>
      <c r="H1578" s="47"/>
      <c r="I1578" s="47"/>
      <c r="J1578" s="47"/>
      <c r="K1578" s="59"/>
      <c r="L1578" s="59"/>
      <c r="M1578" s="47"/>
    </row>
    <row r="1579" customHeight="1" spans="1:13">
      <c r="A1579" s="47"/>
      <c r="B1579" s="47"/>
      <c r="C1579" s="47"/>
      <c r="D1579" s="47"/>
      <c r="E1579" s="47"/>
      <c r="F1579" s="47"/>
      <c r="G1579" s="47"/>
      <c r="H1579" s="47"/>
      <c r="I1579" s="47"/>
      <c r="J1579" s="47"/>
      <c r="K1579" s="59"/>
      <c r="L1579" s="59"/>
      <c r="M1579" s="47"/>
    </row>
    <row r="1580" customHeight="1" spans="1:13">
      <c r="A1580" s="47"/>
      <c r="B1580" s="47"/>
      <c r="C1580" s="47"/>
      <c r="D1580" s="47"/>
      <c r="E1580" s="47"/>
      <c r="F1580" s="47"/>
      <c r="G1580" s="47"/>
      <c r="H1580" s="47"/>
      <c r="I1580" s="47"/>
      <c r="J1580" s="47"/>
      <c r="K1580" s="59"/>
      <c r="L1580" s="59"/>
      <c r="M1580" s="47"/>
    </row>
    <row r="1581" customHeight="1" spans="1:13">
      <c r="A1581" s="47"/>
      <c r="B1581" s="47"/>
      <c r="C1581" s="47"/>
      <c r="D1581" s="47"/>
      <c r="E1581" s="47"/>
      <c r="F1581" s="47"/>
      <c r="G1581" s="47"/>
      <c r="H1581" s="47"/>
      <c r="I1581" s="47"/>
      <c r="J1581" s="47"/>
      <c r="K1581" s="59"/>
      <c r="L1581" s="59"/>
      <c r="M1581" s="47"/>
    </row>
    <row r="1582" customHeight="1" spans="1:13">
      <c r="A1582" s="47"/>
      <c r="B1582" s="47"/>
      <c r="C1582" s="47"/>
      <c r="D1582" s="47"/>
      <c r="E1582" s="47"/>
      <c r="F1582" s="47"/>
      <c r="G1582" s="47"/>
      <c r="H1582" s="47"/>
      <c r="I1582" s="47"/>
      <c r="J1582" s="47"/>
      <c r="K1582" s="59"/>
      <c r="L1582" s="59"/>
      <c r="M1582" s="47"/>
    </row>
    <row r="1583" customHeight="1" spans="1:13">
      <c r="A1583" s="47"/>
      <c r="B1583" s="47"/>
      <c r="C1583" s="47"/>
      <c r="D1583" s="47"/>
      <c r="E1583" s="47"/>
      <c r="F1583" s="47"/>
      <c r="G1583" s="47"/>
      <c r="H1583" s="47"/>
      <c r="I1583" s="47"/>
      <c r="J1583" s="47"/>
      <c r="K1583" s="59"/>
      <c r="L1583" s="59"/>
      <c r="M1583" s="47"/>
    </row>
    <row r="1584" customHeight="1" spans="1:13">
      <c r="A1584" s="47"/>
      <c r="B1584" s="47"/>
      <c r="C1584" s="47"/>
      <c r="D1584" s="47"/>
      <c r="E1584" s="47"/>
      <c r="F1584" s="47"/>
      <c r="G1584" s="47"/>
      <c r="H1584" s="47"/>
      <c r="I1584" s="47"/>
      <c r="J1584" s="47"/>
      <c r="K1584" s="59"/>
      <c r="L1584" s="59"/>
      <c r="M1584" s="47"/>
    </row>
    <row r="1585" customHeight="1" spans="1:13">
      <c r="A1585" s="47"/>
      <c r="B1585" s="47"/>
      <c r="C1585" s="47"/>
      <c r="D1585" s="47"/>
      <c r="E1585" s="47"/>
      <c r="F1585" s="47"/>
      <c r="G1585" s="47"/>
      <c r="H1585" s="47"/>
      <c r="I1585" s="47"/>
      <c r="J1585" s="47"/>
      <c r="K1585" s="59"/>
      <c r="L1585" s="59"/>
      <c r="M1585" s="47"/>
    </row>
    <row r="1586" customHeight="1" spans="1:13">
      <c r="A1586" s="47"/>
      <c r="B1586" s="47"/>
      <c r="C1586" s="47"/>
      <c r="D1586" s="47"/>
      <c r="E1586" s="47"/>
      <c r="F1586" s="47"/>
      <c r="G1586" s="47"/>
      <c r="H1586" s="47"/>
      <c r="I1586" s="47"/>
      <c r="J1586" s="47"/>
      <c r="K1586" s="59"/>
      <c r="L1586" s="59"/>
      <c r="M1586" s="47"/>
    </row>
    <row r="1587" customHeight="1" spans="1:13">
      <c r="A1587" s="47"/>
      <c r="B1587" s="47"/>
      <c r="C1587" s="47"/>
      <c r="D1587" s="47"/>
      <c r="E1587" s="47"/>
      <c r="F1587" s="47"/>
      <c r="G1587" s="47"/>
      <c r="H1587" s="47"/>
      <c r="I1587" s="47"/>
      <c r="J1587" s="47"/>
      <c r="K1587" s="59"/>
      <c r="L1587" s="59"/>
      <c r="M1587" s="47"/>
    </row>
    <row r="1588" customHeight="1" spans="1:13">
      <c r="A1588" s="47"/>
      <c r="B1588" s="47"/>
      <c r="C1588" s="47"/>
      <c r="D1588" s="47"/>
      <c r="E1588" s="47"/>
      <c r="F1588" s="47"/>
      <c r="G1588" s="47"/>
      <c r="H1588" s="47"/>
      <c r="I1588" s="47"/>
      <c r="J1588" s="47"/>
      <c r="K1588" s="59"/>
      <c r="L1588" s="59"/>
      <c r="M1588" s="47"/>
    </row>
    <row r="1589" customHeight="1" spans="1:13">
      <c r="A1589" s="47"/>
      <c r="B1589" s="47"/>
      <c r="C1589" s="47"/>
      <c r="D1589" s="47"/>
      <c r="E1589" s="47"/>
      <c r="F1589" s="47"/>
      <c r="G1589" s="47"/>
      <c r="H1589" s="47"/>
      <c r="I1589" s="47"/>
      <c r="J1589" s="47"/>
      <c r="K1589" s="59"/>
      <c r="L1589" s="59"/>
      <c r="M1589" s="47"/>
    </row>
    <row r="1590" customHeight="1" spans="1:13">
      <c r="A1590" s="47"/>
      <c r="B1590" s="47"/>
      <c r="C1590" s="47"/>
      <c r="D1590" s="47"/>
      <c r="E1590" s="47"/>
      <c r="F1590" s="47"/>
      <c r="G1590" s="47"/>
      <c r="H1590" s="47"/>
      <c r="I1590" s="47"/>
      <c r="J1590" s="47"/>
      <c r="K1590" s="59"/>
      <c r="L1590" s="59"/>
      <c r="M1590" s="47"/>
    </row>
    <row r="1591" customHeight="1" spans="1:13">
      <c r="A1591" s="47"/>
      <c r="B1591" s="47"/>
      <c r="C1591" s="47"/>
      <c r="D1591" s="47"/>
      <c r="E1591" s="47"/>
      <c r="F1591" s="47"/>
      <c r="G1591" s="47"/>
      <c r="H1591" s="47"/>
      <c r="I1591" s="47"/>
      <c r="J1591" s="47"/>
      <c r="K1591" s="59"/>
      <c r="L1591" s="59"/>
      <c r="M1591" s="47"/>
    </row>
    <row r="1592" customHeight="1" spans="1:13">
      <c r="A1592" s="47"/>
      <c r="B1592" s="47"/>
      <c r="C1592" s="47"/>
      <c r="D1592" s="47"/>
      <c r="E1592" s="47"/>
      <c r="F1592" s="47"/>
      <c r="G1592" s="47"/>
      <c r="H1592" s="47"/>
      <c r="I1592" s="47"/>
      <c r="J1592" s="47"/>
      <c r="K1592" s="59"/>
      <c r="L1592" s="59"/>
      <c r="M1592" s="47"/>
    </row>
    <row r="1593" customHeight="1" spans="1:13">
      <c r="A1593" s="47"/>
      <c r="B1593" s="47"/>
      <c r="C1593" s="47"/>
      <c r="D1593" s="47"/>
      <c r="E1593" s="47"/>
      <c r="F1593" s="47"/>
      <c r="G1593" s="47"/>
      <c r="H1593" s="47"/>
      <c r="I1593" s="47"/>
      <c r="J1593" s="47"/>
      <c r="K1593" s="59"/>
      <c r="L1593" s="59"/>
      <c r="M1593" s="47"/>
    </row>
    <row r="1594" customHeight="1" spans="1:13">
      <c r="A1594" s="47"/>
      <c r="B1594" s="47"/>
      <c r="C1594" s="47"/>
      <c r="D1594" s="47"/>
      <c r="E1594" s="47"/>
      <c r="F1594" s="47"/>
      <c r="G1594" s="47"/>
      <c r="H1594" s="47"/>
      <c r="I1594" s="47"/>
      <c r="J1594" s="47"/>
      <c r="K1594" s="59"/>
      <c r="L1594" s="59"/>
      <c r="M1594" s="47"/>
    </row>
    <row r="1595" customHeight="1" spans="1:13">
      <c r="A1595" s="47"/>
      <c r="B1595" s="47"/>
      <c r="C1595" s="47"/>
      <c r="D1595" s="47"/>
      <c r="E1595" s="47"/>
      <c r="F1595" s="47"/>
      <c r="G1595" s="47"/>
      <c r="H1595" s="47"/>
      <c r="I1595" s="47"/>
      <c r="J1595" s="47"/>
      <c r="K1595" s="59"/>
      <c r="L1595" s="59"/>
      <c r="M1595" s="47"/>
    </row>
    <row r="1596" customHeight="1" spans="1:13">
      <c r="A1596" s="47"/>
      <c r="B1596" s="47"/>
      <c r="C1596" s="47"/>
      <c r="D1596" s="47"/>
      <c r="E1596" s="47"/>
      <c r="F1596" s="47"/>
      <c r="G1596" s="47"/>
      <c r="H1596" s="47"/>
      <c r="I1596" s="47"/>
      <c r="J1596" s="47"/>
      <c r="K1596" s="59"/>
      <c r="L1596" s="59"/>
      <c r="M1596" s="47"/>
    </row>
    <row r="1597" customHeight="1" spans="1:13">
      <c r="A1597" s="47"/>
      <c r="B1597" s="47"/>
      <c r="C1597" s="47"/>
      <c r="D1597" s="47"/>
      <c r="E1597" s="47"/>
      <c r="F1597" s="47"/>
      <c r="G1597" s="47"/>
      <c r="H1597" s="47"/>
      <c r="I1597" s="47"/>
      <c r="J1597" s="47"/>
      <c r="K1597" s="59"/>
      <c r="L1597" s="59"/>
      <c r="M1597" s="47"/>
    </row>
    <row r="1598" customHeight="1" spans="1:13">
      <c r="A1598" s="47"/>
      <c r="B1598" s="47"/>
      <c r="C1598" s="47"/>
      <c r="D1598" s="47"/>
      <c r="E1598" s="47"/>
      <c r="F1598" s="47"/>
      <c r="G1598" s="47"/>
      <c r="H1598" s="47"/>
      <c r="I1598" s="47"/>
      <c r="J1598" s="47"/>
      <c r="K1598" s="59"/>
      <c r="L1598" s="59"/>
      <c r="M1598" s="47"/>
    </row>
    <row r="1599" customHeight="1" spans="1:13">
      <c r="A1599" s="47"/>
      <c r="B1599" s="47"/>
      <c r="C1599" s="47"/>
      <c r="D1599" s="47"/>
      <c r="E1599" s="47"/>
      <c r="F1599" s="47"/>
      <c r="G1599" s="47"/>
      <c r="H1599" s="47"/>
      <c r="I1599" s="47"/>
      <c r="J1599" s="47"/>
      <c r="K1599" s="59"/>
      <c r="L1599" s="59"/>
      <c r="M1599" s="47"/>
    </row>
    <row r="1600" customHeight="1" spans="1:13">
      <c r="A1600" s="47"/>
      <c r="B1600" s="47"/>
      <c r="C1600" s="47"/>
      <c r="D1600" s="47"/>
      <c r="E1600" s="47"/>
      <c r="F1600" s="47"/>
      <c r="G1600" s="47"/>
      <c r="H1600" s="47"/>
      <c r="I1600" s="47"/>
      <c r="J1600" s="47"/>
      <c r="K1600" s="59"/>
      <c r="L1600" s="59"/>
      <c r="M1600" s="47"/>
    </row>
    <row r="1601" customHeight="1" spans="1:13">
      <c r="A1601" s="47"/>
      <c r="B1601" s="47"/>
      <c r="C1601" s="47"/>
      <c r="D1601" s="47"/>
      <c r="E1601" s="47"/>
      <c r="F1601" s="47"/>
      <c r="G1601" s="47"/>
      <c r="H1601" s="47"/>
      <c r="I1601" s="47"/>
      <c r="J1601" s="47"/>
      <c r="K1601" s="59"/>
      <c r="L1601" s="59"/>
      <c r="M1601" s="47"/>
    </row>
    <row r="1602" customHeight="1" spans="1:13">
      <c r="A1602" s="47"/>
      <c r="B1602" s="47"/>
      <c r="C1602" s="47"/>
      <c r="D1602" s="47"/>
      <c r="E1602" s="47"/>
      <c r="F1602" s="47"/>
      <c r="G1602" s="47"/>
      <c r="H1602" s="47"/>
      <c r="I1602" s="47"/>
      <c r="J1602" s="47"/>
      <c r="K1602" s="59"/>
      <c r="L1602" s="59"/>
      <c r="M1602" s="47"/>
    </row>
    <row r="1603" customHeight="1" spans="1:13">
      <c r="A1603" s="47"/>
      <c r="B1603" s="47"/>
      <c r="C1603" s="47"/>
      <c r="D1603" s="47"/>
      <c r="E1603" s="47"/>
      <c r="F1603" s="47"/>
      <c r="G1603" s="47"/>
      <c r="H1603" s="47"/>
      <c r="I1603" s="47"/>
      <c r="J1603" s="47"/>
      <c r="K1603" s="59"/>
      <c r="L1603" s="59"/>
      <c r="M1603" s="47"/>
    </row>
    <row r="1604" customHeight="1" spans="1:13">
      <c r="A1604" s="47"/>
      <c r="B1604" s="47"/>
      <c r="C1604" s="47"/>
      <c r="D1604" s="47"/>
      <c r="E1604" s="47"/>
      <c r="F1604" s="47"/>
      <c r="G1604" s="47"/>
      <c r="H1604" s="47"/>
      <c r="I1604" s="47"/>
      <c r="J1604" s="47"/>
      <c r="K1604" s="59"/>
      <c r="L1604" s="59"/>
      <c r="M1604" s="47"/>
    </row>
    <row r="1605" customHeight="1" spans="1:13">
      <c r="A1605" s="47"/>
      <c r="B1605" s="47"/>
      <c r="C1605" s="47"/>
      <c r="D1605" s="47"/>
      <c r="E1605" s="47"/>
      <c r="F1605" s="47"/>
      <c r="G1605" s="47"/>
      <c r="H1605" s="47"/>
      <c r="I1605" s="47"/>
      <c r="J1605" s="47"/>
      <c r="K1605" s="59"/>
      <c r="L1605" s="59"/>
      <c r="M1605" s="47"/>
    </row>
    <row r="1606" customHeight="1" spans="1:13">
      <c r="A1606" s="47"/>
      <c r="B1606" s="47"/>
      <c r="C1606" s="47"/>
      <c r="D1606" s="47"/>
      <c r="E1606" s="47"/>
      <c r="F1606" s="47"/>
      <c r="G1606" s="47"/>
      <c r="H1606" s="47"/>
      <c r="I1606" s="47"/>
      <c r="J1606" s="47"/>
      <c r="K1606" s="59"/>
      <c r="L1606" s="59"/>
      <c r="M1606" s="47"/>
    </row>
    <row r="1607" customHeight="1" spans="1:13">
      <c r="A1607" s="47"/>
      <c r="B1607" s="47"/>
      <c r="C1607" s="47"/>
      <c r="D1607" s="47"/>
      <c r="E1607" s="47"/>
      <c r="F1607" s="47"/>
      <c r="G1607" s="47"/>
      <c r="H1607" s="47"/>
      <c r="I1607" s="47"/>
      <c r="J1607" s="47"/>
      <c r="K1607" s="59"/>
      <c r="L1607" s="59"/>
      <c r="M1607" s="47"/>
    </row>
    <row r="1608" customHeight="1" spans="1:13">
      <c r="A1608" s="47"/>
      <c r="B1608" s="47"/>
      <c r="C1608" s="47"/>
      <c r="D1608" s="47"/>
      <c r="E1608" s="47"/>
      <c r="F1608" s="47"/>
      <c r="G1608" s="47"/>
      <c r="H1608" s="47"/>
      <c r="I1608" s="47"/>
      <c r="J1608" s="47"/>
      <c r="K1608" s="59"/>
      <c r="L1608" s="59"/>
      <c r="M1608" s="47"/>
    </row>
    <row r="1609" customHeight="1" spans="1:13">
      <c r="A1609" s="47"/>
      <c r="B1609" s="47"/>
      <c r="C1609" s="47"/>
      <c r="D1609" s="47"/>
      <c r="E1609" s="47"/>
      <c r="F1609" s="47"/>
      <c r="G1609" s="47"/>
      <c r="H1609" s="47"/>
      <c r="I1609" s="47"/>
      <c r="J1609" s="47"/>
      <c r="K1609" s="59"/>
      <c r="L1609" s="59"/>
      <c r="M1609" s="47"/>
    </row>
    <row r="1610" customHeight="1" spans="1:13">
      <c r="A1610" s="47"/>
      <c r="B1610" s="47"/>
      <c r="C1610" s="47"/>
      <c r="D1610" s="47"/>
      <c r="E1610" s="47"/>
      <c r="F1610" s="47"/>
      <c r="G1610" s="47"/>
      <c r="H1610" s="47"/>
      <c r="I1610" s="47"/>
      <c r="J1610" s="47"/>
      <c r="K1610" s="59"/>
      <c r="L1610" s="59"/>
      <c r="M1610" s="47"/>
    </row>
    <row r="1611" customHeight="1" spans="1:13">
      <c r="A1611" s="47"/>
      <c r="B1611" s="47"/>
      <c r="C1611" s="47"/>
      <c r="D1611" s="47"/>
      <c r="E1611" s="47"/>
      <c r="F1611" s="47"/>
      <c r="G1611" s="47"/>
      <c r="H1611" s="47"/>
      <c r="I1611" s="47"/>
      <c r="J1611" s="47"/>
      <c r="K1611" s="59"/>
      <c r="L1611" s="59"/>
      <c r="M1611" s="47"/>
    </row>
    <row r="1612" customHeight="1" spans="1:13">
      <c r="A1612" s="47"/>
      <c r="B1612" s="47"/>
      <c r="C1612" s="47"/>
      <c r="D1612" s="47"/>
      <c r="E1612" s="47"/>
      <c r="F1612" s="47"/>
      <c r="G1612" s="47"/>
      <c r="H1612" s="47"/>
      <c r="I1612" s="47"/>
      <c r="J1612" s="47"/>
      <c r="K1612" s="59"/>
      <c r="L1612" s="59"/>
      <c r="M1612" s="47"/>
    </row>
    <row r="1613" customHeight="1" spans="1:13">
      <c r="A1613" s="47"/>
      <c r="B1613" s="47"/>
      <c r="C1613" s="47"/>
      <c r="D1613" s="47"/>
      <c r="E1613" s="47"/>
      <c r="F1613" s="47"/>
      <c r="G1613" s="47"/>
      <c r="H1613" s="47"/>
      <c r="I1613" s="47"/>
      <c r="J1613" s="47"/>
      <c r="K1613" s="59"/>
      <c r="L1613" s="59"/>
      <c r="M1613" s="47"/>
    </row>
    <row r="1614" customHeight="1" spans="1:13">
      <c r="A1614" s="47"/>
      <c r="B1614" s="47"/>
      <c r="C1614" s="47"/>
      <c r="D1614" s="47"/>
      <c r="E1614" s="47"/>
      <c r="F1614" s="47"/>
      <c r="G1614" s="47"/>
      <c r="H1614" s="47"/>
      <c r="I1614" s="47"/>
      <c r="J1614" s="47"/>
      <c r="K1614" s="59"/>
      <c r="L1614" s="59"/>
      <c r="M1614" s="47"/>
    </row>
    <row r="1615" customHeight="1" spans="1:13">
      <c r="A1615" s="47"/>
      <c r="B1615" s="47"/>
      <c r="C1615" s="47"/>
      <c r="D1615" s="47"/>
      <c r="E1615" s="47"/>
      <c r="F1615" s="47"/>
      <c r="G1615" s="47"/>
      <c r="H1615" s="47"/>
      <c r="I1615" s="47"/>
      <c r="J1615" s="47"/>
      <c r="K1615" s="59"/>
      <c r="L1615" s="59"/>
      <c r="M1615" s="47"/>
    </row>
    <row r="1616" customHeight="1" spans="1:13">
      <c r="A1616" s="47"/>
      <c r="B1616" s="47"/>
      <c r="C1616" s="47"/>
      <c r="D1616" s="47"/>
      <c r="E1616" s="47"/>
      <c r="F1616" s="47"/>
      <c r="G1616" s="47"/>
      <c r="H1616" s="47"/>
      <c r="I1616" s="47"/>
      <c r="J1616" s="47"/>
      <c r="K1616" s="59"/>
      <c r="L1616" s="59"/>
      <c r="M1616" s="47"/>
    </row>
    <row r="1617" customHeight="1" spans="1:13">
      <c r="A1617" s="47"/>
      <c r="B1617" s="47"/>
      <c r="C1617" s="47"/>
      <c r="D1617" s="47"/>
      <c r="E1617" s="47"/>
      <c r="F1617" s="47"/>
      <c r="G1617" s="47"/>
      <c r="H1617" s="47"/>
      <c r="I1617" s="47"/>
      <c r="J1617" s="47"/>
      <c r="K1617" s="59"/>
      <c r="L1617" s="59"/>
      <c r="M1617" s="47"/>
    </row>
    <row r="1618" customHeight="1" spans="1:13">
      <c r="A1618" s="47"/>
      <c r="B1618" s="47"/>
      <c r="C1618" s="47"/>
      <c r="D1618" s="47"/>
      <c r="E1618" s="47"/>
      <c r="F1618" s="47"/>
      <c r="G1618" s="47"/>
      <c r="H1618" s="47"/>
      <c r="I1618" s="47"/>
      <c r="J1618" s="47"/>
      <c r="K1618" s="59"/>
      <c r="L1618" s="59"/>
      <c r="M1618" s="47"/>
    </row>
    <row r="1619" customHeight="1" spans="1:13">
      <c r="A1619" s="47"/>
      <c r="B1619" s="47"/>
      <c r="C1619" s="47"/>
      <c r="D1619" s="47"/>
      <c r="E1619" s="47"/>
      <c r="F1619" s="47"/>
      <c r="G1619" s="47"/>
      <c r="H1619" s="47"/>
      <c r="I1619" s="47"/>
      <c r="J1619" s="47"/>
      <c r="K1619" s="59"/>
      <c r="L1619" s="59"/>
      <c r="M1619" s="47"/>
    </row>
    <row r="1620" customHeight="1" spans="1:13">
      <c r="A1620" s="47"/>
      <c r="B1620" s="47"/>
      <c r="C1620" s="47"/>
      <c r="D1620" s="47"/>
      <c r="E1620" s="47"/>
      <c r="F1620" s="47"/>
      <c r="G1620" s="47"/>
      <c r="H1620" s="47"/>
      <c r="I1620" s="47"/>
      <c r="J1620" s="47"/>
      <c r="K1620" s="59"/>
      <c r="L1620" s="59"/>
      <c r="M1620" s="47"/>
    </row>
    <row r="1621" customHeight="1" spans="1:13">
      <c r="A1621" s="47"/>
      <c r="B1621" s="47"/>
      <c r="C1621" s="47"/>
      <c r="D1621" s="47"/>
      <c r="E1621" s="47"/>
      <c r="F1621" s="47"/>
      <c r="G1621" s="47"/>
      <c r="H1621" s="47"/>
      <c r="I1621" s="47"/>
      <c r="J1621" s="47"/>
      <c r="K1621" s="59"/>
      <c r="L1621" s="59"/>
      <c r="M1621" s="47"/>
    </row>
    <row r="1622" customHeight="1" spans="1:13">
      <c r="A1622" s="47"/>
      <c r="B1622" s="47"/>
      <c r="C1622" s="47"/>
      <c r="D1622" s="47"/>
      <c r="E1622" s="47"/>
      <c r="F1622" s="47"/>
      <c r="G1622" s="47"/>
      <c r="H1622" s="47"/>
      <c r="I1622" s="47"/>
      <c r="J1622" s="47"/>
      <c r="K1622" s="59"/>
      <c r="L1622" s="59"/>
      <c r="M1622" s="47"/>
    </row>
    <row r="1623" customHeight="1" spans="1:13">
      <c r="A1623" s="47"/>
      <c r="B1623" s="47"/>
      <c r="C1623" s="47"/>
      <c r="D1623" s="47"/>
      <c r="E1623" s="47"/>
      <c r="F1623" s="47"/>
      <c r="G1623" s="47"/>
      <c r="H1623" s="47"/>
      <c r="I1623" s="47"/>
      <c r="J1623" s="47"/>
      <c r="K1623" s="59"/>
      <c r="L1623" s="59"/>
      <c r="M1623" s="47"/>
    </row>
    <row r="1624" customHeight="1" spans="1:13">
      <c r="A1624" s="47"/>
      <c r="B1624" s="47"/>
      <c r="C1624" s="47"/>
      <c r="D1624" s="47"/>
      <c r="E1624" s="47"/>
      <c r="F1624" s="47"/>
      <c r="G1624" s="47"/>
      <c r="H1624" s="47"/>
      <c r="I1624" s="47"/>
      <c r="J1624" s="47"/>
      <c r="K1624" s="59"/>
      <c r="L1624" s="59"/>
      <c r="M1624" s="47"/>
    </row>
    <row r="1625" customHeight="1" spans="1:13">
      <c r="A1625" s="47"/>
      <c r="B1625" s="47"/>
      <c r="C1625" s="47"/>
      <c r="D1625" s="47"/>
      <c r="E1625" s="47"/>
      <c r="F1625" s="47"/>
      <c r="G1625" s="47"/>
      <c r="H1625" s="47"/>
      <c r="I1625" s="47"/>
      <c r="J1625" s="47"/>
      <c r="K1625" s="59"/>
      <c r="L1625" s="59"/>
      <c r="M1625" s="47"/>
    </row>
    <row r="1626" customHeight="1" spans="1:13">
      <c r="A1626" s="47"/>
      <c r="B1626" s="47"/>
      <c r="C1626" s="47"/>
      <c r="D1626" s="47"/>
      <c r="E1626" s="47"/>
      <c r="F1626" s="47"/>
      <c r="G1626" s="47"/>
      <c r="H1626" s="47"/>
      <c r="I1626" s="47"/>
      <c r="J1626" s="47"/>
      <c r="K1626" s="59"/>
      <c r="L1626" s="59"/>
      <c r="M1626" s="47"/>
    </row>
    <row r="1627" customHeight="1" spans="1:13">
      <c r="A1627" s="47"/>
      <c r="B1627" s="47"/>
      <c r="C1627" s="47"/>
      <c r="D1627" s="47"/>
      <c r="E1627" s="47"/>
      <c r="F1627" s="47"/>
      <c r="G1627" s="47"/>
      <c r="H1627" s="47"/>
      <c r="I1627" s="47"/>
      <c r="J1627" s="47"/>
      <c r="K1627" s="59"/>
      <c r="L1627" s="59"/>
      <c r="M1627" s="47"/>
    </row>
    <row r="1628" customHeight="1" spans="1:13">
      <c r="A1628" s="47"/>
      <c r="B1628" s="47"/>
      <c r="C1628" s="47"/>
      <c r="D1628" s="47"/>
      <c r="E1628" s="47"/>
      <c r="F1628" s="47"/>
      <c r="G1628" s="47"/>
      <c r="H1628" s="47"/>
      <c r="I1628" s="47"/>
      <c r="J1628" s="47"/>
      <c r="K1628" s="59"/>
      <c r="L1628" s="59"/>
      <c r="M1628" s="47"/>
    </row>
    <row r="1629" customHeight="1" spans="1:13">
      <c r="A1629" s="47"/>
      <c r="B1629" s="47"/>
      <c r="C1629" s="47"/>
      <c r="D1629" s="47"/>
      <c r="E1629" s="47"/>
      <c r="F1629" s="47"/>
      <c r="G1629" s="47"/>
      <c r="H1629" s="47"/>
      <c r="I1629" s="47"/>
      <c r="J1629" s="47"/>
      <c r="K1629" s="59"/>
      <c r="L1629" s="59"/>
      <c r="M1629" s="47"/>
    </row>
    <row r="1630" customHeight="1" spans="1:13">
      <c r="A1630" s="47"/>
      <c r="B1630" s="47"/>
      <c r="C1630" s="47"/>
      <c r="D1630" s="47"/>
      <c r="E1630" s="47"/>
      <c r="F1630" s="47"/>
      <c r="G1630" s="47"/>
      <c r="H1630" s="47"/>
      <c r="I1630" s="47"/>
      <c r="J1630" s="47"/>
      <c r="K1630" s="59"/>
      <c r="L1630" s="59"/>
      <c r="M1630" s="47"/>
    </row>
    <row r="1631" customHeight="1" spans="1:13">
      <c r="A1631" s="47"/>
      <c r="B1631" s="47"/>
      <c r="C1631" s="47"/>
      <c r="D1631" s="47"/>
      <c r="E1631" s="47"/>
      <c r="F1631" s="47"/>
      <c r="G1631" s="47"/>
      <c r="H1631" s="47"/>
      <c r="I1631" s="47"/>
      <c r="J1631" s="47"/>
      <c r="K1631" s="59"/>
      <c r="L1631" s="59"/>
      <c r="M1631" s="47"/>
    </row>
    <row r="1632" customHeight="1" spans="1:13">
      <c r="A1632" s="47"/>
      <c r="B1632" s="47"/>
      <c r="C1632" s="47"/>
      <c r="D1632" s="47"/>
      <c r="E1632" s="47"/>
      <c r="F1632" s="47"/>
      <c r="G1632" s="47"/>
      <c r="H1632" s="47"/>
      <c r="I1632" s="47"/>
      <c r="J1632" s="47"/>
      <c r="K1632" s="59"/>
      <c r="L1632" s="59"/>
      <c r="M1632" s="47"/>
    </row>
    <row r="1633" customHeight="1" spans="1:13">
      <c r="A1633" s="47"/>
      <c r="B1633" s="47"/>
      <c r="C1633" s="47"/>
      <c r="D1633" s="47"/>
      <c r="E1633" s="47"/>
      <c r="F1633" s="47"/>
      <c r="G1633" s="47"/>
      <c r="H1633" s="47"/>
      <c r="I1633" s="47"/>
      <c r="J1633" s="47"/>
      <c r="K1633" s="59"/>
      <c r="L1633" s="59"/>
      <c r="M1633" s="47"/>
    </row>
    <row r="1634" customHeight="1" spans="1:13">
      <c r="A1634" s="47"/>
      <c r="B1634" s="47"/>
      <c r="C1634" s="47"/>
      <c r="D1634" s="47"/>
      <c r="E1634" s="47"/>
      <c r="F1634" s="47"/>
      <c r="G1634" s="47"/>
      <c r="H1634" s="47"/>
      <c r="I1634" s="47"/>
      <c r="J1634" s="47"/>
      <c r="K1634" s="59"/>
      <c r="L1634" s="59"/>
      <c r="M1634" s="47"/>
    </row>
    <row r="1635" customHeight="1" spans="1:13">
      <c r="A1635" s="47"/>
      <c r="B1635" s="47"/>
      <c r="C1635" s="47"/>
      <c r="D1635" s="47"/>
      <c r="E1635" s="47"/>
      <c r="F1635" s="47"/>
      <c r="G1635" s="47"/>
      <c r="H1635" s="47"/>
      <c r="I1635" s="47"/>
      <c r="J1635" s="47"/>
      <c r="K1635" s="59"/>
      <c r="L1635" s="59"/>
      <c r="M1635" s="47"/>
    </row>
    <row r="1636" customHeight="1" spans="1:13">
      <c r="A1636" s="47"/>
      <c r="B1636" s="47"/>
      <c r="C1636" s="47"/>
      <c r="D1636" s="47"/>
      <c r="E1636" s="47"/>
      <c r="F1636" s="47"/>
      <c r="G1636" s="47"/>
      <c r="H1636" s="47"/>
      <c r="I1636" s="47"/>
      <c r="J1636" s="47"/>
      <c r="K1636" s="59"/>
      <c r="L1636" s="59"/>
      <c r="M1636" s="47"/>
    </row>
    <row r="1637" customHeight="1" spans="1:13">
      <c r="A1637" s="47"/>
      <c r="B1637" s="47"/>
      <c r="C1637" s="47"/>
      <c r="D1637" s="47"/>
      <c r="E1637" s="47"/>
      <c r="F1637" s="47"/>
      <c r="G1637" s="47"/>
      <c r="H1637" s="47"/>
      <c r="I1637" s="47"/>
      <c r="J1637" s="47"/>
      <c r="K1637" s="59"/>
      <c r="L1637" s="59"/>
      <c r="M1637" s="47"/>
    </row>
    <row r="1638" customHeight="1" spans="1:13">
      <c r="A1638" s="47"/>
      <c r="B1638" s="47"/>
      <c r="C1638" s="47"/>
      <c r="D1638" s="47"/>
      <c r="E1638" s="47"/>
      <c r="F1638" s="47"/>
      <c r="G1638" s="47"/>
      <c r="H1638" s="47"/>
      <c r="I1638" s="47"/>
      <c r="J1638" s="47"/>
      <c r="K1638" s="59"/>
      <c r="L1638" s="59"/>
      <c r="M1638" s="47"/>
    </row>
    <row r="1639" customHeight="1" spans="1:13">
      <c r="A1639" s="47"/>
      <c r="B1639" s="47"/>
      <c r="C1639" s="47"/>
      <c r="D1639" s="47"/>
      <c r="E1639" s="47"/>
      <c r="F1639" s="47"/>
      <c r="G1639" s="47"/>
      <c r="H1639" s="47"/>
      <c r="I1639" s="47"/>
      <c r="J1639" s="47"/>
      <c r="K1639" s="59"/>
      <c r="L1639" s="59"/>
      <c r="M1639" s="47"/>
    </row>
    <row r="1640" customHeight="1" spans="1:13">
      <c r="A1640" s="47"/>
      <c r="B1640" s="47"/>
      <c r="C1640" s="47"/>
      <c r="D1640" s="47"/>
      <c r="E1640" s="47"/>
      <c r="F1640" s="47"/>
      <c r="G1640" s="47"/>
      <c r="H1640" s="47"/>
      <c r="I1640" s="47"/>
      <c r="J1640" s="47"/>
      <c r="K1640" s="59"/>
      <c r="L1640" s="59"/>
      <c r="M1640" s="47"/>
    </row>
    <row r="1641" customHeight="1" spans="1:13">
      <c r="A1641" s="47"/>
      <c r="B1641" s="47"/>
      <c r="C1641" s="47"/>
      <c r="D1641" s="47"/>
      <c r="E1641" s="47"/>
      <c r="F1641" s="47"/>
      <c r="G1641" s="47"/>
      <c r="H1641" s="47"/>
      <c r="I1641" s="47"/>
      <c r="J1641" s="47"/>
      <c r="K1641" s="59"/>
      <c r="L1641" s="59"/>
      <c r="M1641" s="47"/>
    </row>
    <row r="1642" customHeight="1" spans="1:13">
      <c r="A1642" s="47"/>
      <c r="B1642" s="47"/>
      <c r="C1642" s="47"/>
      <c r="D1642" s="47"/>
      <c r="E1642" s="47"/>
      <c r="F1642" s="47"/>
      <c r="G1642" s="47"/>
      <c r="H1642" s="47"/>
      <c r="I1642" s="47"/>
      <c r="J1642" s="47"/>
      <c r="K1642" s="59"/>
      <c r="L1642" s="59"/>
      <c r="M1642" s="47"/>
    </row>
    <row r="1643" customHeight="1" spans="1:13">
      <c r="A1643" s="47"/>
      <c r="B1643" s="47"/>
      <c r="C1643" s="47"/>
      <c r="D1643" s="47"/>
      <c r="E1643" s="47"/>
      <c r="F1643" s="47"/>
      <c r="G1643" s="47"/>
      <c r="H1643" s="47"/>
      <c r="I1643" s="47"/>
      <c r="J1643" s="47"/>
      <c r="K1643" s="59"/>
      <c r="L1643" s="59"/>
      <c r="M1643" s="47"/>
    </row>
    <row r="1644" customHeight="1" spans="1:13">
      <c r="A1644" s="47"/>
      <c r="B1644" s="47"/>
      <c r="C1644" s="47"/>
      <c r="D1644" s="47"/>
      <c r="E1644" s="47"/>
      <c r="F1644" s="47"/>
      <c r="G1644" s="47"/>
      <c r="H1644" s="47"/>
      <c r="I1644" s="47"/>
      <c r="J1644" s="47"/>
      <c r="K1644" s="59"/>
      <c r="L1644" s="59"/>
      <c r="M1644" s="47"/>
    </row>
    <row r="1645" customHeight="1" spans="1:13">
      <c r="A1645" s="47"/>
      <c r="B1645" s="47"/>
      <c r="C1645" s="47"/>
      <c r="D1645" s="47"/>
      <c r="E1645" s="47"/>
      <c r="F1645" s="47"/>
      <c r="G1645" s="47"/>
      <c r="H1645" s="47"/>
      <c r="I1645" s="47"/>
      <c r="J1645" s="47"/>
      <c r="K1645" s="59"/>
      <c r="L1645" s="59"/>
      <c r="M1645" s="47"/>
    </row>
    <row r="1646" customHeight="1" spans="1:13">
      <c r="A1646" s="47"/>
      <c r="B1646" s="47"/>
      <c r="C1646" s="47"/>
      <c r="D1646" s="47"/>
      <c r="E1646" s="47"/>
      <c r="F1646" s="47"/>
      <c r="G1646" s="47"/>
      <c r="H1646" s="47"/>
      <c r="I1646" s="47"/>
      <c r="J1646" s="47"/>
      <c r="K1646" s="59"/>
      <c r="L1646" s="59"/>
      <c r="M1646" s="47"/>
    </row>
    <row r="1647" customHeight="1" spans="1:13">
      <c r="A1647" s="47"/>
      <c r="B1647" s="47"/>
      <c r="C1647" s="47"/>
      <c r="D1647" s="47"/>
      <c r="E1647" s="47"/>
      <c r="F1647" s="47"/>
      <c r="G1647" s="47"/>
      <c r="H1647" s="47"/>
      <c r="I1647" s="47"/>
      <c r="J1647" s="47"/>
      <c r="K1647" s="59"/>
      <c r="L1647" s="59"/>
      <c r="M1647" s="47"/>
    </row>
    <row r="1648" customHeight="1" spans="1:13">
      <c r="A1648" s="47"/>
      <c r="B1648" s="47"/>
      <c r="C1648" s="47"/>
      <c r="D1648" s="47"/>
      <c r="E1648" s="47"/>
      <c r="F1648" s="47"/>
      <c r="G1648" s="47"/>
      <c r="H1648" s="47"/>
      <c r="I1648" s="47"/>
      <c r="J1648" s="47"/>
      <c r="K1648" s="59"/>
      <c r="L1648" s="59"/>
      <c r="M1648" s="47"/>
    </row>
    <row r="1649" customHeight="1" spans="1:13">
      <c r="A1649" s="47"/>
      <c r="B1649" s="47"/>
      <c r="C1649" s="47"/>
      <c r="D1649" s="47"/>
      <c r="E1649" s="47"/>
      <c r="F1649" s="47"/>
      <c r="G1649" s="47"/>
      <c r="H1649" s="47"/>
      <c r="I1649" s="47"/>
      <c r="J1649" s="47"/>
      <c r="K1649" s="59"/>
      <c r="L1649" s="59"/>
      <c r="M1649" s="47"/>
    </row>
    <row r="1650" customHeight="1" spans="1:13">
      <c r="A1650" s="47"/>
      <c r="B1650" s="47"/>
      <c r="C1650" s="47"/>
      <c r="D1650" s="47"/>
      <c r="E1650" s="47"/>
      <c r="F1650" s="47"/>
      <c r="G1650" s="47"/>
      <c r="H1650" s="47"/>
      <c r="I1650" s="47"/>
      <c r="J1650" s="47"/>
      <c r="K1650" s="59"/>
      <c r="L1650" s="59"/>
      <c r="M1650" s="47"/>
    </row>
    <row r="1651" customHeight="1" spans="1:13">
      <c r="A1651" s="47"/>
      <c r="B1651" s="47"/>
      <c r="C1651" s="47"/>
      <c r="D1651" s="47"/>
      <c r="E1651" s="47"/>
      <c r="F1651" s="47"/>
      <c r="G1651" s="47"/>
      <c r="H1651" s="47"/>
      <c r="I1651" s="47"/>
      <c r="J1651" s="47"/>
      <c r="K1651" s="59"/>
      <c r="L1651" s="59"/>
      <c r="M1651" s="47"/>
    </row>
    <row r="1652" customHeight="1" spans="1:13">
      <c r="A1652" s="47"/>
      <c r="B1652" s="47"/>
      <c r="C1652" s="47"/>
      <c r="D1652" s="47"/>
      <c r="E1652" s="47"/>
      <c r="F1652" s="47"/>
      <c r="G1652" s="47"/>
      <c r="H1652" s="47"/>
      <c r="I1652" s="47"/>
      <c r="J1652" s="47"/>
      <c r="K1652" s="59"/>
      <c r="L1652" s="59"/>
      <c r="M1652" s="47"/>
    </row>
    <row r="1653" customHeight="1" spans="1:13">
      <c r="A1653" s="47"/>
      <c r="B1653" s="47"/>
      <c r="C1653" s="47"/>
      <c r="D1653" s="47"/>
      <c r="E1653" s="47"/>
      <c r="F1653" s="47"/>
      <c r="G1653" s="47"/>
      <c r="H1653" s="47"/>
      <c r="I1653" s="47"/>
      <c r="J1653" s="47"/>
      <c r="K1653" s="59"/>
      <c r="L1653" s="59"/>
      <c r="M1653" s="47"/>
    </row>
    <row r="1654" customHeight="1" spans="1:13">
      <c r="A1654" s="47"/>
      <c r="B1654" s="47"/>
      <c r="C1654" s="47"/>
      <c r="D1654" s="47"/>
      <c r="E1654" s="47"/>
      <c r="F1654" s="47"/>
      <c r="G1654" s="47"/>
      <c r="H1654" s="47"/>
      <c r="I1654" s="47"/>
      <c r="J1654" s="47"/>
      <c r="K1654" s="59"/>
      <c r="L1654" s="59"/>
      <c r="M1654" s="47"/>
    </row>
    <row r="1655" customHeight="1" spans="1:13">
      <c r="A1655" s="47"/>
      <c r="B1655" s="47"/>
      <c r="C1655" s="47"/>
      <c r="D1655" s="47"/>
      <c r="E1655" s="47"/>
      <c r="F1655" s="47"/>
      <c r="G1655" s="47"/>
      <c r="H1655" s="47"/>
      <c r="I1655" s="47"/>
      <c r="J1655" s="47"/>
      <c r="K1655" s="59"/>
      <c r="L1655" s="59"/>
      <c r="M1655" s="47"/>
    </row>
    <row r="1656" customHeight="1" spans="1:13">
      <c r="A1656" s="47"/>
      <c r="B1656" s="47"/>
      <c r="C1656" s="47"/>
      <c r="D1656" s="47"/>
      <c r="E1656" s="47"/>
      <c r="F1656" s="47"/>
      <c r="G1656" s="47"/>
      <c r="H1656" s="47"/>
      <c r="I1656" s="47"/>
      <c r="J1656" s="47"/>
      <c r="K1656" s="59"/>
      <c r="L1656" s="59"/>
      <c r="M1656" s="47"/>
    </row>
    <row r="1657" customHeight="1" spans="1:13">
      <c r="A1657" s="47"/>
      <c r="B1657" s="47"/>
      <c r="C1657" s="47"/>
      <c r="D1657" s="47"/>
      <c r="E1657" s="47"/>
      <c r="F1657" s="47"/>
      <c r="G1657" s="47"/>
      <c r="H1657" s="47"/>
      <c r="I1657" s="47"/>
      <c r="J1657" s="47"/>
      <c r="K1657" s="59"/>
      <c r="L1657" s="59"/>
      <c r="M1657" s="47"/>
    </row>
    <row r="1658" customHeight="1" spans="1:13">
      <c r="A1658" s="47"/>
      <c r="B1658" s="47"/>
      <c r="C1658" s="47"/>
      <c r="D1658" s="47"/>
      <c r="E1658" s="47"/>
      <c r="F1658" s="47"/>
      <c r="G1658" s="47"/>
      <c r="H1658" s="47"/>
      <c r="I1658" s="47"/>
      <c r="J1658" s="47"/>
      <c r="K1658" s="59"/>
      <c r="L1658" s="59"/>
      <c r="M1658" s="47"/>
    </row>
    <row r="1659" customHeight="1" spans="1:13">
      <c r="A1659" s="47"/>
      <c r="B1659" s="47"/>
      <c r="C1659" s="47"/>
      <c r="D1659" s="47"/>
      <c r="E1659" s="47"/>
      <c r="F1659" s="47"/>
      <c r="G1659" s="47"/>
      <c r="H1659" s="47"/>
      <c r="I1659" s="47"/>
      <c r="J1659" s="47"/>
      <c r="K1659" s="59"/>
      <c r="L1659" s="59"/>
      <c r="M1659" s="47"/>
    </row>
    <row r="1660" customHeight="1" spans="1:13">
      <c r="A1660" s="47"/>
      <c r="B1660" s="47"/>
      <c r="C1660" s="47"/>
      <c r="D1660" s="47"/>
      <c r="E1660" s="47"/>
      <c r="F1660" s="47"/>
      <c r="G1660" s="47"/>
      <c r="H1660" s="47"/>
      <c r="I1660" s="47"/>
      <c r="J1660" s="47"/>
      <c r="K1660" s="59"/>
      <c r="L1660" s="59"/>
      <c r="M1660" s="47"/>
    </row>
    <row r="1661" customHeight="1" spans="1:13">
      <c r="A1661" s="47"/>
      <c r="B1661" s="47"/>
      <c r="C1661" s="47"/>
      <c r="D1661" s="47"/>
      <c r="E1661" s="47"/>
      <c r="F1661" s="47"/>
      <c r="G1661" s="47"/>
      <c r="H1661" s="47"/>
      <c r="I1661" s="47"/>
      <c r="J1661" s="47"/>
      <c r="K1661" s="59"/>
      <c r="L1661" s="59"/>
      <c r="M1661" s="47"/>
    </row>
    <row r="1662" customHeight="1" spans="1:13">
      <c r="A1662" s="47"/>
      <c r="B1662" s="47"/>
      <c r="C1662" s="47"/>
      <c r="D1662" s="47"/>
      <c r="E1662" s="47"/>
      <c r="F1662" s="47"/>
      <c r="G1662" s="47"/>
      <c r="H1662" s="47"/>
      <c r="I1662" s="47"/>
      <c r="J1662" s="47"/>
      <c r="K1662" s="59"/>
      <c r="L1662" s="59"/>
      <c r="M1662" s="47"/>
    </row>
    <row r="1663" customHeight="1" spans="1:13">
      <c r="A1663" s="47"/>
      <c r="B1663" s="47"/>
      <c r="C1663" s="47"/>
      <c r="D1663" s="47"/>
      <c r="E1663" s="47"/>
      <c r="F1663" s="47"/>
      <c r="G1663" s="47"/>
      <c r="H1663" s="47"/>
      <c r="I1663" s="47"/>
      <c r="J1663" s="47"/>
      <c r="K1663" s="59"/>
      <c r="L1663" s="59"/>
      <c r="M1663" s="47"/>
    </row>
    <row r="1664" customHeight="1" spans="1:13">
      <c r="A1664" s="47"/>
      <c r="B1664" s="47"/>
      <c r="C1664" s="47"/>
      <c r="D1664" s="47"/>
      <c r="E1664" s="47"/>
      <c r="F1664" s="47"/>
      <c r="G1664" s="47"/>
      <c r="H1664" s="47"/>
      <c r="I1664" s="47"/>
      <c r="J1664" s="47"/>
      <c r="K1664" s="59"/>
      <c r="L1664" s="59"/>
      <c r="M1664" s="47"/>
    </row>
    <row r="1665" customHeight="1" spans="1:13">
      <c r="A1665" s="47"/>
      <c r="B1665" s="47"/>
      <c r="C1665" s="47"/>
      <c r="D1665" s="47"/>
      <c r="E1665" s="47"/>
      <c r="F1665" s="47"/>
      <c r="G1665" s="47"/>
      <c r="H1665" s="47"/>
      <c r="I1665" s="47"/>
      <c r="J1665" s="47"/>
      <c r="K1665" s="59"/>
      <c r="L1665" s="59"/>
      <c r="M1665" s="47"/>
    </row>
    <row r="1666" customHeight="1" spans="1:13">
      <c r="A1666" s="47"/>
      <c r="B1666" s="47"/>
      <c r="C1666" s="47"/>
      <c r="D1666" s="47"/>
      <c r="E1666" s="47"/>
      <c r="F1666" s="47"/>
      <c r="G1666" s="47"/>
      <c r="H1666" s="47"/>
      <c r="I1666" s="47"/>
      <c r="J1666" s="47"/>
      <c r="K1666" s="59"/>
      <c r="L1666" s="59"/>
      <c r="M1666" s="47"/>
    </row>
    <row r="1667" customHeight="1" spans="1:13">
      <c r="A1667" s="47"/>
      <c r="B1667" s="47"/>
      <c r="C1667" s="47"/>
      <c r="D1667" s="47"/>
      <c r="E1667" s="47"/>
      <c r="F1667" s="47"/>
      <c r="G1667" s="47"/>
      <c r="H1667" s="47"/>
      <c r="I1667" s="47"/>
      <c r="J1667" s="47"/>
      <c r="K1667" s="59"/>
      <c r="L1667" s="59"/>
      <c r="M1667" s="47"/>
    </row>
    <row r="1668" customHeight="1" spans="1:13">
      <c r="A1668" s="47"/>
      <c r="B1668" s="47"/>
      <c r="C1668" s="47"/>
      <c r="D1668" s="47"/>
      <c r="E1668" s="47"/>
      <c r="F1668" s="47"/>
      <c r="G1668" s="47"/>
      <c r="H1668" s="47"/>
      <c r="I1668" s="47"/>
      <c r="J1668" s="47"/>
      <c r="K1668" s="59"/>
      <c r="L1668" s="59"/>
      <c r="M1668" s="47"/>
    </row>
    <row r="1669" customHeight="1" spans="1:13">
      <c r="A1669" s="47"/>
      <c r="B1669" s="47"/>
      <c r="C1669" s="47"/>
      <c r="D1669" s="47"/>
      <c r="E1669" s="47"/>
      <c r="F1669" s="47"/>
      <c r="G1669" s="47"/>
      <c r="H1669" s="47"/>
      <c r="I1669" s="47"/>
      <c r="J1669" s="47"/>
      <c r="K1669" s="59"/>
      <c r="L1669" s="59"/>
      <c r="M1669" s="47"/>
    </row>
    <row r="1670" customHeight="1" spans="1:13">
      <c r="A1670" s="47"/>
      <c r="B1670" s="47"/>
      <c r="C1670" s="47"/>
      <c r="D1670" s="47"/>
      <c r="E1670" s="47"/>
      <c r="F1670" s="47"/>
      <c r="G1670" s="47"/>
      <c r="H1670" s="47"/>
      <c r="I1670" s="47"/>
      <c r="J1670" s="47"/>
      <c r="K1670" s="59"/>
      <c r="L1670" s="59"/>
      <c r="M1670" s="47"/>
    </row>
    <row r="1671" customHeight="1" spans="1:13">
      <c r="A1671" s="47"/>
      <c r="B1671" s="47"/>
      <c r="C1671" s="47"/>
      <c r="D1671" s="47"/>
      <c r="E1671" s="47"/>
      <c r="F1671" s="47"/>
      <c r="G1671" s="47"/>
      <c r="H1671" s="47"/>
      <c r="I1671" s="47"/>
      <c r="J1671" s="47"/>
      <c r="K1671" s="59"/>
      <c r="L1671" s="59"/>
      <c r="M1671" s="47"/>
    </row>
    <row r="1672" customHeight="1" spans="1:13">
      <c r="A1672" s="47"/>
      <c r="B1672" s="47"/>
      <c r="C1672" s="47"/>
      <c r="D1672" s="47"/>
      <c r="E1672" s="47"/>
      <c r="F1672" s="47"/>
      <c r="G1672" s="47"/>
      <c r="H1672" s="47"/>
      <c r="I1672" s="47"/>
      <c r="J1672" s="47"/>
      <c r="K1672" s="59"/>
      <c r="L1672" s="59"/>
      <c r="M1672" s="47"/>
    </row>
    <row r="1673" customHeight="1" spans="1:13">
      <c r="A1673" s="47"/>
      <c r="B1673" s="47"/>
      <c r="C1673" s="47"/>
      <c r="D1673" s="47"/>
      <c r="E1673" s="47"/>
      <c r="F1673" s="47"/>
      <c r="G1673" s="47"/>
      <c r="H1673" s="47"/>
      <c r="I1673" s="47"/>
      <c r="J1673" s="47"/>
      <c r="K1673" s="59"/>
      <c r="L1673" s="59"/>
      <c r="M1673" s="47"/>
    </row>
    <row r="1674" customHeight="1" spans="1:13">
      <c r="A1674" s="47"/>
      <c r="B1674" s="47"/>
      <c r="C1674" s="47"/>
      <c r="D1674" s="47"/>
      <c r="E1674" s="47"/>
      <c r="F1674" s="47"/>
      <c r="G1674" s="47"/>
      <c r="H1674" s="47"/>
      <c r="I1674" s="47"/>
      <c r="J1674" s="47"/>
      <c r="K1674" s="59"/>
      <c r="L1674" s="59"/>
      <c r="M1674" s="47"/>
    </row>
    <row r="1675" customHeight="1" spans="1:13">
      <c r="A1675" s="47"/>
      <c r="B1675" s="47"/>
      <c r="C1675" s="47"/>
      <c r="D1675" s="47"/>
      <c r="E1675" s="47"/>
      <c r="F1675" s="47"/>
      <c r="G1675" s="47"/>
      <c r="H1675" s="47"/>
      <c r="I1675" s="47"/>
      <c r="J1675" s="47"/>
      <c r="K1675" s="59"/>
      <c r="L1675" s="59"/>
      <c r="M1675" s="47"/>
    </row>
    <row r="1676" customHeight="1" spans="1:13">
      <c r="A1676" s="47"/>
      <c r="B1676" s="47"/>
      <c r="C1676" s="47"/>
      <c r="D1676" s="47"/>
      <c r="E1676" s="47"/>
      <c r="F1676" s="47"/>
      <c r="G1676" s="47"/>
      <c r="H1676" s="47"/>
      <c r="I1676" s="47"/>
      <c r="J1676" s="47"/>
      <c r="K1676" s="59"/>
      <c r="L1676" s="59"/>
      <c r="M1676" s="47"/>
    </row>
    <row r="1677" customHeight="1" spans="1:13">
      <c r="A1677" s="47"/>
      <c r="B1677" s="47"/>
      <c r="C1677" s="47"/>
      <c r="D1677" s="47"/>
      <c r="E1677" s="47"/>
      <c r="F1677" s="47"/>
      <c r="G1677" s="47"/>
      <c r="H1677" s="47"/>
      <c r="I1677" s="47"/>
      <c r="J1677" s="47"/>
      <c r="K1677" s="59"/>
      <c r="L1677" s="59"/>
      <c r="M1677" s="47"/>
    </row>
    <row r="1678" customHeight="1" spans="1:13">
      <c r="A1678" s="47"/>
      <c r="B1678" s="47"/>
      <c r="C1678" s="47"/>
      <c r="D1678" s="47"/>
      <c r="E1678" s="47"/>
      <c r="F1678" s="47"/>
      <c r="G1678" s="47"/>
      <c r="H1678" s="47"/>
      <c r="I1678" s="47"/>
      <c r="J1678" s="47"/>
      <c r="K1678" s="59"/>
      <c r="L1678" s="59"/>
      <c r="M1678" s="47"/>
    </row>
    <row r="1679" customHeight="1" spans="1:13">
      <c r="A1679" s="47"/>
      <c r="B1679" s="47"/>
      <c r="C1679" s="47"/>
      <c r="D1679" s="47"/>
      <c r="E1679" s="47"/>
      <c r="F1679" s="47"/>
      <c r="G1679" s="47"/>
      <c r="H1679" s="47"/>
      <c r="I1679" s="47"/>
      <c r="J1679" s="47"/>
      <c r="K1679" s="59"/>
      <c r="L1679" s="59"/>
      <c r="M1679" s="47"/>
    </row>
    <row r="1680" customHeight="1" spans="1:13">
      <c r="A1680" s="47"/>
      <c r="B1680" s="47"/>
      <c r="C1680" s="47"/>
      <c r="D1680" s="47"/>
      <c r="E1680" s="47"/>
      <c r="F1680" s="47"/>
      <c r="G1680" s="47"/>
      <c r="H1680" s="47"/>
      <c r="I1680" s="47"/>
      <c r="J1680" s="47"/>
      <c r="K1680" s="59"/>
      <c r="L1680" s="59"/>
      <c r="M1680" s="47"/>
    </row>
    <row r="1681" customHeight="1" spans="1:13">
      <c r="A1681" s="47"/>
      <c r="B1681" s="47"/>
      <c r="C1681" s="47"/>
      <c r="D1681" s="47"/>
      <c r="E1681" s="47"/>
      <c r="F1681" s="47"/>
      <c r="G1681" s="47"/>
      <c r="H1681" s="47"/>
      <c r="I1681" s="47"/>
      <c r="J1681" s="47"/>
      <c r="K1681" s="59"/>
      <c r="L1681" s="59"/>
      <c r="M1681" s="47"/>
    </row>
    <row r="1682" customHeight="1" spans="1:13">
      <c r="A1682" s="47"/>
      <c r="B1682" s="47"/>
      <c r="C1682" s="47"/>
      <c r="D1682" s="47"/>
      <c r="E1682" s="47"/>
      <c r="F1682" s="47"/>
      <c r="G1682" s="47"/>
      <c r="H1682" s="47"/>
      <c r="I1682" s="47"/>
      <c r="J1682" s="47"/>
      <c r="K1682" s="59"/>
      <c r="L1682" s="59"/>
      <c r="M1682" s="47"/>
    </row>
    <row r="1683" customHeight="1" spans="1:13">
      <c r="A1683" s="47"/>
      <c r="B1683" s="47"/>
      <c r="C1683" s="47"/>
      <c r="D1683" s="47"/>
      <c r="E1683" s="47"/>
      <c r="F1683" s="47"/>
      <c r="G1683" s="47"/>
      <c r="H1683" s="47"/>
      <c r="I1683" s="47"/>
      <c r="J1683" s="47"/>
      <c r="K1683" s="59"/>
      <c r="L1683" s="59"/>
      <c r="M1683" s="47"/>
    </row>
    <row r="1684" customHeight="1" spans="1:13">
      <c r="A1684" s="47"/>
      <c r="B1684" s="47"/>
      <c r="C1684" s="47"/>
      <c r="D1684" s="47"/>
      <c r="E1684" s="47"/>
      <c r="F1684" s="47"/>
      <c r="G1684" s="47"/>
      <c r="H1684" s="47"/>
      <c r="I1684" s="47"/>
      <c r="J1684" s="47"/>
      <c r="K1684" s="59"/>
      <c r="L1684" s="59"/>
      <c r="M1684" s="47"/>
    </row>
    <row r="1685" customHeight="1" spans="1:13">
      <c r="A1685" s="47"/>
      <c r="B1685" s="47"/>
      <c r="C1685" s="47"/>
      <c r="D1685" s="47"/>
      <c r="E1685" s="47"/>
      <c r="F1685" s="47"/>
      <c r="G1685" s="47"/>
      <c r="H1685" s="47"/>
      <c r="I1685" s="47"/>
      <c r="J1685" s="47"/>
      <c r="K1685" s="59"/>
      <c r="L1685" s="59"/>
      <c r="M1685" s="47"/>
    </row>
    <row r="1686" customHeight="1" spans="1:13">
      <c r="A1686" s="47"/>
      <c r="B1686" s="47"/>
      <c r="C1686" s="47"/>
      <c r="D1686" s="47"/>
      <c r="E1686" s="47"/>
      <c r="F1686" s="47"/>
      <c r="G1686" s="47"/>
      <c r="H1686" s="47"/>
      <c r="I1686" s="47"/>
      <c r="J1686" s="47"/>
      <c r="K1686" s="59"/>
      <c r="L1686" s="59"/>
      <c r="M1686" s="47"/>
    </row>
    <row r="1687" customHeight="1" spans="1:13">
      <c r="A1687" s="47"/>
      <c r="B1687" s="47"/>
      <c r="C1687" s="47"/>
      <c r="D1687" s="47"/>
      <c r="E1687" s="47"/>
      <c r="F1687" s="47"/>
      <c r="G1687" s="47"/>
      <c r="H1687" s="47"/>
      <c r="I1687" s="47"/>
      <c r="J1687" s="47"/>
      <c r="K1687" s="59"/>
      <c r="L1687" s="59"/>
      <c r="M1687" s="47"/>
    </row>
    <row r="1688" customHeight="1" spans="1:13">
      <c r="A1688" s="47"/>
      <c r="B1688" s="47"/>
      <c r="C1688" s="47"/>
      <c r="D1688" s="47"/>
      <c r="E1688" s="47"/>
      <c r="F1688" s="47"/>
      <c r="G1688" s="47"/>
      <c r="H1688" s="47"/>
      <c r="I1688" s="47"/>
      <c r="J1688" s="47"/>
      <c r="K1688" s="59"/>
      <c r="L1688" s="59"/>
      <c r="M1688" s="47"/>
    </row>
    <row r="1689" customHeight="1" spans="1:13">
      <c r="A1689" s="47"/>
      <c r="B1689" s="47"/>
      <c r="C1689" s="47"/>
      <c r="D1689" s="47"/>
      <c r="E1689" s="47"/>
      <c r="F1689" s="47"/>
      <c r="G1689" s="47"/>
      <c r="H1689" s="47"/>
      <c r="I1689" s="47"/>
      <c r="J1689" s="47"/>
      <c r="K1689" s="59"/>
      <c r="L1689" s="59"/>
      <c r="M1689" s="47"/>
    </row>
    <row r="1690" customHeight="1" spans="1:13">
      <c r="A1690" s="47"/>
      <c r="B1690" s="47"/>
      <c r="C1690" s="47"/>
      <c r="D1690" s="47"/>
      <c r="E1690" s="47"/>
      <c r="F1690" s="47"/>
      <c r="G1690" s="47"/>
      <c r="H1690" s="47"/>
      <c r="I1690" s="47"/>
      <c r="J1690" s="47"/>
      <c r="K1690" s="59"/>
      <c r="L1690" s="59"/>
      <c r="M1690" s="47"/>
    </row>
    <row r="1691" customHeight="1" spans="1:13">
      <c r="A1691" s="47"/>
      <c r="B1691" s="47"/>
      <c r="C1691" s="47"/>
      <c r="D1691" s="47"/>
      <c r="E1691" s="47"/>
      <c r="F1691" s="47"/>
      <c r="G1691" s="47"/>
      <c r="H1691" s="47"/>
      <c r="I1691" s="47"/>
      <c r="J1691" s="47"/>
      <c r="K1691" s="59"/>
      <c r="L1691" s="59"/>
      <c r="M1691" s="47"/>
    </row>
    <row r="1692" customHeight="1" spans="1:13">
      <c r="A1692" s="47"/>
      <c r="B1692" s="47"/>
      <c r="C1692" s="47"/>
      <c r="D1692" s="47"/>
      <c r="E1692" s="47"/>
      <c r="F1692" s="47"/>
      <c r="G1692" s="47"/>
      <c r="H1692" s="47"/>
      <c r="I1692" s="47"/>
      <c r="J1692" s="47"/>
      <c r="K1692" s="59"/>
      <c r="L1692" s="59"/>
      <c r="M1692" s="47"/>
    </row>
    <row r="1693" customHeight="1" spans="1:13">
      <c r="A1693" s="47"/>
      <c r="B1693" s="47"/>
      <c r="C1693" s="47"/>
      <c r="D1693" s="47"/>
      <c r="E1693" s="47"/>
      <c r="F1693" s="47"/>
      <c r="G1693" s="47"/>
      <c r="H1693" s="47"/>
      <c r="I1693" s="47"/>
      <c r="J1693" s="47"/>
      <c r="K1693" s="59"/>
      <c r="L1693" s="59"/>
      <c r="M1693" s="47"/>
    </row>
    <row r="1694" customHeight="1" spans="1:13">
      <c r="A1694" s="47"/>
      <c r="B1694" s="47"/>
      <c r="C1694" s="47"/>
      <c r="D1694" s="47"/>
      <c r="E1694" s="47"/>
      <c r="F1694" s="47"/>
      <c r="G1694" s="47"/>
      <c r="H1694" s="47"/>
      <c r="I1694" s="47"/>
      <c r="J1694" s="47"/>
      <c r="K1694" s="59"/>
      <c r="L1694" s="59"/>
      <c r="M1694" s="47"/>
    </row>
    <row r="1695" customHeight="1" spans="1:13">
      <c r="A1695" s="47"/>
      <c r="B1695" s="47"/>
      <c r="C1695" s="47"/>
      <c r="D1695" s="47"/>
      <c r="E1695" s="47"/>
      <c r="F1695" s="47"/>
      <c r="G1695" s="47"/>
      <c r="H1695" s="47"/>
      <c r="I1695" s="47"/>
      <c r="J1695" s="47"/>
      <c r="K1695" s="59"/>
      <c r="L1695" s="59"/>
      <c r="M1695" s="47"/>
    </row>
    <row r="1696" customHeight="1" spans="1:13">
      <c r="A1696" s="47"/>
      <c r="B1696" s="47"/>
      <c r="C1696" s="47"/>
      <c r="D1696" s="47"/>
      <c r="E1696" s="47"/>
      <c r="F1696" s="47"/>
      <c r="G1696" s="47"/>
      <c r="H1696" s="47"/>
      <c r="I1696" s="47"/>
      <c r="J1696" s="47"/>
      <c r="K1696" s="59"/>
      <c r="L1696" s="59"/>
      <c r="M1696" s="47"/>
    </row>
    <row r="1697" customHeight="1" spans="1:13">
      <c r="A1697" s="47"/>
      <c r="B1697" s="47"/>
      <c r="C1697" s="47"/>
      <c r="D1697" s="47"/>
      <c r="E1697" s="47"/>
      <c r="F1697" s="47"/>
      <c r="G1697" s="47"/>
      <c r="H1697" s="47"/>
      <c r="I1697" s="47"/>
      <c r="J1697" s="47"/>
      <c r="K1697" s="59"/>
      <c r="L1697" s="59"/>
      <c r="M1697" s="47"/>
    </row>
    <row r="1698" customHeight="1" spans="1:13">
      <c r="A1698" s="47"/>
      <c r="B1698" s="47"/>
      <c r="C1698" s="47"/>
      <c r="D1698" s="47"/>
      <c r="E1698" s="47"/>
      <c r="F1698" s="47"/>
      <c r="G1698" s="47"/>
      <c r="H1698" s="47"/>
      <c r="I1698" s="47"/>
      <c r="J1698" s="47"/>
      <c r="K1698" s="59"/>
      <c r="L1698" s="59"/>
      <c r="M1698" s="47"/>
    </row>
    <row r="1699" customHeight="1" spans="1:13">
      <c r="A1699" s="47"/>
      <c r="B1699" s="47"/>
      <c r="C1699" s="47"/>
      <c r="D1699" s="47"/>
      <c r="E1699" s="47"/>
      <c r="F1699" s="47"/>
      <c r="G1699" s="47"/>
      <c r="H1699" s="47"/>
      <c r="I1699" s="47"/>
      <c r="J1699" s="47"/>
      <c r="K1699" s="59"/>
      <c r="L1699" s="59"/>
      <c r="M1699" s="47"/>
    </row>
    <row r="1700" customHeight="1" spans="1:13">
      <c r="A1700" s="47"/>
      <c r="B1700" s="47"/>
      <c r="C1700" s="47"/>
      <c r="D1700" s="47"/>
      <c r="E1700" s="47"/>
      <c r="F1700" s="47"/>
      <c r="G1700" s="47"/>
      <c r="H1700" s="47"/>
      <c r="I1700" s="47"/>
      <c r="J1700" s="47"/>
      <c r="K1700" s="59"/>
      <c r="L1700" s="59"/>
      <c r="M1700" s="47"/>
    </row>
    <row r="1701" customHeight="1" spans="1:13">
      <c r="A1701" s="47"/>
      <c r="B1701" s="47"/>
      <c r="C1701" s="47"/>
      <c r="D1701" s="47"/>
      <c r="E1701" s="47"/>
      <c r="F1701" s="47"/>
      <c r="G1701" s="47"/>
      <c r="H1701" s="47"/>
      <c r="I1701" s="47"/>
      <c r="J1701" s="47"/>
      <c r="K1701" s="59"/>
      <c r="L1701" s="59"/>
      <c r="M1701" s="47"/>
    </row>
    <row r="1702" customHeight="1" spans="1:13">
      <c r="A1702" s="47"/>
      <c r="B1702" s="47"/>
      <c r="C1702" s="47"/>
      <c r="D1702" s="47"/>
      <c r="E1702" s="47"/>
      <c r="F1702" s="47"/>
      <c r="G1702" s="47"/>
      <c r="H1702" s="47"/>
      <c r="I1702" s="47"/>
      <c r="J1702" s="47"/>
      <c r="K1702" s="59"/>
      <c r="L1702" s="59"/>
      <c r="M1702" s="47"/>
    </row>
    <row r="1703" customHeight="1" spans="1:13">
      <c r="A1703" s="47"/>
      <c r="B1703" s="47"/>
      <c r="C1703" s="47"/>
      <c r="D1703" s="47"/>
      <c r="E1703" s="47"/>
      <c r="F1703" s="47"/>
      <c r="G1703" s="47"/>
      <c r="H1703" s="47"/>
      <c r="I1703" s="47"/>
      <c r="J1703" s="47"/>
      <c r="K1703" s="59"/>
      <c r="L1703" s="59"/>
      <c r="M1703" s="47"/>
    </row>
    <row r="1704" customHeight="1" spans="1:13">
      <c r="A1704" s="47"/>
      <c r="B1704" s="47"/>
      <c r="C1704" s="47"/>
      <c r="D1704" s="47"/>
      <c r="E1704" s="47"/>
      <c r="F1704" s="47"/>
      <c r="G1704" s="47"/>
      <c r="H1704" s="47"/>
      <c r="I1704" s="47"/>
      <c r="J1704" s="47"/>
      <c r="K1704" s="59"/>
      <c r="L1704" s="59"/>
      <c r="M1704" s="47"/>
    </row>
    <row r="1705" customHeight="1" spans="1:13">
      <c r="A1705" s="47"/>
      <c r="B1705" s="47"/>
      <c r="C1705" s="47"/>
      <c r="D1705" s="47"/>
      <c r="E1705" s="47"/>
      <c r="F1705" s="47"/>
      <c r="G1705" s="47"/>
      <c r="H1705" s="47"/>
      <c r="I1705" s="47"/>
      <c r="J1705" s="47"/>
      <c r="K1705" s="59"/>
      <c r="L1705" s="59"/>
      <c r="M1705" s="47"/>
    </row>
    <row r="1706" customHeight="1" spans="1:13">
      <c r="A1706" s="47"/>
      <c r="B1706" s="47"/>
      <c r="C1706" s="47"/>
      <c r="D1706" s="47"/>
      <c r="E1706" s="47"/>
      <c r="F1706" s="47"/>
      <c r="G1706" s="47"/>
      <c r="H1706" s="47"/>
      <c r="I1706" s="47"/>
      <c r="J1706" s="47"/>
      <c r="K1706" s="59"/>
      <c r="L1706" s="59"/>
      <c r="M1706" s="47"/>
    </row>
    <row r="1707" customHeight="1" spans="1:13">
      <c r="A1707" s="47"/>
      <c r="B1707" s="47"/>
      <c r="C1707" s="47"/>
      <c r="D1707" s="47"/>
      <c r="E1707" s="47"/>
      <c r="F1707" s="47"/>
      <c r="G1707" s="47"/>
      <c r="H1707" s="47"/>
      <c r="I1707" s="47"/>
      <c r="J1707" s="47"/>
      <c r="K1707" s="59"/>
      <c r="L1707" s="59"/>
      <c r="M1707" s="47"/>
    </row>
    <row r="1708" customHeight="1" spans="1:13">
      <c r="A1708" s="47"/>
      <c r="B1708" s="47"/>
      <c r="C1708" s="47"/>
      <c r="D1708" s="47"/>
      <c r="E1708" s="47"/>
      <c r="F1708" s="47"/>
      <c r="G1708" s="47"/>
      <c r="H1708" s="47"/>
      <c r="I1708" s="47"/>
      <c r="J1708" s="47"/>
      <c r="K1708" s="59"/>
      <c r="L1708" s="59"/>
      <c r="M1708" s="47"/>
    </row>
    <row r="1709" customHeight="1" spans="1:13">
      <c r="A1709" s="47"/>
      <c r="B1709" s="47"/>
      <c r="C1709" s="47"/>
      <c r="D1709" s="47"/>
      <c r="E1709" s="47"/>
      <c r="F1709" s="47"/>
      <c r="G1709" s="47"/>
      <c r="H1709" s="47"/>
      <c r="I1709" s="47"/>
      <c r="J1709" s="47"/>
      <c r="K1709" s="59"/>
      <c r="L1709" s="59"/>
      <c r="M1709" s="47"/>
    </row>
    <row r="1710" customHeight="1" spans="1:13">
      <c r="A1710" s="47"/>
      <c r="B1710" s="47"/>
      <c r="C1710" s="47"/>
      <c r="D1710" s="47"/>
      <c r="E1710" s="47"/>
      <c r="F1710" s="47"/>
      <c r="G1710" s="47"/>
      <c r="H1710" s="47"/>
      <c r="I1710" s="47"/>
      <c r="J1710" s="47"/>
      <c r="K1710" s="59"/>
      <c r="L1710" s="59"/>
      <c r="M1710" s="47"/>
    </row>
    <row r="1711" customHeight="1" spans="1:13">
      <c r="A1711" s="47"/>
      <c r="B1711" s="47"/>
      <c r="C1711" s="47"/>
      <c r="D1711" s="47"/>
      <c r="E1711" s="47"/>
      <c r="F1711" s="47"/>
      <c r="G1711" s="47"/>
      <c r="H1711" s="47"/>
      <c r="I1711" s="47"/>
      <c r="J1711" s="47"/>
      <c r="K1711" s="59"/>
      <c r="L1711" s="59"/>
      <c r="M1711" s="47"/>
    </row>
    <row r="1712" customHeight="1" spans="1:13">
      <c r="A1712" s="47"/>
      <c r="B1712" s="47"/>
      <c r="C1712" s="47"/>
      <c r="D1712" s="47"/>
      <c r="E1712" s="47"/>
      <c r="F1712" s="47"/>
      <c r="G1712" s="47"/>
      <c r="H1712" s="47"/>
      <c r="I1712" s="47"/>
      <c r="J1712" s="47"/>
      <c r="K1712" s="59"/>
      <c r="L1712" s="59"/>
      <c r="M1712" s="47"/>
    </row>
    <row r="1713" customHeight="1" spans="1:13">
      <c r="A1713" s="47"/>
      <c r="B1713" s="47"/>
      <c r="C1713" s="47"/>
      <c r="D1713" s="47"/>
      <c r="E1713" s="47"/>
      <c r="F1713" s="47"/>
      <c r="G1713" s="47"/>
      <c r="H1713" s="47"/>
      <c r="I1713" s="47"/>
      <c r="J1713" s="47"/>
      <c r="K1713" s="59"/>
      <c r="L1713" s="59"/>
      <c r="M1713" s="47"/>
    </row>
    <row r="1714" customHeight="1" spans="1:13">
      <c r="A1714" s="47"/>
      <c r="B1714" s="47"/>
      <c r="C1714" s="47"/>
      <c r="D1714" s="47"/>
      <c r="E1714" s="47"/>
      <c r="F1714" s="47"/>
      <c r="G1714" s="47"/>
      <c r="H1714" s="47"/>
      <c r="I1714" s="47"/>
      <c r="J1714" s="47"/>
      <c r="K1714" s="59"/>
      <c r="L1714" s="59"/>
      <c r="M1714" s="47"/>
    </row>
    <row r="1715" customHeight="1" spans="1:13">
      <c r="A1715" s="47"/>
      <c r="B1715" s="47"/>
      <c r="C1715" s="47"/>
      <c r="D1715" s="47"/>
      <c r="E1715" s="47"/>
      <c r="F1715" s="47"/>
      <c r="G1715" s="47"/>
      <c r="H1715" s="47"/>
      <c r="I1715" s="47"/>
      <c r="J1715" s="47"/>
      <c r="K1715" s="59"/>
      <c r="L1715" s="59"/>
      <c r="M1715" s="47"/>
    </row>
    <row r="1716" customHeight="1" spans="1:13">
      <c r="A1716" s="47"/>
      <c r="B1716" s="47"/>
      <c r="C1716" s="47"/>
      <c r="D1716" s="47"/>
      <c r="E1716" s="47"/>
      <c r="F1716" s="47"/>
      <c r="G1716" s="47"/>
      <c r="H1716" s="47"/>
      <c r="I1716" s="47"/>
      <c r="J1716" s="47"/>
      <c r="K1716" s="59"/>
      <c r="L1716" s="59"/>
      <c r="M1716" s="47"/>
    </row>
    <row r="1717" customHeight="1" spans="1:13">
      <c r="A1717" s="47"/>
      <c r="B1717" s="47"/>
      <c r="C1717" s="47"/>
      <c r="D1717" s="47"/>
      <c r="E1717" s="47"/>
      <c r="F1717" s="47"/>
      <c r="G1717" s="47"/>
      <c r="H1717" s="47"/>
      <c r="I1717" s="47"/>
      <c r="J1717" s="47"/>
      <c r="K1717" s="59"/>
      <c r="L1717" s="59"/>
      <c r="M1717" s="47"/>
    </row>
    <row r="1718" customHeight="1" spans="1:13">
      <c r="A1718" s="47"/>
      <c r="B1718" s="47"/>
      <c r="C1718" s="47"/>
      <c r="D1718" s="47"/>
      <c r="E1718" s="47"/>
      <c r="F1718" s="47"/>
      <c r="G1718" s="47"/>
      <c r="H1718" s="47"/>
      <c r="I1718" s="47"/>
      <c r="J1718" s="47"/>
      <c r="K1718" s="59"/>
      <c r="L1718" s="59"/>
      <c r="M1718" s="47"/>
    </row>
    <row r="1719" customHeight="1" spans="1:13">
      <c r="A1719" s="47"/>
      <c r="B1719" s="47"/>
      <c r="C1719" s="47"/>
      <c r="D1719" s="47"/>
      <c r="E1719" s="47"/>
      <c r="F1719" s="47"/>
      <c r="G1719" s="47"/>
      <c r="H1719" s="47"/>
      <c r="I1719" s="47"/>
      <c r="J1719" s="47"/>
      <c r="K1719" s="59"/>
      <c r="L1719" s="59"/>
      <c r="M1719" s="47"/>
    </row>
    <row r="1720" customHeight="1" spans="1:13">
      <c r="A1720" s="47"/>
      <c r="B1720" s="47"/>
      <c r="C1720" s="47"/>
      <c r="D1720" s="47"/>
      <c r="E1720" s="47"/>
      <c r="F1720" s="47"/>
      <c r="G1720" s="47"/>
      <c r="H1720" s="47"/>
      <c r="I1720" s="47"/>
      <c r="J1720" s="47"/>
      <c r="K1720" s="59"/>
      <c r="L1720" s="59"/>
      <c r="M1720" s="47"/>
    </row>
    <row r="1721" customHeight="1" spans="1:13">
      <c r="A1721" s="47"/>
      <c r="B1721" s="47"/>
      <c r="C1721" s="47"/>
      <c r="D1721" s="47"/>
      <c r="E1721" s="47"/>
      <c r="F1721" s="47"/>
      <c r="G1721" s="47"/>
      <c r="H1721" s="47"/>
      <c r="I1721" s="47"/>
      <c r="J1721" s="47"/>
      <c r="K1721" s="59"/>
      <c r="L1721" s="59"/>
      <c r="M1721" s="47"/>
    </row>
    <row r="1722" customHeight="1" spans="1:13">
      <c r="A1722" s="47"/>
      <c r="B1722" s="47"/>
      <c r="C1722" s="47"/>
      <c r="D1722" s="47"/>
      <c r="E1722" s="47"/>
      <c r="F1722" s="47"/>
      <c r="G1722" s="47"/>
      <c r="H1722" s="47"/>
      <c r="I1722" s="47"/>
      <c r="J1722" s="47"/>
      <c r="K1722" s="59"/>
      <c r="L1722" s="59"/>
      <c r="M1722" s="47"/>
    </row>
    <row r="1723" customHeight="1" spans="1:13">
      <c r="A1723" s="47"/>
      <c r="B1723" s="47"/>
      <c r="C1723" s="47"/>
      <c r="D1723" s="47"/>
      <c r="E1723" s="47"/>
      <c r="F1723" s="47"/>
      <c r="G1723" s="47"/>
      <c r="H1723" s="47"/>
      <c r="I1723" s="47"/>
      <c r="J1723" s="47"/>
      <c r="K1723" s="59"/>
      <c r="L1723" s="59"/>
      <c r="M1723" s="47"/>
    </row>
    <row r="1724" customHeight="1" spans="1:13">
      <c r="A1724" s="47"/>
      <c r="B1724" s="47"/>
      <c r="C1724" s="47"/>
      <c r="D1724" s="47"/>
      <c r="E1724" s="47"/>
      <c r="F1724" s="47"/>
      <c r="G1724" s="47"/>
      <c r="H1724" s="47"/>
      <c r="I1724" s="47"/>
      <c r="J1724" s="47"/>
      <c r="K1724" s="59"/>
      <c r="L1724" s="59"/>
      <c r="M1724" s="47"/>
    </row>
    <row r="1725" customHeight="1" spans="1:13">
      <c r="A1725" s="47"/>
      <c r="B1725" s="47"/>
      <c r="C1725" s="47"/>
      <c r="D1725" s="47"/>
      <c r="E1725" s="47"/>
      <c r="F1725" s="47"/>
      <c r="G1725" s="47"/>
      <c r="H1725" s="47"/>
      <c r="I1725" s="47"/>
      <c r="J1725" s="47"/>
      <c r="K1725" s="59"/>
      <c r="L1725" s="59"/>
      <c r="M1725" s="47"/>
    </row>
    <row r="1726" customHeight="1" spans="1:13">
      <c r="A1726" s="47"/>
      <c r="B1726" s="47"/>
      <c r="C1726" s="47"/>
      <c r="D1726" s="47"/>
      <c r="E1726" s="47"/>
      <c r="F1726" s="47"/>
      <c r="G1726" s="47"/>
      <c r="H1726" s="47"/>
      <c r="I1726" s="47"/>
      <c r="J1726" s="47"/>
      <c r="K1726" s="59"/>
      <c r="L1726" s="59"/>
      <c r="M1726" s="47"/>
    </row>
    <row r="1727" customHeight="1" spans="1:13">
      <c r="A1727" s="47"/>
      <c r="B1727" s="47"/>
      <c r="C1727" s="47"/>
      <c r="D1727" s="47"/>
      <c r="E1727" s="47"/>
      <c r="F1727" s="47"/>
      <c r="G1727" s="47"/>
      <c r="H1727" s="47"/>
      <c r="I1727" s="47"/>
      <c r="J1727" s="47"/>
      <c r="K1727" s="59"/>
      <c r="L1727" s="59"/>
      <c r="M1727" s="47"/>
    </row>
    <row r="1728" customHeight="1" spans="1:13">
      <c r="A1728" s="47"/>
      <c r="B1728" s="47"/>
      <c r="C1728" s="47"/>
      <c r="D1728" s="47"/>
      <c r="E1728" s="47"/>
      <c r="F1728" s="47"/>
      <c r="G1728" s="47"/>
      <c r="H1728" s="47"/>
      <c r="I1728" s="47"/>
      <c r="J1728" s="47"/>
      <c r="K1728" s="59"/>
      <c r="L1728" s="59"/>
      <c r="M1728" s="47"/>
    </row>
    <row r="1729" customHeight="1" spans="1:13">
      <c r="A1729" s="47"/>
      <c r="B1729" s="47"/>
      <c r="C1729" s="47"/>
      <c r="D1729" s="47"/>
      <c r="E1729" s="47"/>
      <c r="F1729" s="47"/>
      <c r="G1729" s="47"/>
      <c r="H1729" s="47"/>
      <c r="I1729" s="47"/>
      <c r="J1729" s="47"/>
      <c r="K1729" s="59"/>
      <c r="L1729" s="59"/>
      <c r="M1729" s="47"/>
    </row>
    <row r="1730" customHeight="1" spans="1:13">
      <c r="A1730" s="47"/>
      <c r="B1730" s="47"/>
      <c r="C1730" s="47"/>
      <c r="D1730" s="47"/>
      <c r="E1730" s="47"/>
      <c r="F1730" s="47"/>
      <c r="G1730" s="47"/>
      <c r="H1730" s="47"/>
      <c r="I1730" s="47"/>
      <c r="J1730" s="47"/>
      <c r="K1730" s="59"/>
      <c r="L1730" s="59"/>
      <c r="M1730" s="47"/>
    </row>
    <row r="1731" customHeight="1" spans="1:13">
      <c r="A1731" s="47"/>
      <c r="B1731" s="47"/>
      <c r="C1731" s="47"/>
      <c r="D1731" s="47"/>
      <c r="E1731" s="47"/>
      <c r="F1731" s="47"/>
      <c r="G1731" s="47"/>
      <c r="H1731" s="47"/>
      <c r="I1731" s="47"/>
      <c r="J1731" s="47"/>
      <c r="K1731" s="59"/>
      <c r="L1731" s="59"/>
      <c r="M1731" s="47"/>
    </row>
    <row r="1732" customHeight="1" spans="1:13">
      <c r="A1732" s="47"/>
      <c r="B1732" s="47"/>
      <c r="C1732" s="47"/>
      <c r="D1732" s="47"/>
      <c r="E1732" s="47"/>
      <c r="F1732" s="47"/>
      <c r="G1732" s="47"/>
      <c r="H1732" s="47"/>
      <c r="I1732" s="47"/>
      <c r="J1732" s="47"/>
      <c r="K1732" s="59"/>
      <c r="L1732" s="59"/>
      <c r="M1732" s="47"/>
    </row>
    <row r="1733" customHeight="1" spans="1:13">
      <c r="A1733" s="47"/>
      <c r="B1733" s="47"/>
      <c r="C1733" s="47"/>
      <c r="D1733" s="47"/>
      <c r="E1733" s="47"/>
      <c r="F1733" s="47"/>
      <c r="G1733" s="47"/>
      <c r="H1733" s="47"/>
      <c r="I1733" s="47"/>
      <c r="J1733" s="47"/>
      <c r="K1733" s="59"/>
      <c r="L1733" s="59"/>
      <c r="M1733" s="47"/>
    </row>
    <row r="1734" customHeight="1" spans="1:13">
      <c r="A1734" s="47"/>
      <c r="B1734" s="47"/>
      <c r="C1734" s="47"/>
      <c r="D1734" s="47"/>
      <c r="E1734" s="47"/>
      <c r="F1734" s="47"/>
      <c r="G1734" s="47"/>
      <c r="H1734" s="47"/>
      <c r="I1734" s="47"/>
      <c r="J1734" s="47"/>
      <c r="K1734" s="59"/>
      <c r="L1734" s="59"/>
      <c r="M1734" s="47"/>
    </row>
    <row r="1735" customHeight="1" spans="1:13">
      <c r="A1735" s="47"/>
      <c r="B1735" s="47"/>
      <c r="C1735" s="47"/>
      <c r="D1735" s="47"/>
      <c r="E1735" s="47"/>
      <c r="F1735" s="47"/>
      <c r="G1735" s="47"/>
      <c r="H1735" s="47"/>
      <c r="I1735" s="47"/>
      <c r="J1735" s="47"/>
      <c r="K1735" s="59"/>
      <c r="L1735" s="59"/>
      <c r="M1735" s="47"/>
    </row>
    <row r="1736" customHeight="1" spans="1:13">
      <c r="A1736" s="47"/>
      <c r="B1736" s="47"/>
      <c r="C1736" s="47"/>
      <c r="D1736" s="47"/>
      <c r="E1736" s="47"/>
      <c r="F1736" s="47"/>
      <c r="G1736" s="47"/>
      <c r="H1736" s="47"/>
      <c r="I1736" s="47"/>
      <c r="J1736" s="47"/>
      <c r="K1736" s="59"/>
      <c r="L1736" s="59"/>
      <c r="M1736" s="47"/>
    </row>
    <row r="1737" customHeight="1" spans="1:13">
      <c r="A1737" s="47"/>
      <c r="B1737" s="47"/>
      <c r="C1737" s="47"/>
      <c r="D1737" s="47"/>
      <c r="E1737" s="47"/>
      <c r="F1737" s="47"/>
      <c r="G1737" s="47"/>
      <c r="H1737" s="47"/>
      <c r="I1737" s="47"/>
      <c r="J1737" s="47"/>
      <c r="K1737" s="59"/>
      <c r="L1737" s="59"/>
      <c r="M1737" s="47"/>
    </row>
    <row r="1738" customHeight="1" spans="1:13">
      <c r="A1738" s="47"/>
      <c r="B1738" s="47"/>
      <c r="C1738" s="47"/>
      <c r="D1738" s="47"/>
      <c r="E1738" s="47"/>
      <c r="F1738" s="47"/>
      <c r="G1738" s="47"/>
      <c r="H1738" s="47"/>
      <c r="I1738" s="47"/>
      <c r="J1738" s="47"/>
      <c r="K1738" s="59"/>
      <c r="L1738" s="59"/>
      <c r="M1738" s="47"/>
    </row>
    <row r="1739" customHeight="1" spans="1:13">
      <c r="A1739" s="47"/>
      <c r="B1739" s="47"/>
      <c r="C1739" s="47"/>
      <c r="D1739" s="47"/>
      <c r="E1739" s="47"/>
      <c r="F1739" s="47"/>
      <c r="G1739" s="47"/>
      <c r="H1739" s="47"/>
      <c r="I1739" s="47"/>
      <c r="J1739" s="47"/>
      <c r="K1739" s="59"/>
      <c r="L1739" s="59"/>
      <c r="M1739" s="47"/>
    </row>
    <row r="1740" customHeight="1" spans="1:13">
      <c r="A1740" s="47"/>
      <c r="B1740" s="47"/>
      <c r="C1740" s="47"/>
      <c r="D1740" s="47"/>
      <c r="E1740" s="47"/>
      <c r="F1740" s="47"/>
      <c r="G1740" s="47"/>
      <c r="H1740" s="47"/>
      <c r="I1740" s="47"/>
      <c r="J1740" s="47"/>
      <c r="K1740" s="59"/>
      <c r="L1740" s="59"/>
      <c r="M1740" s="47"/>
    </row>
    <row r="1741" customHeight="1" spans="1:13">
      <c r="A1741" s="47"/>
      <c r="B1741" s="47"/>
      <c r="C1741" s="47"/>
      <c r="D1741" s="47"/>
      <c r="E1741" s="47"/>
      <c r="F1741" s="47"/>
      <c r="G1741" s="47"/>
      <c r="H1741" s="47"/>
      <c r="I1741" s="47"/>
      <c r="J1741" s="47"/>
      <c r="K1741" s="59"/>
      <c r="L1741" s="59"/>
      <c r="M1741" s="47"/>
    </row>
    <row r="1742" customHeight="1" spans="1:13">
      <c r="A1742" s="47"/>
      <c r="B1742" s="47"/>
      <c r="C1742" s="47"/>
      <c r="D1742" s="47"/>
      <c r="E1742" s="47"/>
      <c r="F1742" s="47"/>
      <c r="G1742" s="47"/>
      <c r="H1742" s="47"/>
      <c r="I1742" s="47"/>
      <c r="J1742" s="47"/>
      <c r="K1742" s="59"/>
      <c r="L1742" s="59"/>
      <c r="M1742" s="47"/>
    </row>
    <row r="1743" customHeight="1" spans="1:13">
      <c r="A1743" s="47"/>
      <c r="B1743" s="47"/>
      <c r="C1743" s="47"/>
      <c r="D1743" s="47"/>
      <c r="E1743" s="47"/>
      <c r="F1743" s="47"/>
      <c r="G1743" s="47"/>
      <c r="H1743" s="47"/>
      <c r="I1743" s="47"/>
      <c r="J1743" s="47"/>
      <c r="K1743" s="59"/>
      <c r="L1743" s="59"/>
      <c r="M1743" s="47"/>
    </row>
    <row r="1744" customHeight="1" spans="1:13">
      <c r="A1744" s="47"/>
      <c r="B1744" s="47"/>
      <c r="C1744" s="47"/>
      <c r="D1744" s="47"/>
      <c r="E1744" s="47"/>
      <c r="F1744" s="47"/>
      <c r="G1744" s="47"/>
      <c r="H1744" s="47"/>
      <c r="I1744" s="47"/>
      <c r="J1744" s="47"/>
      <c r="K1744" s="59"/>
      <c r="L1744" s="59"/>
      <c r="M1744" s="47"/>
    </row>
    <row r="1745" customHeight="1" spans="1:13">
      <c r="A1745" s="47"/>
      <c r="B1745" s="47"/>
      <c r="C1745" s="47"/>
      <c r="D1745" s="47"/>
      <c r="E1745" s="47"/>
      <c r="F1745" s="47"/>
      <c r="G1745" s="47"/>
      <c r="H1745" s="47"/>
      <c r="I1745" s="47"/>
      <c r="J1745" s="47"/>
      <c r="K1745" s="59"/>
      <c r="L1745" s="59"/>
      <c r="M1745" s="47"/>
    </row>
    <row r="1746" customHeight="1" spans="1:13">
      <c r="A1746" s="47"/>
      <c r="B1746" s="47"/>
      <c r="C1746" s="47"/>
      <c r="D1746" s="47"/>
      <c r="E1746" s="47"/>
      <c r="F1746" s="47"/>
      <c r="G1746" s="47"/>
      <c r="H1746" s="47"/>
      <c r="I1746" s="47"/>
      <c r="J1746" s="47"/>
      <c r="K1746" s="59"/>
      <c r="L1746" s="59"/>
      <c r="M1746" s="47"/>
    </row>
    <row r="1747" customHeight="1" spans="1:13">
      <c r="A1747" s="47"/>
      <c r="B1747" s="47"/>
      <c r="C1747" s="47"/>
      <c r="D1747" s="47"/>
      <c r="E1747" s="47"/>
      <c r="F1747" s="47"/>
      <c r="G1747" s="47"/>
      <c r="H1747" s="47"/>
      <c r="I1747" s="47"/>
      <c r="J1747" s="47"/>
      <c r="K1747" s="59"/>
      <c r="L1747" s="59"/>
      <c r="M1747" s="47"/>
    </row>
    <row r="1748" customHeight="1" spans="1:13">
      <c r="A1748" s="47"/>
      <c r="B1748" s="47"/>
      <c r="C1748" s="47"/>
      <c r="D1748" s="47"/>
      <c r="E1748" s="47"/>
      <c r="F1748" s="47"/>
      <c r="G1748" s="47"/>
      <c r="H1748" s="47"/>
      <c r="I1748" s="47"/>
      <c r="J1748" s="47"/>
      <c r="K1748" s="59"/>
      <c r="L1748" s="59"/>
      <c r="M1748" s="47"/>
    </row>
    <row r="1749" customHeight="1" spans="1:13">
      <c r="A1749" s="47"/>
      <c r="B1749" s="47"/>
      <c r="C1749" s="47"/>
      <c r="D1749" s="47"/>
      <c r="E1749" s="47"/>
      <c r="F1749" s="47"/>
      <c r="G1749" s="47"/>
      <c r="H1749" s="47"/>
      <c r="I1749" s="47"/>
      <c r="J1749" s="47"/>
      <c r="K1749" s="59"/>
      <c r="L1749" s="59"/>
      <c r="M1749" s="47"/>
    </row>
    <row r="1750" customHeight="1" spans="1:13">
      <c r="A1750" s="47"/>
      <c r="B1750" s="47"/>
      <c r="C1750" s="47"/>
      <c r="D1750" s="47"/>
      <c r="E1750" s="47"/>
      <c r="F1750" s="47"/>
      <c r="G1750" s="47"/>
      <c r="H1750" s="47"/>
      <c r="I1750" s="47"/>
      <c r="J1750" s="47"/>
      <c r="K1750" s="59"/>
      <c r="L1750" s="59"/>
      <c r="M1750" s="47"/>
    </row>
    <row r="1751" customHeight="1" spans="1:13">
      <c r="A1751" s="47"/>
      <c r="B1751" s="47"/>
      <c r="C1751" s="47"/>
      <c r="D1751" s="47"/>
      <c r="E1751" s="47"/>
      <c r="F1751" s="47"/>
      <c r="G1751" s="47"/>
      <c r="H1751" s="47"/>
      <c r="I1751" s="47"/>
      <c r="J1751" s="47"/>
      <c r="K1751" s="59"/>
      <c r="L1751" s="59"/>
      <c r="M1751" s="47"/>
    </row>
    <row r="1752" customHeight="1" spans="1:13">
      <c r="A1752" s="47"/>
      <c r="B1752" s="47"/>
      <c r="C1752" s="47"/>
      <c r="D1752" s="47"/>
      <c r="E1752" s="47"/>
      <c r="F1752" s="47"/>
      <c r="G1752" s="47"/>
      <c r="H1752" s="47"/>
      <c r="I1752" s="47"/>
      <c r="J1752" s="47"/>
      <c r="K1752" s="59"/>
      <c r="L1752" s="59"/>
      <c r="M1752" s="47"/>
    </row>
    <row r="1753" customHeight="1" spans="1:13">
      <c r="A1753" s="47"/>
      <c r="B1753" s="47"/>
      <c r="C1753" s="47"/>
      <c r="D1753" s="47"/>
      <c r="E1753" s="47"/>
      <c r="F1753" s="47"/>
      <c r="G1753" s="47"/>
      <c r="H1753" s="47"/>
      <c r="I1753" s="47"/>
      <c r="J1753" s="47"/>
      <c r="K1753" s="59"/>
      <c r="L1753" s="59"/>
      <c r="M1753" s="47"/>
    </row>
    <row r="1754" customHeight="1" spans="1:13">
      <c r="A1754" s="47"/>
      <c r="B1754" s="47"/>
      <c r="C1754" s="47"/>
      <c r="D1754" s="47"/>
      <c r="E1754" s="47"/>
      <c r="F1754" s="47"/>
      <c r="G1754" s="47"/>
      <c r="H1754" s="47"/>
      <c r="I1754" s="47"/>
      <c r="J1754" s="47"/>
      <c r="K1754" s="59"/>
      <c r="L1754" s="59"/>
      <c r="M1754" s="47"/>
    </row>
    <row r="1755" customHeight="1" spans="1:13">
      <c r="A1755" s="47"/>
      <c r="B1755" s="47"/>
      <c r="C1755" s="47"/>
      <c r="D1755" s="47"/>
      <c r="E1755" s="47"/>
      <c r="F1755" s="47"/>
      <c r="G1755" s="47"/>
      <c r="H1755" s="47"/>
      <c r="I1755" s="47"/>
      <c r="J1755" s="47"/>
      <c r="K1755" s="59"/>
      <c r="L1755" s="59"/>
      <c r="M1755" s="47"/>
    </row>
    <row r="1756" customHeight="1" spans="1:13">
      <c r="A1756" s="47"/>
      <c r="B1756" s="47"/>
      <c r="C1756" s="47"/>
      <c r="D1756" s="47"/>
      <c r="E1756" s="47"/>
      <c r="F1756" s="47"/>
      <c r="G1756" s="47"/>
      <c r="H1756" s="47"/>
      <c r="I1756" s="47"/>
      <c r="J1756" s="47"/>
      <c r="K1756" s="59"/>
      <c r="L1756" s="59"/>
      <c r="M1756" s="47"/>
    </row>
    <row r="1757" customHeight="1" spans="1:13">
      <c r="A1757" s="47"/>
      <c r="B1757" s="47"/>
      <c r="C1757" s="47"/>
      <c r="D1757" s="47"/>
      <c r="E1757" s="47"/>
      <c r="F1757" s="47"/>
      <c r="G1757" s="47"/>
      <c r="H1757" s="47"/>
      <c r="I1757" s="47"/>
      <c r="J1757" s="47"/>
      <c r="K1757" s="59"/>
      <c r="L1757" s="59"/>
      <c r="M1757" s="47"/>
    </row>
    <row r="1758" customHeight="1" spans="1:13">
      <c r="A1758" s="47"/>
      <c r="B1758" s="47"/>
      <c r="C1758" s="47"/>
      <c r="D1758" s="47"/>
      <c r="E1758" s="47"/>
      <c r="F1758" s="47"/>
      <c r="G1758" s="47"/>
      <c r="H1758" s="47"/>
      <c r="I1758" s="47"/>
      <c r="J1758" s="47"/>
      <c r="K1758" s="59"/>
      <c r="L1758" s="59"/>
      <c r="M1758" s="47"/>
    </row>
    <row r="1759" customHeight="1" spans="1:13">
      <c r="A1759" s="47"/>
      <c r="B1759" s="47"/>
      <c r="C1759" s="47"/>
      <c r="D1759" s="47"/>
      <c r="E1759" s="47"/>
      <c r="F1759" s="47"/>
      <c r="G1759" s="47"/>
      <c r="H1759" s="47"/>
      <c r="I1759" s="47"/>
      <c r="J1759" s="47"/>
      <c r="K1759" s="59"/>
      <c r="L1759" s="59"/>
      <c r="M1759" s="47"/>
    </row>
    <row r="1760" customHeight="1" spans="1:13">
      <c r="A1760" s="47"/>
      <c r="B1760" s="47"/>
      <c r="C1760" s="47"/>
      <c r="D1760" s="47"/>
      <c r="E1760" s="47"/>
      <c r="F1760" s="47"/>
      <c r="G1760" s="47"/>
      <c r="H1760" s="47"/>
      <c r="I1760" s="47"/>
      <c r="J1760" s="47"/>
      <c r="K1760" s="59"/>
      <c r="L1760" s="59"/>
      <c r="M1760" s="47"/>
    </row>
    <row r="1761" customHeight="1" spans="1:13">
      <c r="A1761" s="47"/>
      <c r="B1761" s="47"/>
      <c r="C1761" s="47"/>
      <c r="D1761" s="47"/>
      <c r="E1761" s="47"/>
      <c r="F1761" s="47"/>
      <c r="G1761" s="47"/>
      <c r="H1761" s="47"/>
      <c r="I1761" s="47"/>
      <c r="J1761" s="47"/>
      <c r="K1761" s="59"/>
      <c r="L1761" s="59"/>
      <c r="M1761" s="47"/>
    </row>
    <row r="1762" customHeight="1" spans="1:13">
      <c r="A1762" s="47"/>
      <c r="B1762" s="47"/>
      <c r="C1762" s="47"/>
      <c r="D1762" s="47"/>
      <c r="E1762" s="47"/>
      <c r="F1762" s="47"/>
      <c r="G1762" s="47"/>
      <c r="H1762" s="47"/>
      <c r="I1762" s="47"/>
      <c r="J1762" s="47"/>
      <c r="K1762" s="59"/>
      <c r="L1762" s="59"/>
      <c r="M1762" s="47"/>
    </row>
    <row r="1763" customHeight="1" spans="1:13">
      <c r="A1763" s="47"/>
      <c r="B1763" s="47"/>
      <c r="C1763" s="47"/>
      <c r="D1763" s="47"/>
      <c r="E1763" s="47"/>
      <c r="F1763" s="47"/>
      <c r="G1763" s="47"/>
      <c r="H1763" s="47"/>
      <c r="I1763" s="47"/>
      <c r="J1763" s="47"/>
      <c r="K1763" s="59"/>
      <c r="L1763" s="59"/>
      <c r="M1763" s="47"/>
    </row>
    <row r="1764" customHeight="1" spans="1:13">
      <c r="A1764" s="47"/>
      <c r="B1764" s="47"/>
      <c r="C1764" s="47"/>
      <c r="D1764" s="47"/>
      <c r="E1764" s="47"/>
      <c r="F1764" s="47"/>
      <c r="G1764" s="47"/>
      <c r="H1764" s="47"/>
      <c r="I1764" s="47"/>
      <c r="J1764" s="47"/>
      <c r="K1764" s="59"/>
      <c r="L1764" s="59"/>
      <c r="M1764" s="47"/>
    </row>
    <row r="1765" customHeight="1" spans="1:13">
      <c r="A1765" s="47"/>
      <c r="B1765" s="47"/>
      <c r="C1765" s="47"/>
      <c r="D1765" s="47"/>
      <c r="E1765" s="47"/>
      <c r="F1765" s="47"/>
      <c r="G1765" s="47"/>
      <c r="H1765" s="47"/>
      <c r="I1765" s="47"/>
      <c r="J1765" s="47"/>
      <c r="K1765" s="59"/>
      <c r="L1765" s="59"/>
      <c r="M1765" s="47"/>
    </row>
    <row r="1766" customHeight="1" spans="1:13">
      <c r="A1766" s="47"/>
      <c r="B1766" s="47"/>
      <c r="C1766" s="47"/>
      <c r="D1766" s="47"/>
      <c r="E1766" s="47"/>
      <c r="F1766" s="47"/>
      <c r="G1766" s="47"/>
      <c r="H1766" s="47"/>
      <c r="I1766" s="47"/>
      <c r="J1766" s="47"/>
      <c r="K1766" s="59"/>
      <c r="L1766" s="59"/>
      <c r="M1766" s="47"/>
    </row>
    <row r="1767" customHeight="1" spans="1:13">
      <c r="A1767" s="47"/>
      <c r="B1767" s="47"/>
      <c r="C1767" s="47"/>
      <c r="D1767" s="47"/>
      <c r="E1767" s="47"/>
      <c r="F1767" s="47"/>
      <c r="G1767" s="47"/>
      <c r="H1767" s="47"/>
      <c r="I1767" s="47"/>
      <c r="J1767" s="47"/>
      <c r="K1767" s="59"/>
      <c r="L1767" s="59"/>
      <c r="M1767" s="47"/>
    </row>
    <row r="1768" customHeight="1" spans="1:13">
      <c r="A1768" s="47"/>
      <c r="B1768" s="47"/>
      <c r="C1768" s="47"/>
      <c r="D1768" s="47"/>
      <c r="E1768" s="47"/>
      <c r="F1768" s="47"/>
      <c r="G1768" s="47"/>
      <c r="H1768" s="47"/>
      <c r="I1768" s="47"/>
      <c r="J1768" s="47"/>
      <c r="K1768" s="59"/>
      <c r="L1768" s="59"/>
      <c r="M1768" s="47"/>
    </row>
    <row r="1769" customHeight="1" spans="1:13">
      <c r="A1769" s="47"/>
      <c r="B1769" s="47"/>
      <c r="C1769" s="47"/>
      <c r="D1769" s="47"/>
      <c r="E1769" s="47"/>
      <c r="F1769" s="47"/>
      <c r="G1769" s="47"/>
      <c r="H1769" s="47"/>
      <c r="I1769" s="47"/>
      <c r="J1769" s="47"/>
      <c r="K1769" s="59"/>
      <c r="L1769" s="59"/>
      <c r="M1769" s="47"/>
    </row>
    <row r="1770" customHeight="1" spans="1:13">
      <c r="A1770" s="47"/>
      <c r="B1770" s="47"/>
      <c r="C1770" s="47"/>
      <c r="D1770" s="47"/>
      <c r="E1770" s="47"/>
      <c r="F1770" s="47"/>
      <c r="G1770" s="47"/>
      <c r="H1770" s="47"/>
      <c r="I1770" s="47"/>
      <c r="J1770" s="47"/>
      <c r="K1770" s="59"/>
      <c r="L1770" s="59"/>
      <c r="M1770" s="47"/>
    </row>
    <row r="1771" customHeight="1" spans="1:13">
      <c r="A1771" s="47"/>
      <c r="B1771" s="47"/>
      <c r="C1771" s="47"/>
      <c r="D1771" s="47"/>
      <c r="E1771" s="47"/>
      <c r="F1771" s="47"/>
      <c r="G1771" s="47"/>
      <c r="H1771" s="47"/>
      <c r="I1771" s="47"/>
      <c r="J1771" s="47"/>
      <c r="K1771" s="59"/>
      <c r="L1771" s="59"/>
      <c r="M1771" s="47"/>
    </row>
    <row r="1772" customHeight="1" spans="1:13">
      <c r="A1772" s="47"/>
      <c r="B1772" s="47"/>
      <c r="C1772" s="47"/>
      <c r="D1772" s="47"/>
      <c r="E1772" s="47"/>
      <c r="F1772" s="47"/>
      <c r="G1772" s="47"/>
      <c r="H1772" s="47"/>
      <c r="I1772" s="47"/>
      <c r="J1772" s="47"/>
      <c r="K1772" s="59"/>
      <c r="L1772" s="59"/>
      <c r="M1772" s="47"/>
    </row>
    <row r="1773" customHeight="1" spans="1:13">
      <c r="A1773" s="47"/>
      <c r="B1773" s="47"/>
      <c r="C1773" s="47"/>
      <c r="D1773" s="47"/>
      <c r="E1773" s="47"/>
      <c r="F1773" s="47"/>
      <c r="G1773" s="47"/>
      <c r="H1773" s="47"/>
      <c r="I1773" s="47"/>
      <c r="J1773" s="47"/>
      <c r="K1773" s="59"/>
      <c r="L1773" s="59"/>
      <c r="M1773" s="47"/>
    </row>
    <row r="1774" customHeight="1" spans="1:13">
      <c r="A1774" s="47"/>
      <c r="B1774" s="47"/>
      <c r="C1774" s="47"/>
      <c r="D1774" s="47"/>
      <c r="E1774" s="47"/>
      <c r="F1774" s="47"/>
      <c r="G1774" s="47"/>
      <c r="H1774" s="47"/>
      <c r="I1774" s="47"/>
      <c r="J1774" s="47"/>
      <c r="K1774" s="59"/>
      <c r="L1774" s="59"/>
      <c r="M1774" s="47"/>
    </row>
    <row r="1775" customHeight="1" spans="1:13">
      <c r="A1775" s="47"/>
      <c r="B1775" s="47"/>
      <c r="C1775" s="47"/>
      <c r="D1775" s="47"/>
      <c r="E1775" s="47"/>
      <c r="F1775" s="47"/>
      <c r="G1775" s="47"/>
      <c r="H1775" s="47"/>
      <c r="I1775" s="47"/>
      <c r="J1775" s="47"/>
      <c r="K1775" s="59"/>
      <c r="L1775" s="59"/>
      <c r="M1775" s="47"/>
    </row>
    <row r="1776" customHeight="1" spans="1:13">
      <c r="A1776" s="47"/>
      <c r="B1776" s="47"/>
      <c r="C1776" s="47"/>
      <c r="D1776" s="47"/>
      <c r="E1776" s="47"/>
      <c r="F1776" s="47"/>
      <c r="G1776" s="47"/>
      <c r="H1776" s="47"/>
      <c r="I1776" s="47"/>
      <c r="J1776" s="47"/>
      <c r="K1776" s="59"/>
      <c r="L1776" s="59"/>
      <c r="M1776" s="47"/>
    </row>
    <row r="1777" customHeight="1" spans="1:13">
      <c r="A1777" s="47"/>
      <c r="B1777" s="47"/>
      <c r="C1777" s="47"/>
      <c r="D1777" s="47"/>
      <c r="E1777" s="47"/>
      <c r="F1777" s="47"/>
      <c r="G1777" s="47"/>
      <c r="H1777" s="47"/>
      <c r="I1777" s="47"/>
      <c r="J1777" s="47"/>
      <c r="K1777" s="59"/>
      <c r="L1777" s="59"/>
      <c r="M1777" s="47"/>
    </row>
    <row r="1778" customHeight="1" spans="1:13">
      <c r="A1778" s="47"/>
      <c r="B1778" s="47"/>
      <c r="C1778" s="47"/>
      <c r="D1778" s="47"/>
      <c r="E1778" s="47"/>
      <c r="F1778" s="47"/>
      <c r="G1778" s="47"/>
      <c r="H1778" s="47"/>
      <c r="I1778" s="47"/>
      <c r="J1778" s="47"/>
      <c r="K1778" s="59"/>
      <c r="L1778" s="59"/>
      <c r="M1778" s="47"/>
    </row>
    <row r="1779" customHeight="1" spans="1:13">
      <c r="A1779" s="47"/>
      <c r="B1779" s="47"/>
      <c r="C1779" s="47"/>
      <c r="D1779" s="47"/>
      <c r="E1779" s="47"/>
      <c r="F1779" s="47"/>
      <c r="G1779" s="47"/>
      <c r="H1779" s="47"/>
      <c r="I1779" s="47"/>
      <c r="J1779" s="47"/>
      <c r="K1779" s="59"/>
      <c r="L1779" s="59"/>
      <c r="M1779" s="47"/>
    </row>
    <row r="1780" customHeight="1" spans="1:13">
      <c r="A1780" s="47"/>
      <c r="B1780" s="47"/>
      <c r="C1780" s="47"/>
      <c r="D1780" s="47"/>
      <c r="E1780" s="47"/>
      <c r="F1780" s="47"/>
      <c r="G1780" s="47"/>
      <c r="H1780" s="47"/>
      <c r="I1780" s="47"/>
      <c r="J1780" s="47"/>
      <c r="K1780" s="59"/>
      <c r="L1780" s="59"/>
      <c r="M1780" s="47"/>
    </row>
    <row r="1781" customHeight="1" spans="1:13">
      <c r="A1781" s="47"/>
      <c r="B1781" s="47"/>
      <c r="C1781" s="47"/>
      <c r="D1781" s="47"/>
      <c r="E1781" s="47"/>
      <c r="F1781" s="47"/>
      <c r="G1781" s="47"/>
      <c r="H1781" s="47"/>
      <c r="I1781" s="47"/>
      <c r="J1781" s="47"/>
      <c r="K1781" s="59"/>
      <c r="L1781" s="59"/>
      <c r="M1781" s="47"/>
    </row>
    <row r="1782" customHeight="1" spans="1:13">
      <c r="A1782" s="47"/>
      <c r="B1782" s="47"/>
      <c r="C1782" s="47"/>
      <c r="D1782" s="47"/>
      <c r="E1782" s="47"/>
      <c r="F1782" s="47"/>
      <c r="G1782" s="47"/>
      <c r="H1782" s="47"/>
      <c r="I1782" s="47"/>
      <c r="J1782" s="47"/>
      <c r="K1782" s="59"/>
      <c r="L1782" s="59"/>
      <c r="M1782" s="47"/>
    </row>
    <row r="1783" customHeight="1" spans="1:13">
      <c r="A1783" s="47"/>
      <c r="B1783" s="47"/>
      <c r="C1783" s="47"/>
      <c r="D1783" s="47"/>
      <c r="E1783" s="47"/>
      <c r="F1783" s="47"/>
      <c r="G1783" s="47"/>
      <c r="H1783" s="47"/>
      <c r="I1783" s="47"/>
      <c r="J1783" s="47"/>
      <c r="K1783" s="59"/>
      <c r="L1783" s="59"/>
      <c r="M1783" s="47"/>
    </row>
    <row r="1784" customHeight="1" spans="1:13">
      <c r="A1784" s="47"/>
      <c r="B1784" s="47"/>
      <c r="C1784" s="47"/>
      <c r="D1784" s="47"/>
      <c r="E1784" s="47"/>
      <c r="F1784" s="47"/>
      <c r="G1784" s="47"/>
      <c r="H1784" s="47"/>
      <c r="I1784" s="47"/>
      <c r="J1784" s="47"/>
      <c r="K1784" s="59"/>
      <c r="L1784" s="59"/>
      <c r="M1784" s="47"/>
    </row>
    <row r="1785" customHeight="1" spans="1:13">
      <c r="A1785" s="47"/>
      <c r="B1785" s="47"/>
      <c r="C1785" s="47"/>
      <c r="D1785" s="47"/>
      <c r="E1785" s="47"/>
      <c r="F1785" s="47"/>
      <c r="G1785" s="47"/>
      <c r="H1785" s="47"/>
      <c r="I1785" s="47"/>
      <c r="J1785" s="47"/>
      <c r="K1785" s="59"/>
      <c r="L1785" s="59"/>
      <c r="M1785" s="47"/>
    </row>
    <row r="1786" customHeight="1" spans="1:13">
      <c r="A1786" s="47"/>
      <c r="B1786" s="47"/>
      <c r="C1786" s="47"/>
      <c r="D1786" s="47"/>
      <c r="E1786" s="47"/>
      <c r="F1786" s="47"/>
      <c r="G1786" s="47"/>
      <c r="H1786" s="47"/>
      <c r="I1786" s="47"/>
      <c r="J1786" s="47"/>
      <c r="K1786" s="59"/>
      <c r="L1786" s="59"/>
      <c r="M1786" s="47"/>
    </row>
    <row r="1787" customHeight="1" spans="1:13">
      <c r="A1787" s="47"/>
      <c r="B1787" s="47"/>
      <c r="C1787" s="47"/>
      <c r="D1787" s="47"/>
      <c r="E1787" s="47"/>
      <c r="F1787" s="47"/>
      <c r="G1787" s="47"/>
      <c r="H1787" s="47"/>
      <c r="I1787" s="47"/>
      <c r="J1787" s="47"/>
      <c r="K1787" s="59"/>
      <c r="L1787" s="59"/>
      <c r="M1787" s="47"/>
    </row>
    <row r="1788" customHeight="1" spans="1:13">
      <c r="A1788" s="47"/>
      <c r="B1788" s="47"/>
      <c r="C1788" s="47"/>
      <c r="D1788" s="47"/>
      <c r="E1788" s="47"/>
      <c r="F1788" s="47"/>
      <c r="G1788" s="47"/>
      <c r="H1788" s="47"/>
      <c r="I1788" s="47"/>
      <c r="J1788" s="47"/>
      <c r="K1788" s="59"/>
      <c r="L1788" s="59"/>
      <c r="M1788" s="47"/>
    </row>
    <row r="1789" customHeight="1" spans="1:13">
      <c r="A1789" s="47"/>
      <c r="B1789" s="47"/>
      <c r="C1789" s="47"/>
      <c r="D1789" s="47"/>
      <c r="E1789" s="47"/>
      <c r="F1789" s="47"/>
      <c r="G1789" s="47"/>
      <c r="H1789" s="47"/>
      <c r="I1789" s="47"/>
      <c r="J1789" s="47"/>
      <c r="K1789" s="59"/>
      <c r="L1789" s="59"/>
      <c r="M1789" s="47"/>
    </row>
    <row r="1790" customHeight="1" spans="1:13">
      <c r="A1790" s="47"/>
      <c r="B1790" s="47"/>
      <c r="C1790" s="47"/>
      <c r="D1790" s="47"/>
      <c r="E1790" s="47"/>
      <c r="F1790" s="47"/>
      <c r="G1790" s="47"/>
      <c r="H1790" s="47"/>
      <c r="I1790" s="47"/>
      <c r="J1790" s="47"/>
      <c r="K1790" s="59"/>
      <c r="L1790" s="59"/>
      <c r="M1790" s="47"/>
    </row>
    <row r="1791" customHeight="1" spans="1:13">
      <c r="A1791" s="47"/>
      <c r="B1791" s="47"/>
      <c r="C1791" s="47"/>
      <c r="D1791" s="47"/>
      <c r="E1791" s="47"/>
      <c r="F1791" s="47"/>
      <c r="G1791" s="47"/>
      <c r="H1791" s="47"/>
      <c r="I1791" s="47"/>
      <c r="J1791" s="47"/>
      <c r="K1791" s="59"/>
      <c r="L1791" s="59"/>
      <c r="M1791" s="47"/>
    </row>
    <row r="1792" customHeight="1" spans="1:13">
      <c r="A1792" s="47"/>
      <c r="B1792" s="47"/>
      <c r="C1792" s="47"/>
      <c r="D1792" s="47"/>
      <c r="E1792" s="47"/>
      <c r="F1792" s="47"/>
      <c r="G1792" s="47"/>
      <c r="H1792" s="47"/>
      <c r="I1792" s="47"/>
      <c r="J1792" s="47"/>
      <c r="K1792" s="59"/>
      <c r="L1792" s="59"/>
      <c r="M1792" s="47"/>
    </row>
    <row r="1793" customHeight="1" spans="1:13">
      <c r="A1793" s="47"/>
      <c r="B1793" s="47"/>
      <c r="C1793" s="47"/>
      <c r="D1793" s="47"/>
      <c r="E1793" s="47"/>
      <c r="F1793" s="47"/>
      <c r="G1793" s="47"/>
      <c r="H1793" s="47"/>
      <c r="I1793" s="47"/>
      <c r="J1793" s="47"/>
      <c r="K1793" s="59"/>
      <c r="L1793" s="59"/>
      <c r="M1793" s="47"/>
    </row>
    <row r="1794" customHeight="1" spans="1:13">
      <c r="A1794" s="47"/>
      <c r="B1794" s="47"/>
      <c r="C1794" s="47"/>
      <c r="D1794" s="47"/>
      <c r="E1794" s="47"/>
      <c r="F1794" s="47"/>
      <c r="G1794" s="47"/>
      <c r="H1794" s="47"/>
      <c r="I1794" s="47"/>
      <c r="J1794" s="47"/>
      <c r="K1794" s="59"/>
      <c r="L1794" s="59"/>
      <c r="M1794" s="47"/>
    </row>
    <row r="1795" customHeight="1" spans="1:13">
      <c r="A1795" s="47"/>
      <c r="B1795" s="47"/>
      <c r="C1795" s="47"/>
      <c r="D1795" s="47"/>
      <c r="E1795" s="47"/>
      <c r="F1795" s="47"/>
      <c r="G1795" s="47"/>
      <c r="H1795" s="47"/>
      <c r="I1795" s="47"/>
      <c r="J1795" s="47"/>
      <c r="K1795" s="59"/>
      <c r="L1795" s="59"/>
      <c r="M1795" s="47"/>
    </row>
    <row r="1796" customHeight="1" spans="1:13">
      <c r="A1796" s="47"/>
      <c r="B1796" s="47"/>
      <c r="C1796" s="47"/>
      <c r="D1796" s="47"/>
      <c r="E1796" s="47"/>
      <c r="F1796" s="47"/>
      <c r="G1796" s="47"/>
      <c r="H1796" s="47"/>
      <c r="I1796" s="47"/>
      <c r="J1796" s="47"/>
      <c r="K1796" s="59"/>
      <c r="L1796" s="59"/>
      <c r="M1796" s="47"/>
    </row>
    <row r="1797" customHeight="1" spans="1:13">
      <c r="A1797" s="47"/>
      <c r="B1797" s="47"/>
      <c r="C1797" s="47"/>
      <c r="D1797" s="47"/>
      <c r="E1797" s="47"/>
      <c r="F1797" s="47"/>
      <c r="G1797" s="47"/>
      <c r="H1797" s="47"/>
      <c r="I1797" s="47"/>
      <c r="J1797" s="47"/>
      <c r="K1797" s="59"/>
      <c r="L1797" s="59"/>
      <c r="M1797" s="47"/>
    </row>
    <row r="1798" customHeight="1" spans="1:13">
      <c r="A1798" s="47"/>
      <c r="B1798" s="47"/>
      <c r="C1798" s="47"/>
      <c r="D1798" s="47"/>
      <c r="E1798" s="47"/>
      <c r="F1798" s="47"/>
      <c r="G1798" s="47"/>
      <c r="H1798" s="47"/>
      <c r="I1798" s="47"/>
      <c r="J1798" s="47"/>
      <c r="K1798" s="59"/>
      <c r="L1798" s="59"/>
      <c r="M1798" s="47"/>
    </row>
    <row r="1799" customHeight="1" spans="1:13">
      <c r="A1799" s="47"/>
      <c r="B1799" s="47"/>
      <c r="C1799" s="47"/>
      <c r="D1799" s="47"/>
      <c r="E1799" s="47"/>
      <c r="F1799" s="47"/>
      <c r="G1799" s="47"/>
      <c r="H1799" s="47"/>
      <c r="I1799" s="47"/>
      <c r="J1799" s="47"/>
      <c r="K1799" s="59"/>
      <c r="L1799" s="59"/>
      <c r="M1799" s="47"/>
    </row>
    <row r="1800" customHeight="1" spans="1:13">
      <c r="A1800" s="47"/>
      <c r="B1800" s="47"/>
      <c r="C1800" s="47"/>
      <c r="D1800" s="47"/>
      <c r="E1800" s="47"/>
      <c r="F1800" s="47"/>
      <c r="G1800" s="47"/>
      <c r="H1800" s="47"/>
      <c r="I1800" s="47"/>
      <c r="J1800" s="47"/>
      <c r="K1800" s="59"/>
      <c r="L1800" s="59"/>
      <c r="M1800" s="47"/>
    </row>
    <row r="1801" customHeight="1" spans="1:13">
      <c r="A1801" s="47"/>
      <c r="B1801" s="47"/>
      <c r="C1801" s="47"/>
      <c r="D1801" s="47"/>
      <c r="E1801" s="47"/>
      <c r="F1801" s="47"/>
      <c r="G1801" s="47"/>
      <c r="H1801" s="47"/>
      <c r="I1801" s="47"/>
      <c r="J1801" s="47"/>
      <c r="K1801" s="59"/>
      <c r="L1801" s="59"/>
      <c r="M1801" s="47"/>
    </row>
    <row r="1802" customHeight="1" spans="1:13">
      <c r="A1802" s="47"/>
      <c r="B1802" s="47"/>
      <c r="C1802" s="47"/>
      <c r="D1802" s="47"/>
      <c r="E1802" s="47"/>
      <c r="F1802" s="47"/>
      <c r="G1802" s="47"/>
      <c r="H1802" s="47"/>
      <c r="I1802" s="47"/>
      <c r="J1802" s="47"/>
      <c r="K1802" s="59"/>
      <c r="L1802" s="59"/>
      <c r="M1802" s="47"/>
    </row>
    <row r="1803" customHeight="1" spans="1:13">
      <c r="A1803" s="47"/>
      <c r="B1803" s="47"/>
      <c r="C1803" s="47"/>
      <c r="D1803" s="47"/>
      <c r="E1803" s="47"/>
      <c r="F1803" s="47"/>
      <c r="G1803" s="47"/>
      <c r="H1803" s="47"/>
      <c r="I1803" s="47"/>
      <c r="J1803" s="47"/>
      <c r="K1803" s="59"/>
      <c r="L1803" s="59"/>
      <c r="M1803" s="47"/>
    </row>
    <row r="1804" customHeight="1" spans="1:13">
      <c r="A1804" s="47"/>
      <c r="B1804" s="47"/>
      <c r="C1804" s="47"/>
      <c r="D1804" s="47"/>
      <c r="E1804" s="47"/>
      <c r="F1804" s="47"/>
      <c r="G1804" s="47"/>
      <c r="H1804" s="47"/>
      <c r="I1804" s="47"/>
      <c r="J1804" s="47"/>
      <c r="K1804" s="59"/>
      <c r="L1804" s="59"/>
      <c r="M1804" s="47"/>
    </row>
    <row r="1805" customHeight="1" spans="1:13">
      <c r="A1805" s="47"/>
      <c r="B1805" s="47"/>
      <c r="C1805" s="47"/>
      <c r="D1805" s="47"/>
      <c r="E1805" s="47"/>
      <c r="F1805" s="47"/>
      <c r="G1805" s="47"/>
      <c r="H1805" s="47"/>
      <c r="I1805" s="47"/>
      <c r="J1805" s="47"/>
      <c r="K1805" s="59"/>
      <c r="L1805" s="59"/>
      <c r="M1805" s="47"/>
    </row>
    <row r="1806" customHeight="1" spans="1:13">
      <c r="A1806" s="47"/>
      <c r="B1806" s="47"/>
      <c r="C1806" s="47"/>
      <c r="D1806" s="47"/>
      <c r="E1806" s="47"/>
      <c r="F1806" s="47"/>
      <c r="G1806" s="47"/>
      <c r="H1806" s="47"/>
      <c r="I1806" s="47"/>
      <c r="J1806" s="47"/>
      <c r="K1806" s="59"/>
      <c r="L1806" s="59"/>
      <c r="M1806" s="47"/>
    </row>
    <row r="1807" customHeight="1" spans="1:13">
      <c r="A1807" s="47"/>
      <c r="B1807" s="47"/>
      <c r="C1807" s="47"/>
      <c r="D1807" s="47"/>
      <c r="E1807" s="47"/>
      <c r="F1807" s="47"/>
      <c r="G1807" s="47"/>
      <c r="H1807" s="47"/>
      <c r="I1807" s="47"/>
      <c r="J1807" s="47"/>
      <c r="K1807" s="59"/>
      <c r="L1807" s="59"/>
      <c r="M1807" s="47"/>
    </row>
    <row r="1808" customHeight="1" spans="1:13">
      <c r="A1808" s="47"/>
      <c r="B1808" s="47"/>
      <c r="C1808" s="47"/>
      <c r="D1808" s="47"/>
      <c r="E1808" s="47"/>
      <c r="F1808" s="47"/>
      <c r="G1808" s="47"/>
      <c r="H1808" s="47"/>
      <c r="I1808" s="47"/>
      <c r="J1808" s="47"/>
      <c r="K1808" s="59"/>
      <c r="L1808" s="59"/>
      <c r="M1808" s="47"/>
    </row>
    <row r="1809" customHeight="1" spans="1:13">
      <c r="A1809" s="47"/>
      <c r="B1809" s="47"/>
      <c r="C1809" s="47"/>
      <c r="D1809" s="47"/>
      <c r="E1809" s="47"/>
      <c r="F1809" s="47"/>
      <c r="G1809" s="47"/>
      <c r="H1809" s="47"/>
      <c r="I1809" s="47"/>
      <c r="J1809" s="47"/>
      <c r="K1809" s="59"/>
      <c r="L1809" s="59"/>
      <c r="M1809" s="47"/>
    </row>
    <row r="1810" customHeight="1" spans="1:13">
      <c r="A1810" s="47"/>
      <c r="B1810" s="47"/>
      <c r="C1810" s="47"/>
      <c r="D1810" s="47"/>
      <c r="E1810" s="47"/>
      <c r="F1810" s="47"/>
      <c r="G1810" s="47"/>
      <c r="H1810" s="47"/>
      <c r="I1810" s="47"/>
      <c r="J1810" s="47"/>
      <c r="K1810" s="59"/>
      <c r="L1810" s="59"/>
      <c r="M1810" s="47"/>
    </row>
    <row r="1811" customHeight="1" spans="1:13">
      <c r="A1811" s="47"/>
      <c r="B1811" s="47"/>
      <c r="C1811" s="47"/>
      <c r="D1811" s="47"/>
      <c r="E1811" s="47"/>
      <c r="F1811" s="47"/>
      <c r="G1811" s="47"/>
      <c r="H1811" s="47"/>
      <c r="I1811" s="47"/>
      <c r="J1811" s="47"/>
      <c r="K1811" s="59"/>
      <c r="L1811" s="59"/>
      <c r="M1811" s="47"/>
    </row>
    <row r="1812" customHeight="1" spans="1:13">
      <c r="A1812" s="47"/>
      <c r="B1812" s="47"/>
      <c r="C1812" s="47"/>
      <c r="D1812" s="47"/>
      <c r="E1812" s="47"/>
      <c r="F1812" s="47"/>
      <c r="G1812" s="47"/>
      <c r="H1812" s="47"/>
      <c r="I1812" s="47"/>
      <c r="J1812" s="47"/>
      <c r="K1812" s="59"/>
      <c r="L1812" s="59"/>
      <c r="M1812" s="47"/>
    </row>
    <row r="1813" customHeight="1" spans="1:13">
      <c r="A1813" s="47"/>
      <c r="B1813" s="47"/>
      <c r="C1813" s="47"/>
      <c r="D1813" s="47"/>
      <c r="E1813" s="47"/>
      <c r="F1813" s="47"/>
      <c r="G1813" s="47"/>
      <c r="H1813" s="47"/>
      <c r="I1813" s="47"/>
      <c r="J1813" s="47"/>
      <c r="K1813" s="59"/>
      <c r="L1813" s="59"/>
      <c r="M1813" s="47"/>
    </row>
    <row r="1814" customHeight="1" spans="1:13">
      <c r="A1814" s="47"/>
      <c r="B1814" s="47"/>
      <c r="C1814" s="47"/>
      <c r="D1814" s="47"/>
      <c r="E1814" s="47"/>
      <c r="F1814" s="47"/>
      <c r="G1814" s="47"/>
      <c r="H1814" s="47"/>
      <c r="I1814" s="47"/>
      <c r="J1814" s="47"/>
      <c r="K1814" s="59"/>
      <c r="L1814" s="59"/>
      <c r="M1814" s="47"/>
    </row>
    <row r="1815" customHeight="1" spans="1:13">
      <c r="A1815" s="47"/>
      <c r="B1815" s="47"/>
      <c r="C1815" s="47"/>
      <c r="D1815" s="47"/>
      <c r="E1815" s="47"/>
      <c r="F1815" s="47"/>
      <c r="G1815" s="47"/>
      <c r="H1815" s="47"/>
      <c r="I1815" s="47"/>
      <c r="J1815" s="47"/>
      <c r="K1815" s="59"/>
      <c r="L1815" s="59"/>
      <c r="M1815" s="47"/>
    </row>
    <row r="1816" customHeight="1" spans="1:13">
      <c r="A1816" s="47"/>
      <c r="B1816" s="47"/>
      <c r="C1816" s="47"/>
      <c r="D1816" s="47"/>
      <c r="E1816" s="47"/>
      <c r="F1816" s="47"/>
      <c r="G1816" s="47"/>
      <c r="H1816" s="47"/>
      <c r="I1816" s="47"/>
      <c r="J1816" s="47"/>
      <c r="K1816" s="59"/>
      <c r="L1816" s="59"/>
      <c r="M1816" s="47"/>
    </row>
    <row r="1817" customHeight="1" spans="1:13">
      <c r="A1817" s="47"/>
      <c r="B1817" s="47"/>
      <c r="C1817" s="47"/>
      <c r="D1817" s="47"/>
      <c r="E1817" s="47"/>
      <c r="F1817" s="47"/>
      <c r="G1817" s="47"/>
      <c r="H1817" s="47"/>
      <c r="I1817" s="47"/>
      <c r="J1817" s="47"/>
      <c r="K1817" s="59"/>
      <c r="L1817" s="59"/>
      <c r="M1817" s="47"/>
    </row>
    <row r="1818" customHeight="1" spans="1:13">
      <c r="A1818" s="47"/>
      <c r="B1818" s="47"/>
      <c r="C1818" s="47"/>
      <c r="D1818" s="47"/>
      <c r="E1818" s="47"/>
      <c r="F1818" s="47"/>
      <c r="G1818" s="47"/>
      <c r="H1818" s="47"/>
      <c r="I1818" s="47"/>
      <c r="J1818" s="47"/>
      <c r="K1818" s="59"/>
      <c r="L1818" s="59"/>
      <c r="M1818" s="47"/>
    </row>
    <row r="1819" customHeight="1" spans="1:13">
      <c r="A1819" s="47"/>
      <c r="B1819" s="47"/>
      <c r="C1819" s="47"/>
      <c r="D1819" s="47"/>
      <c r="E1819" s="47"/>
      <c r="F1819" s="47"/>
      <c r="G1819" s="47"/>
      <c r="H1819" s="47"/>
      <c r="I1819" s="47"/>
      <c r="J1819" s="47"/>
      <c r="K1819" s="59"/>
      <c r="L1819" s="59"/>
      <c r="M1819" s="47"/>
    </row>
    <row r="1820" customHeight="1" spans="1:13">
      <c r="A1820" s="47"/>
      <c r="B1820" s="47"/>
      <c r="C1820" s="47"/>
      <c r="D1820" s="47"/>
      <c r="E1820" s="47"/>
      <c r="F1820" s="47"/>
      <c r="G1820" s="47"/>
      <c r="H1820" s="47"/>
      <c r="I1820" s="47"/>
      <c r="J1820" s="47"/>
      <c r="K1820" s="59"/>
      <c r="L1820" s="59"/>
      <c r="M1820" s="47"/>
    </row>
    <row r="1821" customHeight="1" spans="1:13">
      <c r="A1821" s="47"/>
      <c r="B1821" s="47"/>
      <c r="C1821" s="47"/>
      <c r="D1821" s="47"/>
      <c r="E1821" s="47"/>
      <c r="F1821" s="47"/>
      <c r="G1821" s="47"/>
      <c r="H1821" s="47"/>
      <c r="I1821" s="47"/>
      <c r="J1821" s="47"/>
      <c r="K1821" s="59"/>
      <c r="L1821" s="59"/>
      <c r="M1821" s="47"/>
    </row>
    <row r="1822" customHeight="1" spans="1:13">
      <c r="A1822" s="47"/>
      <c r="B1822" s="47"/>
      <c r="C1822" s="47"/>
      <c r="D1822" s="47"/>
      <c r="E1822" s="47"/>
      <c r="F1822" s="47"/>
      <c r="G1822" s="47"/>
      <c r="H1822" s="47"/>
      <c r="I1822" s="47"/>
      <c r="J1822" s="47"/>
      <c r="K1822" s="59"/>
      <c r="L1822" s="59"/>
      <c r="M1822" s="47"/>
    </row>
    <row r="1823" customHeight="1" spans="1:13">
      <c r="A1823" s="47"/>
      <c r="B1823" s="47"/>
      <c r="C1823" s="47"/>
      <c r="D1823" s="47"/>
      <c r="E1823" s="47"/>
      <c r="F1823" s="47"/>
      <c r="G1823" s="47"/>
      <c r="H1823" s="47"/>
      <c r="I1823" s="47"/>
      <c r="J1823" s="47"/>
      <c r="K1823" s="59"/>
      <c r="L1823" s="59"/>
      <c r="M1823" s="47"/>
    </row>
    <row r="1824" customHeight="1" spans="1:13">
      <c r="A1824" s="47"/>
      <c r="B1824" s="47"/>
      <c r="C1824" s="47"/>
      <c r="D1824" s="47"/>
      <c r="E1824" s="47"/>
      <c r="F1824" s="47"/>
      <c r="G1824" s="47"/>
      <c r="H1824" s="47"/>
      <c r="I1824" s="47"/>
      <c r="J1824" s="47"/>
      <c r="K1824" s="59"/>
      <c r="L1824" s="59"/>
      <c r="M1824" s="47"/>
    </row>
    <row r="1825" customHeight="1" spans="1:13">
      <c r="A1825" s="47"/>
      <c r="B1825" s="47"/>
      <c r="C1825" s="47"/>
      <c r="D1825" s="47"/>
      <c r="E1825" s="47"/>
      <c r="F1825" s="47"/>
      <c r="G1825" s="47"/>
      <c r="H1825" s="47"/>
      <c r="I1825" s="47"/>
      <c r="J1825" s="47"/>
      <c r="K1825" s="59"/>
      <c r="L1825" s="59"/>
      <c r="M1825" s="47"/>
    </row>
    <row r="1826" customHeight="1" spans="1:13">
      <c r="A1826" s="47"/>
      <c r="B1826" s="47"/>
      <c r="C1826" s="47"/>
      <c r="D1826" s="47"/>
      <c r="E1826" s="47"/>
      <c r="F1826" s="47"/>
      <c r="G1826" s="47"/>
      <c r="H1826" s="47"/>
      <c r="I1826" s="47"/>
      <c r="J1826" s="47"/>
      <c r="K1826" s="59"/>
      <c r="L1826" s="59"/>
      <c r="M1826" s="47"/>
    </row>
    <row r="1827" customHeight="1" spans="1:13">
      <c r="A1827" s="47"/>
      <c r="B1827" s="47"/>
      <c r="C1827" s="47"/>
      <c r="D1827" s="47"/>
      <c r="E1827" s="47"/>
      <c r="F1827" s="47"/>
      <c r="G1827" s="47"/>
      <c r="H1827" s="47"/>
      <c r="I1827" s="47"/>
      <c r="J1827" s="47"/>
      <c r="K1827" s="59"/>
      <c r="L1827" s="59"/>
      <c r="M1827" s="47"/>
    </row>
    <row r="1828" customHeight="1" spans="1:13">
      <c r="A1828" s="47"/>
      <c r="B1828" s="47"/>
      <c r="C1828" s="47"/>
      <c r="D1828" s="47"/>
      <c r="E1828" s="47"/>
      <c r="F1828" s="47"/>
      <c r="G1828" s="47"/>
      <c r="H1828" s="47"/>
      <c r="I1828" s="47"/>
      <c r="J1828" s="47"/>
      <c r="K1828" s="59"/>
      <c r="L1828" s="59"/>
      <c r="M1828" s="47"/>
    </row>
    <row r="1829" customHeight="1" spans="1:13">
      <c r="A1829" s="47"/>
      <c r="B1829" s="47"/>
      <c r="C1829" s="47"/>
      <c r="D1829" s="47"/>
      <c r="E1829" s="47"/>
      <c r="F1829" s="47"/>
      <c r="G1829" s="47"/>
      <c r="H1829" s="47"/>
      <c r="I1829" s="47"/>
      <c r="J1829" s="47"/>
      <c r="K1829" s="59"/>
      <c r="L1829" s="59"/>
      <c r="M1829" s="47"/>
    </row>
    <row r="1830" customHeight="1" spans="1:13">
      <c r="A1830" s="47"/>
      <c r="B1830" s="47"/>
      <c r="C1830" s="47"/>
      <c r="D1830" s="47"/>
      <c r="E1830" s="47"/>
      <c r="F1830" s="47"/>
      <c r="G1830" s="47"/>
      <c r="H1830" s="47"/>
      <c r="I1830" s="47"/>
      <c r="J1830" s="47"/>
      <c r="K1830" s="59"/>
      <c r="L1830" s="59"/>
      <c r="M1830" s="47"/>
    </row>
    <row r="1831" customHeight="1" spans="1:13">
      <c r="A1831" s="47"/>
      <c r="B1831" s="47"/>
      <c r="C1831" s="47"/>
      <c r="D1831" s="47"/>
      <c r="E1831" s="47"/>
      <c r="F1831" s="47"/>
      <c r="G1831" s="47"/>
      <c r="H1831" s="47"/>
      <c r="I1831" s="47"/>
      <c r="J1831" s="47"/>
      <c r="K1831" s="59"/>
      <c r="L1831" s="59"/>
      <c r="M1831" s="47"/>
    </row>
    <row r="1832" customHeight="1" spans="1:13">
      <c r="A1832" s="47"/>
      <c r="B1832" s="47"/>
      <c r="C1832" s="47"/>
      <c r="D1832" s="47"/>
      <c r="E1832" s="47"/>
      <c r="F1832" s="47"/>
      <c r="G1832" s="47"/>
      <c r="H1832" s="47"/>
      <c r="I1832" s="47"/>
      <c r="J1832" s="47"/>
      <c r="K1832" s="59"/>
      <c r="L1832" s="59"/>
      <c r="M1832" s="47"/>
    </row>
    <row r="1833" customHeight="1" spans="1:13">
      <c r="A1833" s="47"/>
      <c r="B1833" s="47"/>
      <c r="C1833" s="47"/>
      <c r="D1833" s="47"/>
      <c r="E1833" s="47"/>
      <c r="F1833" s="47"/>
      <c r="G1833" s="47"/>
      <c r="H1833" s="47"/>
      <c r="I1833" s="47"/>
      <c r="J1833" s="47"/>
      <c r="K1833" s="59"/>
      <c r="L1833" s="59"/>
      <c r="M1833" s="47"/>
    </row>
    <row r="1834" customHeight="1" spans="1:13">
      <c r="A1834" s="47"/>
      <c r="B1834" s="47"/>
      <c r="C1834" s="47"/>
      <c r="D1834" s="47"/>
      <c r="E1834" s="47"/>
      <c r="F1834" s="47"/>
      <c r="G1834" s="47"/>
      <c r="H1834" s="47"/>
      <c r="I1834" s="47"/>
      <c r="J1834" s="47"/>
      <c r="K1834" s="59"/>
      <c r="L1834" s="59"/>
      <c r="M1834" s="47"/>
    </row>
    <row r="1835" customHeight="1" spans="1:13">
      <c r="A1835" s="47"/>
      <c r="B1835" s="47"/>
      <c r="C1835" s="47"/>
      <c r="D1835" s="47"/>
      <c r="E1835" s="47"/>
      <c r="F1835" s="47"/>
      <c r="G1835" s="47"/>
      <c r="H1835" s="47"/>
      <c r="I1835" s="47"/>
      <c r="J1835" s="47"/>
      <c r="K1835" s="59"/>
      <c r="L1835" s="59"/>
      <c r="M1835" s="47"/>
    </row>
    <row r="1836" customHeight="1" spans="1:13">
      <c r="A1836" s="47"/>
      <c r="B1836" s="47"/>
      <c r="C1836" s="47"/>
      <c r="D1836" s="47"/>
      <c r="E1836" s="47"/>
      <c r="F1836" s="47"/>
      <c r="G1836" s="47"/>
      <c r="H1836" s="47"/>
      <c r="I1836" s="47"/>
      <c r="J1836" s="47"/>
      <c r="K1836" s="59"/>
      <c r="L1836" s="59"/>
      <c r="M1836" s="47"/>
    </row>
    <row r="1837" customHeight="1" spans="1:13">
      <c r="A1837" s="47"/>
      <c r="B1837" s="47"/>
      <c r="C1837" s="47"/>
      <c r="D1837" s="47"/>
      <c r="E1837" s="47"/>
      <c r="F1837" s="47"/>
      <c r="G1837" s="47"/>
      <c r="H1837" s="47"/>
      <c r="I1837" s="47"/>
      <c r="J1837" s="47"/>
      <c r="K1837" s="59"/>
      <c r="L1837" s="59"/>
      <c r="M1837" s="47"/>
    </row>
    <row r="1838" customHeight="1" spans="1:13">
      <c r="A1838" s="47"/>
      <c r="B1838" s="47"/>
      <c r="C1838" s="47"/>
      <c r="D1838" s="47"/>
      <c r="E1838" s="47"/>
      <c r="F1838" s="47"/>
      <c r="G1838" s="47"/>
      <c r="H1838" s="47"/>
      <c r="I1838" s="47"/>
      <c r="J1838" s="47"/>
      <c r="K1838" s="59"/>
      <c r="L1838" s="59"/>
      <c r="M1838" s="47"/>
    </row>
    <row r="1839" customHeight="1" spans="1:13">
      <c r="A1839" s="47"/>
      <c r="B1839" s="47"/>
      <c r="C1839" s="47"/>
      <c r="D1839" s="47"/>
      <c r="E1839" s="47"/>
      <c r="F1839" s="47"/>
      <c r="G1839" s="47"/>
      <c r="H1839" s="47"/>
      <c r="I1839" s="47"/>
      <c r="J1839" s="47"/>
      <c r="K1839" s="59"/>
      <c r="L1839" s="59"/>
      <c r="M1839" s="47"/>
    </row>
    <row r="1840" customHeight="1" spans="1:13">
      <c r="A1840" s="47"/>
      <c r="B1840" s="47"/>
      <c r="C1840" s="47"/>
      <c r="D1840" s="47"/>
      <c r="E1840" s="47"/>
      <c r="F1840" s="47"/>
      <c r="G1840" s="47"/>
      <c r="H1840" s="47"/>
      <c r="I1840" s="47"/>
      <c r="J1840" s="47"/>
      <c r="K1840" s="59"/>
      <c r="L1840" s="59"/>
      <c r="M1840" s="47"/>
    </row>
    <row r="1841" customHeight="1" spans="1:13">
      <c r="A1841" s="47"/>
      <c r="B1841" s="47"/>
      <c r="C1841" s="47"/>
      <c r="D1841" s="47"/>
      <c r="E1841" s="47"/>
      <c r="F1841" s="47"/>
      <c r="G1841" s="47"/>
      <c r="H1841" s="47"/>
      <c r="I1841" s="47"/>
      <c r="J1841" s="47"/>
      <c r="K1841" s="59"/>
      <c r="L1841" s="59"/>
      <c r="M1841" s="47"/>
    </row>
    <row r="1842" customHeight="1" spans="1:13">
      <c r="A1842" s="47"/>
      <c r="B1842" s="47"/>
      <c r="C1842" s="47"/>
      <c r="D1842" s="47"/>
      <c r="E1842" s="47"/>
      <c r="F1842" s="47"/>
      <c r="G1842" s="47"/>
      <c r="H1842" s="47"/>
      <c r="I1842" s="47"/>
      <c r="J1842" s="47"/>
      <c r="K1842" s="59"/>
      <c r="L1842" s="59"/>
      <c r="M1842" s="47"/>
    </row>
    <row r="1843" customHeight="1" spans="1:13">
      <c r="A1843" s="47"/>
      <c r="B1843" s="47"/>
      <c r="C1843" s="47"/>
      <c r="D1843" s="47"/>
      <c r="E1843" s="47"/>
      <c r="F1843" s="47"/>
      <c r="G1843" s="47"/>
      <c r="H1843" s="47"/>
      <c r="I1843" s="47"/>
      <c r="J1843" s="47"/>
      <c r="K1843" s="59"/>
      <c r="L1843" s="59"/>
      <c r="M1843" s="47"/>
    </row>
    <row r="1844" customHeight="1" spans="1:13">
      <c r="A1844" s="47"/>
      <c r="B1844" s="47"/>
      <c r="C1844" s="47"/>
      <c r="D1844" s="47"/>
      <c r="E1844" s="47"/>
      <c r="F1844" s="47"/>
      <c r="G1844" s="47"/>
      <c r="H1844" s="47"/>
      <c r="I1844" s="47"/>
      <c r="J1844" s="47"/>
      <c r="K1844" s="59"/>
      <c r="L1844" s="59"/>
      <c r="M1844" s="47"/>
    </row>
    <row r="1845" customHeight="1" spans="1:13">
      <c r="A1845" s="47"/>
      <c r="B1845" s="47"/>
      <c r="C1845" s="47"/>
      <c r="D1845" s="47"/>
      <c r="E1845" s="47"/>
      <c r="F1845" s="47"/>
      <c r="G1845" s="47"/>
      <c r="H1845" s="47"/>
      <c r="I1845" s="47"/>
      <c r="J1845" s="47"/>
      <c r="K1845" s="59"/>
      <c r="L1845" s="59"/>
      <c r="M1845" s="47"/>
    </row>
    <row r="1846" customHeight="1" spans="1:13">
      <c r="A1846" s="47"/>
      <c r="B1846" s="47"/>
      <c r="C1846" s="47"/>
      <c r="D1846" s="47"/>
      <c r="E1846" s="47"/>
      <c r="F1846" s="47"/>
      <c r="G1846" s="47"/>
      <c r="H1846" s="47"/>
      <c r="I1846" s="47"/>
      <c r="J1846" s="47"/>
      <c r="K1846" s="59"/>
      <c r="L1846" s="59"/>
      <c r="M1846" s="47"/>
    </row>
    <row r="1847" customHeight="1" spans="1:13">
      <c r="A1847" s="47"/>
      <c r="B1847" s="47"/>
      <c r="C1847" s="47"/>
      <c r="D1847" s="47"/>
      <c r="E1847" s="47"/>
      <c r="F1847" s="47"/>
      <c r="G1847" s="47"/>
      <c r="H1847" s="47"/>
      <c r="I1847" s="47"/>
      <c r="J1847" s="47"/>
      <c r="K1847" s="59"/>
      <c r="L1847" s="59"/>
      <c r="M1847" s="47"/>
    </row>
    <row r="1848" customHeight="1" spans="1:13">
      <c r="A1848" s="47"/>
      <c r="B1848" s="47"/>
      <c r="C1848" s="47"/>
      <c r="D1848" s="47"/>
      <c r="E1848" s="47"/>
      <c r="F1848" s="47"/>
      <c r="G1848" s="47"/>
      <c r="H1848" s="47"/>
      <c r="I1848" s="47"/>
      <c r="J1848" s="47"/>
      <c r="K1848" s="59"/>
      <c r="L1848" s="59"/>
      <c r="M1848" s="47"/>
    </row>
    <row r="1849" customHeight="1" spans="1:13">
      <c r="A1849" s="47"/>
      <c r="B1849" s="47"/>
      <c r="C1849" s="47"/>
      <c r="D1849" s="47"/>
      <c r="E1849" s="47"/>
      <c r="F1849" s="47"/>
      <c r="G1849" s="47"/>
      <c r="H1849" s="47"/>
      <c r="I1849" s="47"/>
      <c r="J1849" s="47"/>
      <c r="K1849" s="59"/>
      <c r="L1849" s="59"/>
      <c r="M1849" s="47"/>
    </row>
    <row r="1850" customHeight="1" spans="1:13">
      <c r="A1850" s="47"/>
      <c r="B1850" s="47"/>
      <c r="C1850" s="47"/>
      <c r="D1850" s="47"/>
      <c r="E1850" s="47"/>
      <c r="F1850" s="47"/>
      <c r="G1850" s="47"/>
      <c r="H1850" s="47"/>
      <c r="I1850" s="47"/>
      <c r="J1850" s="47"/>
      <c r="K1850" s="59"/>
      <c r="L1850" s="59"/>
      <c r="M1850" s="47"/>
    </row>
    <row r="1851" customHeight="1" spans="1:13">
      <c r="A1851" s="47"/>
      <c r="B1851" s="47"/>
      <c r="C1851" s="47"/>
      <c r="D1851" s="47"/>
      <c r="E1851" s="47"/>
      <c r="F1851" s="47"/>
      <c r="G1851" s="47"/>
      <c r="H1851" s="47"/>
      <c r="I1851" s="47"/>
      <c r="J1851" s="47"/>
      <c r="K1851" s="59"/>
      <c r="L1851" s="59"/>
      <c r="M1851" s="47"/>
    </row>
    <row r="1852" customHeight="1" spans="1:13">
      <c r="A1852" s="47"/>
      <c r="B1852" s="47"/>
      <c r="C1852" s="47"/>
      <c r="D1852" s="47"/>
      <c r="E1852" s="47"/>
      <c r="F1852" s="47"/>
      <c r="G1852" s="47"/>
      <c r="H1852" s="47"/>
      <c r="I1852" s="47"/>
      <c r="J1852" s="47"/>
      <c r="K1852" s="59"/>
      <c r="L1852" s="59"/>
      <c r="M1852" s="47"/>
    </row>
    <row r="1853" customHeight="1" spans="1:13">
      <c r="A1853" s="47"/>
      <c r="B1853" s="47"/>
      <c r="C1853" s="47"/>
      <c r="D1853" s="47"/>
      <c r="E1853" s="47"/>
      <c r="F1853" s="47"/>
      <c r="G1853" s="47"/>
      <c r="H1853" s="47"/>
      <c r="I1853" s="47"/>
      <c r="J1853" s="47"/>
      <c r="K1853" s="59"/>
      <c r="L1853" s="59"/>
      <c r="M1853" s="47"/>
    </row>
    <row r="1854" customHeight="1" spans="1:13">
      <c r="A1854" s="47"/>
      <c r="B1854" s="47"/>
      <c r="C1854" s="47"/>
      <c r="D1854" s="47"/>
      <c r="E1854" s="47"/>
      <c r="F1854" s="47"/>
      <c r="G1854" s="47"/>
      <c r="H1854" s="47"/>
      <c r="I1854" s="47"/>
      <c r="J1854" s="47"/>
      <c r="K1854" s="59"/>
      <c r="L1854" s="59"/>
      <c r="M1854" s="47"/>
    </row>
    <row r="1855" customHeight="1" spans="1:13">
      <c r="A1855" s="47"/>
      <c r="B1855" s="47"/>
      <c r="C1855" s="47"/>
      <c r="D1855" s="47"/>
      <c r="E1855" s="47"/>
      <c r="F1855" s="47"/>
      <c r="G1855" s="47"/>
      <c r="H1855" s="47"/>
      <c r="I1855" s="47"/>
      <c r="J1855" s="47"/>
      <c r="K1855" s="59"/>
      <c r="L1855" s="59"/>
      <c r="M1855" s="47"/>
    </row>
    <row r="1856" customHeight="1" spans="1:13">
      <c r="A1856" s="47"/>
      <c r="B1856" s="47"/>
      <c r="C1856" s="47"/>
      <c r="D1856" s="47"/>
      <c r="E1856" s="47"/>
      <c r="F1856" s="47"/>
      <c r="G1856" s="47"/>
      <c r="H1856" s="47"/>
      <c r="I1856" s="47"/>
      <c r="J1856" s="47"/>
      <c r="K1856" s="59"/>
      <c r="L1856" s="59"/>
      <c r="M1856" s="47"/>
    </row>
    <row r="1857" customHeight="1" spans="1:13">
      <c r="A1857" s="47"/>
      <c r="B1857" s="47"/>
      <c r="C1857" s="47"/>
      <c r="D1857" s="47"/>
      <c r="E1857" s="47"/>
      <c r="F1857" s="47"/>
      <c r="G1857" s="47"/>
      <c r="H1857" s="47"/>
      <c r="I1857" s="47"/>
      <c r="J1857" s="47"/>
      <c r="K1857" s="59"/>
      <c r="L1857" s="59"/>
      <c r="M1857" s="47"/>
    </row>
    <row r="1858" customHeight="1" spans="1:13">
      <c r="A1858" s="47"/>
      <c r="B1858" s="47"/>
      <c r="C1858" s="47"/>
      <c r="D1858" s="47"/>
      <c r="E1858" s="47"/>
      <c r="F1858" s="47"/>
      <c r="G1858" s="47"/>
      <c r="H1858" s="47"/>
      <c r="I1858" s="47"/>
      <c r="J1858" s="47"/>
      <c r="K1858" s="59"/>
      <c r="L1858" s="59"/>
      <c r="M1858" s="47"/>
    </row>
    <row r="1859" customHeight="1" spans="1:13">
      <c r="A1859" s="47"/>
      <c r="B1859" s="47"/>
      <c r="C1859" s="47"/>
      <c r="D1859" s="47"/>
      <c r="E1859" s="47"/>
      <c r="F1859" s="47"/>
      <c r="G1859" s="47"/>
      <c r="H1859" s="47"/>
      <c r="I1859" s="47"/>
      <c r="J1859" s="47"/>
      <c r="K1859" s="59"/>
      <c r="L1859" s="59"/>
      <c r="M1859" s="47"/>
    </row>
    <row r="1860" customHeight="1" spans="1:13">
      <c r="A1860" s="47"/>
      <c r="B1860" s="47"/>
      <c r="C1860" s="47"/>
      <c r="D1860" s="47"/>
      <c r="E1860" s="47"/>
      <c r="F1860" s="47"/>
      <c r="G1860" s="47"/>
      <c r="H1860" s="47"/>
      <c r="I1860" s="47"/>
      <c r="J1860" s="47"/>
      <c r="K1860" s="59"/>
      <c r="L1860" s="59"/>
      <c r="M1860" s="47"/>
    </row>
    <row r="1861" customHeight="1" spans="1:13">
      <c r="A1861" s="47"/>
      <c r="B1861" s="47"/>
      <c r="C1861" s="47"/>
      <c r="D1861" s="47"/>
      <c r="E1861" s="47"/>
      <c r="F1861" s="47"/>
      <c r="G1861" s="47"/>
      <c r="H1861" s="47"/>
      <c r="I1861" s="47"/>
      <c r="J1861" s="47"/>
      <c r="K1861" s="59"/>
      <c r="L1861" s="59"/>
      <c r="M1861" s="47"/>
    </row>
    <row r="1862" customHeight="1" spans="1:13">
      <c r="A1862" s="47"/>
      <c r="B1862" s="47"/>
      <c r="C1862" s="47"/>
      <c r="D1862" s="47"/>
      <c r="E1862" s="47"/>
      <c r="F1862" s="47"/>
      <c r="G1862" s="47"/>
      <c r="H1862" s="47"/>
      <c r="I1862" s="47"/>
      <c r="J1862" s="47"/>
      <c r="K1862" s="59"/>
      <c r="L1862" s="59"/>
      <c r="M1862" s="47"/>
    </row>
    <row r="1863" customHeight="1" spans="1:13">
      <c r="A1863" s="47"/>
      <c r="B1863" s="47"/>
      <c r="C1863" s="47"/>
      <c r="D1863" s="47"/>
      <c r="E1863" s="47"/>
      <c r="F1863" s="47"/>
      <c r="G1863" s="47"/>
      <c r="H1863" s="47"/>
      <c r="I1863" s="47"/>
      <c r="J1863" s="47"/>
      <c r="K1863" s="59"/>
      <c r="L1863" s="59"/>
      <c r="M1863" s="47"/>
    </row>
    <row r="1864" customHeight="1" spans="1:13">
      <c r="A1864" s="47"/>
      <c r="B1864" s="47"/>
      <c r="C1864" s="47"/>
      <c r="D1864" s="47"/>
      <c r="E1864" s="47"/>
      <c r="F1864" s="47"/>
      <c r="G1864" s="47"/>
      <c r="H1864" s="47"/>
      <c r="I1864" s="47"/>
      <c r="J1864" s="47"/>
      <c r="K1864" s="59"/>
      <c r="L1864" s="59"/>
      <c r="M1864" s="47"/>
    </row>
    <row r="1865" customHeight="1" spans="1:13">
      <c r="A1865" s="47"/>
      <c r="B1865" s="47"/>
      <c r="C1865" s="47"/>
      <c r="D1865" s="47"/>
      <c r="E1865" s="47"/>
      <c r="F1865" s="47"/>
      <c r="G1865" s="47"/>
      <c r="H1865" s="47"/>
      <c r="I1865" s="47"/>
      <c r="J1865" s="47"/>
      <c r="K1865" s="59"/>
      <c r="L1865" s="59"/>
      <c r="M1865" s="47"/>
    </row>
    <row r="1866" customHeight="1" spans="1:13">
      <c r="A1866" s="47"/>
      <c r="B1866" s="47"/>
      <c r="C1866" s="47"/>
      <c r="D1866" s="47"/>
      <c r="E1866" s="47"/>
      <c r="F1866" s="47"/>
      <c r="G1866" s="47"/>
      <c r="H1866" s="47"/>
      <c r="I1866" s="47"/>
      <c r="J1866" s="47"/>
      <c r="K1866" s="59"/>
      <c r="L1866" s="59"/>
      <c r="M1866" s="47"/>
    </row>
    <row r="1867" customHeight="1" spans="1:13">
      <c r="A1867" s="47"/>
      <c r="B1867" s="47"/>
      <c r="C1867" s="47"/>
      <c r="D1867" s="47"/>
      <c r="E1867" s="47"/>
      <c r="F1867" s="47"/>
      <c r="G1867" s="47"/>
      <c r="H1867" s="47"/>
      <c r="I1867" s="47"/>
      <c r="J1867" s="47"/>
      <c r="K1867" s="59"/>
      <c r="L1867" s="59"/>
      <c r="M1867" s="47"/>
    </row>
    <row r="1868" customHeight="1" spans="1:13">
      <c r="A1868" s="47"/>
      <c r="B1868" s="47"/>
      <c r="C1868" s="47"/>
      <c r="D1868" s="47"/>
      <c r="E1868" s="47"/>
      <c r="F1868" s="47"/>
      <c r="G1868" s="47"/>
      <c r="H1868" s="47"/>
      <c r="I1868" s="47"/>
      <c r="J1868" s="47"/>
      <c r="K1868" s="59"/>
      <c r="L1868" s="59"/>
      <c r="M1868" s="47"/>
    </row>
    <row r="1869" customHeight="1" spans="1:13">
      <c r="A1869" s="47"/>
      <c r="B1869" s="47"/>
      <c r="C1869" s="47"/>
      <c r="D1869" s="47"/>
      <c r="E1869" s="47"/>
      <c r="F1869" s="47"/>
      <c r="G1869" s="47"/>
      <c r="H1869" s="47"/>
      <c r="I1869" s="47"/>
      <c r="J1869" s="47"/>
      <c r="K1869" s="59"/>
      <c r="L1869" s="59"/>
      <c r="M1869" s="47"/>
    </row>
    <row r="1870" customHeight="1" spans="1:13">
      <c r="A1870" s="47"/>
      <c r="B1870" s="47"/>
      <c r="C1870" s="47"/>
      <c r="D1870" s="47"/>
      <c r="E1870" s="47"/>
      <c r="F1870" s="47"/>
      <c r="G1870" s="47"/>
      <c r="H1870" s="47"/>
      <c r="I1870" s="47"/>
      <c r="J1870" s="47"/>
      <c r="K1870" s="59"/>
      <c r="L1870" s="59"/>
      <c r="M1870" s="47"/>
    </row>
    <row r="1871" customHeight="1" spans="1:13">
      <c r="A1871" s="47"/>
      <c r="B1871" s="47"/>
      <c r="C1871" s="47"/>
      <c r="D1871" s="47"/>
      <c r="E1871" s="47"/>
      <c r="F1871" s="47"/>
      <c r="G1871" s="47"/>
      <c r="H1871" s="47"/>
      <c r="I1871" s="47"/>
      <c r="J1871" s="47"/>
      <c r="K1871" s="59"/>
      <c r="L1871" s="59"/>
      <c r="M1871" s="47"/>
    </row>
    <row r="1872" customHeight="1" spans="1:13">
      <c r="A1872" s="47"/>
      <c r="B1872" s="47"/>
      <c r="C1872" s="47"/>
      <c r="D1872" s="47"/>
      <c r="E1872" s="47"/>
      <c r="F1872" s="47"/>
      <c r="G1872" s="47"/>
      <c r="H1872" s="47"/>
      <c r="I1872" s="47"/>
      <c r="J1872" s="47"/>
      <c r="K1872" s="59"/>
      <c r="L1872" s="59"/>
      <c r="M1872" s="47"/>
    </row>
    <row r="1873" customHeight="1" spans="1:13">
      <c r="A1873" s="47"/>
      <c r="B1873" s="47"/>
      <c r="C1873" s="47"/>
      <c r="D1873" s="47"/>
      <c r="E1873" s="47"/>
      <c r="F1873" s="47"/>
      <c r="G1873" s="47"/>
      <c r="H1873" s="47"/>
      <c r="I1873" s="47"/>
      <c r="J1873" s="47"/>
      <c r="K1873" s="59"/>
      <c r="L1873" s="59"/>
      <c r="M1873" s="47"/>
    </row>
    <row r="1874" customHeight="1" spans="1:13">
      <c r="A1874" s="47"/>
      <c r="B1874" s="47"/>
      <c r="C1874" s="47"/>
      <c r="D1874" s="47"/>
      <c r="E1874" s="47"/>
      <c r="F1874" s="47"/>
      <c r="G1874" s="47"/>
      <c r="H1874" s="47"/>
      <c r="I1874" s="47"/>
      <c r="J1874" s="47"/>
      <c r="K1874" s="59"/>
      <c r="L1874" s="59"/>
      <c r="M1874" s="47"/>
    </row>
    <row r="1875" customHeight="1" spans="1:13">
      <c r="A1875" s="47"/>
      <c r="B1875" s="47"/>
      <c r="C1875" s="47"/>
      <c r="D1875" s="47"/>
      <c r="E1875" s="47"/>
      <c r="F1875" s="47"/>
      <c r="G1875" s="47"/>
      <c r="H1875" s="47"/>
      <c r="I1875" s="47"/>
      <c r="J1875" s="47"/>
      <c r="K1875" s="59"/>
      <c r="L1875" s="59"/>
      <c r="M1875" s="47"/>
    </row>
    <row r="1876" customHeight="1" spans="1:13">
      <c r="A1876" s="47"/>
      <c r="B1876" s="47"/>
      <c r="C1876" s="47"/>
      <c r="D1876" s="47"/>
      <c r="E1876" s="47"/>
      <c r="F1876" s="47"/>
      <c r="G1876" s="47"/>
      <c r="H1876" s="47"/>
      <c r="I1876" s="47"/>
      <c r="J1876" s="47"/>
      <c r="K1876" s="59"/>
      <c r="L1876" s="59"/>
      <c r="M1876" s="47"/>
    </row>
    <row r="1877" customHeight="1" spans="1:13">
      <c r="A1877" s="47"/>
      <c r="B1877" s="47"/>
      <c r="C1877" s="47"/>
      <c r="D1877" s="47"/>
      <c r="E1877" s="47"/>
      <c r="F1877" s="47"/>
      <c r="G1877" s="47"/>
      <c r="H1877" s="47"/>
      <c r="I1877" s="47"/>
      <c r="J1877" s="47"/>
      <c r="K1877" s="59"/>
      <c r="L1877" s="59"/>
      <c r="M1877" s="47"/>
    </row>
    <row r="1878" customHeight="1" spans="1:13">
      <c r="A1878" s="47"/>
      <c r="B1878" s="47"/>
      <c r="C1878" s="47"/>
      <c r="D1878" s="47"/>
      <c r="E1878" s="47"/>
      <c r="F1878" s="47"/>
      <c r="G1878" s="47"/>
      <c r="H1878" s="47"/>
      <c r="I1878" s="47"/>
      <c r="J1878" s="47"/>
      <c r="K1878" s="59"/>
      <c r="L1878" s="59"/>
      <c r="M1878" s="47"/>
    </row>
    <row r="1879" customHeight="1" spans="1:13">
      <c r="A1879" s="47"/>
      <c r="B1879" s="47"/>
      <c r="C1879" s="47"/>
      <c r="D1879" s="47"/>
      <c r="E1879" s="47"/>
      <c r="F1879" s="47"/>
      <c r="G1879" s="47"/>
      <c r="H1879" s="47"/>
      <c r="I1879" s="47"/>
      <c r="J1879" s="47"/>
      <c r="K1879" s="59"/>
      <c r="L1879" s="59"/>
      <c r="M1879" s="47"/>
    </row>
    <row r="1880" customHeight="1" spans="1:13">
      <c r="A1880" s="47"/>
      <c r="B1880" s="47"/>
      <c r="C1880" s="47"/>
      <c r="D1880" s="47"/>
      <c r="E1880" s="47"/>
      <c r="F1880" s="47"/>
      <c r="G1880" s="47"/>
      <c r="H1880" s="47"/>
      <c r="I1880" s="47"/>
      <c r="J1880" s="47"/>
      <c r="K1880" s="59"/>
      <c r="L1880" s="59"/>
      <c r="M1880" s="47"/>
    </row>
    <row r="1881" customHeight="1" spans="1:13">
      <c r="A1881" s="47"/>
      <c r="B1881" s="47"/>
      <c r="C1881" s="47"/>
      <c r="D1881" s="47"/>
      <c r="E1881" s="47"/>
      <c r="F1881" s="47"/>
      <c r="G1881" s="47"/>
      <c r="H1881" s="47"/>
      <c r="I1881" s="47"/>
      <c r="J1881" s="47"/>
      <c r="K1881" s="59"/>
      <c r="L1881" s="59"/>
      <c r="M1881" s="47"/>
    </row>
    <row r="1882" customHeight="1" spans="1:13">
      <c r="A1882" s="47"/>
      <c r="B1882" s="47"/>
      <c r="C1882" s="47"/>
      <c r="D1882" s="47"/>
      <c r="E1882" s="47"/>
      <c r="F1882" s="47"/>
      <c r="G1882" s="47"/>
      <c r="H1882" s="47"/>
      <c r="I1882" s="47"/>
      <c r="J1882" s="47"/>
      <c r="K1882" s="59"/>
      <c r="L1882" s="59"/>
      <c r="M1882" s="47"/>
    </row>
    <row r="1883" customHeight="1" spans="1:13">
      <c r="A1883" s="47"/>
      <c r="B1883" s="47"/>
      <c r="C1883" s="47"/>
      <c r="D1883" s="47"/>
      <c r="E1883" s="47"/>
      <c r="F1883" s="47"/>
      <c r="G1883" s="47"/>
      <c r="H1883" s="47"/>
      <c r="I1883" s="47"/>
      <c r="J1883" s="47"/>
      <c r="K1883" s="59"/>
      <c r="L1883" s="59"/>
      <c r="M1883" s="47"/>
    </row>
    <row r="1884" customHeight="1" spans="1:13">
      <c r="A1884" s="47"/>
      <c r="B1884" s="47"/>
      <c r="C1884" s="47"/>
      <c r="D1884" s="47"/>
      <c r="E1884" s="47"/>
      <c r="F1884" s="47"/>
      <c r="G1884" s="47"/>
      <c r="H1884" s="47"/>
      <c r="I1884" s="47"/>
      <c r="J1884" s="47"/>
      <c r="K1884" s="59"/>
      <c r="L1884" s="59"/>
      <c r="M1884" s="47"/>
    </row>
    <row r="1885" customHeight="1" spans="1:13">
      <c r="A1885" s="47"/>
      <c r="B1885" s="47"/>
      <c r="C1885" s="47"/>
      <c r="D1885" s="47"/>
      <c r="E1885" s="47"/>
      <c r="F1885" s="47"/>
      <c r="G1885" s="47"/>
      <c r="H1885" s="47"/>
      <c r="I1885" s="47"/>
      <c r="J1885" s="47"/>
      <c r="K1885" s="59"/>
      <c r="L1885" s="59"/>
      <c r="M1885" s="47"/>
    </row>
    <row r="1886" customHeight="1" spans="1:13">
      <c r="A1886" s="47"/>
      <c r="B1886" s="47"/>
      <c r="C1886" s="47"/>
      <c r="D1886" s="47"/>
      <c r="E1886" s="47"/>
      <c r="F1886" s="47"/>
      <c r="G1886" s="47"/>
      <c r="H1886" s="47"/>
      <c r="I1886" s="47"/>
      <c r="J1886" s="47"/>
      <c r="K1886" s="59"/>
      <c r="L1886" s="59"/>
      <c r="M1886" s="47"/>
    </row>
    <row r="1887" customHeight="1" spans="1:13">
      <c r="A1887" s="47"/>
      <c r="B1887" s="47"/>
      <c r="C1887" s="47"/>
      <c r="D1887" s="47"/>
      <c r="E1887" s="47"/>
      <c r="F1887" s="47"/>
      <c r="G1887" s="47"/>
      <c r="H1887" s="47"/>
      <c r="I1887" s="47"/>
      <c r="J1887" s="47"/>
      <c r="K1887" s="59"/>
      <c r="L1887" s="59"/>
      <c r="M1887" s="47"/>
    </row>
    <row r="1888" customHeight="1" spans="1:13">
      <c r="A1888" s="47"/>
      <c r="B1888" s="47"/>
      <c r="C1888" s="47"/>
      <c r="D1888" s="47"/>
      <c r="E1888" s="47"/>
      <c r="F1888" s="47"/>
      <c r="G1888" s="47"/>
      <c r="H1888" s="47"/>
      <c r="I1888" s="47"/>
      <c r="J1888" s="47"/>
      <c r="K1888" s="59"/>
      <c r="L1888" s="59"/>
      <c r="M1888" s="47"/>
    </row>
    <row r="1889" customHeight="1" spans="1:13">
      <c r="A1889" s="47"/>
      <c r="B1889" s="47"/>
      <c r="C1889" s="47"/>
      <c r="D1889" s="47"/>
      <c r="E1889" s="47"/>
      <c r="F1889" s="47"/>
      <c r="G1889" s="47"/>
      <c r="H1889" s="47"/>
      <c r="I1889" s="47"/>
      <c r="J1889" s="47"/>
      <c r="K1889" s="59"/>
      <c r="L1889" s="59"/>
      <c r="M1889" s="47"/>
    </row>
    <row r="1890" customHeight="1" spans="1:13">
      <c r="A1890" s="47"/>
      <c r="B1890" s="47"/>
      <c r="C1890" s="47"/>
      <c r="D1890" s="47"/>
      <c r="E1890" s="47"/>
      <c r="F1890" s="47"/>
      <c r="G1890" s="47"/>
      <c r="H1890" s="47"/>
      <c r="I1890" s="47"/>
      <c r="J1890" s="47"/>
      <c r="K1890" s="59"/>
      <c r="L1890" s="59"/>
      <c r="M1890" s="47"/>
    </row>
    <row r="1891" customHeight="1" spans="1:13">
      <c r="A1891" s="47"/>
      <c r="B1891" s="47"/>
      <c r="C1891" s="47"/>
      <c r="D1891" s="47"/>
      <c r="E1891" s="47"/>
      <c r="F1891" s="47"/>
      <c r="G1891" s="47"/>
      <c r="H1891" s="47"/>
      <c r="I1891" s="47"/>
      <c r="J1891" s="47"/>
      <c r="K1891" s="59"/>
      <c r="L1891" s="59"/>
      <c r="M1891" s="47"/>
    </row>
    <row r="1892" customHeight="1" spans="1:13">
      <c r="A1892" s="47"/>
      <c r="B1892" s="47"/>
      <c r="C1892" s="47"/>
      <c r="D1892" s="47"/>
      <c r="E1892" s="47"/>
      <c r="F1892" s="47"/>
      <c r="G1892" s="47"/>
      <c r="H1892" s="47"/>
      <c r="I1892" s="47"/>
      <c r="J1892" s="47"/>
      <c r="K1892" s="59"/>
      <c r="L1892" s="59"/>
      <c r="M1892" s="47"/>
    </row>
    <row r="1893" customHeight="1" spans="1:13">
      <c r="A1893" s="47"/>
      <c r="B1893" s="47"/>
      <c r="C1893" s="47"/>
      <c r="D1893" s="47"/>
      <c r="E1893" s="47"/>
      <c r="F1893" s="47"/>
      <c r="G1893" s="47"/>
      <c r="H1893" s="47"/>
      <c r="I1893" s="47"/>
      <c r="J1893" s="47"/>
      <c r="K1893" s="59"/>
      <c r="L1893" s="59"/>
      <c r="M1893" s="47"/>
    </row>
    <row r="1894" customHeight="1" spans="1:13">
      <c r="A1894" s="47"/>
      <c r="B1894" s="47"/>
      <c r="C1894" s="47"/>
      <c r="D1894" s="47"/>
      <c r="E1894" s="47"/>
      <c r="F1894" s="47"/>
      <c r="G1894" s="47"/>
      <c r="H1894" s="47"/>
      <c r="I1894" s="47"/>
      <c r="J1894" s="47"/>
      <c r="K1894" s="59"/>
      <c r="L1894" s="59"/>
      <c r="M1894" s="47"/>
    </row>
    <row r="1895" customHeight="1" spans="1:13">
      <c r="A1895" s="47"/>
      <c r="B1895" s="47"/>
      <c r="C1895" s="47"/>
      <c r="D1895" s="47"/>
      <c r="E1895" s="47"/>
      <c r="F1895" s="47"/>
      <c r="G1895" s="47"/>
      <c r="H1895" s="47"/>
      <c r="I1895" s="47"/>
      <c r="J1895" s="47"/>
      <c r="K1895" s="59"/>
      <c r="L1895" s="59"/>
      <c r="M1895" s="47"/>
    </row>
    <row r="1896" customHeight="1" spans="1:13">
      <c r="A1896" s="47"/>
      <c r="B1896" s="47"/>
      <c r="C1896" s="47"/>
      <c r="D1896" s="47"/>
      <c r="E1896" s="47"/>
      <c r="F1896" s="47"/>
      <c r="G1896" s="47"/>
      <c r="H1896" s="47"/>
      <c r="I1896" s="47"/>
      <c r="J1896" s="47"/>
      <c r="K1896" s="59"/>
      <c r="L1896" s="59"/>
      <c r="M1896" s="47"/>
    </row>
    <row r="1897" customHeight="1" spans="1:13">
      <c r="A1897" s="47"/>
      <c r="B1897" s="47"/>
      <c r="C1897" s="47"/>
      <c r="D1897" s="47"/>
      <c r="E1897" s="47"/>
      <c r="F1897" s="47"/>
      <c r="G1897" s="47"/>
      <c r="H1897" s="47"/>
      <c r="I1897" s="47"/>
      <c r="J1897" s="47"/>
      <c r="K1897" s="59"/>
      <c r="L1897" s="59"/>
      <c r="M1897" s="47"/>
    </row>
    <row r="1898" customHeight="1" spans="1:13">
      <c r="A1898" s="47"/>
      <c r="B1898" s="47"/>
      <c r="C1898" s="47"/>
      <c r="D1898" s="47"/>
      <c r="E1898" s="47"/>
      <c r="F1898" s="47"/>
      <c r="G1898" s="47"/>
      <c r="H1898" s="47"/>
      <c r="I1898" s="47"/>
      <c r="J1898" s="47"/>
      <c r="K1898" s="59"/>
      <c r="L1898" s="59"/>
      <c r="M1898" s="47"/>
    </row>
    <row r="1899" customHeight="1" spans="1:13">
      <c r="A1899" s="47"/>
      <c r="B1899" s="47"/>
      <c r="C1899" s="47"/>
      <c r="D1899" s="47"/>
      <c r="E1899" s="47"/>
      <c r="F1899" s="47"/>
      <c r="G1899" s="47"/>
      <c r="H1899" s="47"/>
      <c r="I1899" s="47"/>
      <c r="J1899" s="47"/>
      <c r="K1899" s="59"/>
      <c r="L1899" s="59"/>
      <c r="M1899" s="47"/>
    </row>
    <row r="1900" customHeight="1" spans="1:13">
      <c r="A1900" s="47"/>
      <c r="B1900" s="47"/>
      <c r="C1900" s="47"/>
      <c r="D1900" s="47"/>
      <c r="E1900" s="47"/>
      <c r="F1900" s="47"/>
      <c r="G1900" s="47"/>
      <c r="H1900" s="47"/>
      <c r="I1900" s="47"/>
      <c r="J1900" s="47"/>
      <c r="K1900" s="59"/>
      <c r="L1900" s="59"/>
      <c r="M1900" s="47"/>
    </row>
    <row r="1901" customHeight="1" spans="1:13">
      <c r="A1901" s="47"/>
      <c r="B1901" s="47"/>
      <c r="C1901" s="47"/>
      <c r="D1901" s="47"/>
      <c r="E1901" s="47"/>
      <c r="F1901" s="47"/>
      <c r="G1901" s="47"/>
      <c r="H1901" s="47"/>
      <c r="I1901" s="47"/>
      <c r="J1901" s="47"/>
      <c r="K1901" s="59"/>
      <c r="L1901" s="59"/>
      <c r="M1901" s="47"/>
    </row>
    <row r="1902" customHeight="1" spans="1:13">
      <c r="A1902" s="47"/>
      <c r="B1902" s="47"/>
      <c r="C1902" s="47"/>
      <c r="D1902" s="47"/>
      <c r="E1902" s="47"/>
      <c r="F1902" s="47"/>
      <c r="G1902" s="47"/>
      <c r="H1902" s="47"/>
      <c r="I1902" s="47"/>
      <c r="J1902" s="47"/>
      <c r="K1902" s="59"/>
      <c r="L1902" s="59"/>
      <c r="M1902" s="47"/>
    </row>
    <row r="1903" customHeight="1" spans="1:13">
      <c r="A1903" s="47"/>
      <c r="B1903" s="47"/>
      <c r="C1903" s="47"/>
      <c r="D1903" s="47"/>
      <c r="E1903" s="47"/>
      <c r="F1903" s="47"/>
      <c r="G1903" s="47"/>
      <c r="H1903" s="47"/>
      <c r="I1903" s="47"/>
      <c r="J1903" s="47"/>
      <c r="K1903" s="59"/>
      <c r="L1903" s="59"/>
      <c r="M1903" s="47"/>
    </row>
    <row r="1904" customHeight="1" spans="1:13">
      <c r="A1904" s="47"/>
      <c r="B1904" s="47"/>
      <c r="C1904" s="47"/>
      <c r="D1904" s="47"/>
      <c r="E1904" s="47"/>
      <c r="F1904" s="47"/>
      <c r="G1904" s="47"/>
      <c r="H1904" s="47"/>
      <c r="I1904" s="47"/>
      <c r="J1904" s="47"/>
      <c r="K1904" s="59"/>
      <c r="L1904" s="59"/>
      <c r="M1904" s="47"/>
    </row>
    <row r="1905" customHeight="1" spans="1:13">
      <c r="A1905" s="47"/>
      <c r="B1905" s="47"/>
      <c r="C1905" s="47"/>
      <c r="D1905" s="47"/>
      <c r="E1905" s="47"/>
      <c r="F1905" s="47"/>
      <c r="G1905" s="47"/>
      <c r="H1905" s="47"/>
      <c r="I1905" s="47"/>
      <c r="J1905" s="47"/>
      <c r="K1905" s="59"/>
      <c r="L1905" s="59"/>
      <c r="M1905" s="47"/>
    </row>
    <row r="1906" customHeight="1" spans="1:13">
      <c r="A1906" s="47"/>
      <c r="B1906" s="47"/>
      <c r="C1906" s="47"/>
      <c r="D1906" s="47"/>
      <c r="E1906" s="47"/>
      <c r="F1906" s="47"/>
      <c r="G1906" s="47"/>
      <c r="H1906" s="47"/>
      <c r="I1906" s="47"/>
      <c r="J1906" s="47"/>
      <c r="K1906" s="59"/>
      <c r="L1906" s="59"/>
      <c r="M1906" s="47"/>
    </row>
    <row r="1907" customHeight="1" spans="1:13">
      <c r="A1907" s="47"/>
      <c r="B1907" s="47"/>
      <c r="C1907" s="47"/>
      <c r="D1907" s="47"/>
      <c r="E1907" s="47"/>
      <c r="F1907" s="47"/>
      <c r="G1907" s="47"/>
      <c r="H1907" s="47"/>
      <c r="I1907" s="47"/>
      <c r="J1907" s="47"/>
      <c r="K1907" s="59"/>
      <c r="L1907" s="59"/>
      <c r="M1907" s="47"/>
    </row>
    <row r="1908" customHeight="1" spans="1:13">
      <c r="A1908" s="47"/>
      <c r="B1908" s="47"/>
      <c r="C1908" s="47"/>
      <c r="D1908" s="47"/>
      <c r="E1908" s="47"/>
      <c r="F1908" s="47"/>
      <c r="G1908" s="47"/>
      <c r="H1908" s="47"/>
      <c r="I1908" s="47"/>
      <c r="J1908" s="47"/>
      <c r="K1908" s="59"/>
      <c r="L1908" s="59"/>
      <c r="M1908" s="47"/>
    </row>
    <row r="1909" customHeight="1" spans="1:13">
      <c r="A1909" s="47"/>
      <c r="B1909" s="47"/>
      <c r="C1909" s="47"/>
      <c r="D1909" s="47"/>
      <c r="E1909" s="47"/>
      <c r="F1909" s="47"/>
      <c r="G1909" s="47"/>
      <c r="H1909" s="47"/>
      <c r="I1909" s="47"/>
      <c r="J1909" s="47"/>
      <c r="K1909" s="59"/>
      <c r="L1909" s="59"/>
      <c r="M1909" s="47"/>
    </row>
    <row r="1910" customHeight="1" spans="1:13">
      <c r="A1910" s="47"/>
      <c r="B1910" s="47"/>
      <c r="C1910" s="47"/>
      <c r="D1910" s="47"/>
      <c r="E1910" s="47"/>
      <c r="F1910" s="47"/>
      <c r="G1910" s="47"/>
      <c r="H1910" s="47"/>
      <c r="I1910" s="47"/>
      <c r="J1910" s="47"/>
      <c r="K1910" s="59"/>
      <c r="L1910" s="59"/>
      <c r="M1910" s="47"/>
    </row>
    <row r="1911" customHeight="1" spans="1:13">
      <c r="A1911" s="47"/>
      <c r="B1911" s="47"/>
      <c r="C1911" s="47"/>
      <c r="D1911" s="47"/>
      <c r="E1911" s="47"/>
      <c r="F1911" s="47"/>
      <c r="G1911" s="47"/>
      <c r="H1911" s="47"/>
      <c r="I1911" s="47"/>
      <c r="J1911" s="47"/>
      <c r="K1911" s="59"/>
      <c r="L1911" s="59"/>
      <c r="M1911" s="47"/>
    </row>
    <row r="1912" customHeight="1" spans="1:13">
      <c r="A1912" s="47"/>
      <c r="B1912" s="47"/>
      <c r="C1912" s="47"/>
      <c r="D1912" s="47"/>
      <c r="E1912" s="47"/>
      <c r="F1912" s="47"/>
      <c r="G1912" s="47"/>
      <c r="H1912" s="47"/>
      <c r="I1912" s="47"/>
      <c r="J1912" s="47"/>
      <c r="K1912" s="59"/>
      <c r="L1912" s="59"/>
      <c r="M1912" s="47"/>
    </row>
    <row r="1913" customHeight="1" spans="1:13">
      <c r="A1913" s="47"/>
      <c r="B1913" s="47"/>
      <c r="C1913" s="47"/>
      <c r="D1913" s="47"/>
      <c r="E1913" s="47"/>
      <c r="F1913" s="47"/>
      <c r="G1913" s="47"/>
      <c r="H1913" s="47"/>
      <c r="I1913" s="47"/>
      <c r="J1913" s="47"/>
      <c r="K1913" s="59"/>
      <c r="L1913" s="59"/>
      <c r="M1913" s="47"/>
    </row>
    <row r="1914" customHeight="1" spans="1:13">
      <c r="A1914" s="47"/>
      <c r="B1914" s="47"/>
      <c r="C1914" s="47"/>
      <c r="D1914" s="47"/>
      <c r="E1914" s="47"/>
      <c r="F1914" s="47"/>
      <c r="G1914" s="47"/>
      <c r="H1914" s="47"/>
      <c r="I1914" s="47"/>
      <c r="J1914" s="47"/>
      <c r="K1914" s="59"/>
      <c r="L1914" s="59"/>
      <c r="M1914" s="47"/>
    </row>
    <row r="1915" customHeight="1" spans="1:13">
      <c r="A1915" s="47"/>
      <c r="B1915" s="47"/>
      <c r="C1915" s="47"/>
      <c r="D1915" s="47"/>
      <c r="E1915" s="47"/>
      <c r="F1915" s="47"/>
      <c r="G1915" s="47"/>
      <c r="H1915" s="47"/>
      <c r="I1915" s="47"/>
      <c r="J1915" s="47"/>
      <c r="K1915" s="59"/>
      <c r="L1915" s="59"/>
      <c r="M1915" s="47"/>
    </row>
    <row r="1916" customHeight="1" spans="1:13">
      <c r="A1916" s="47"/>
      <c r="B1916" s="47"/>
      <c r="C1916" s="47"/>
      <c r="D1916" s="47"/>
      <c r="E1916" s="47"/>
      <c r="F1916" s="47"/>
      <c r="G1916" s="47"/>
      <c r="H1916" s="47"/>
      <c r="I1916" s="47"/>
      <c r="J1916" s="47"/>
      <c r="K1916" s="59"/>
      <c r="L1916" s="59"/>
      <c r="M1916" s="47"/>
    </row>
    <row r="1917" customHeight="1" spans="1:13">
      <c r="A1917" s="47"/>
      <c r="B1917" s="47"/>
      <c r="C1917" s="47"/>
      <c r="D1917" s="47"/>
      <c r="E1917" s="47"/>
      <c r="F1917" s="47"/>
      <c r="G1917" s="47"/>
      <c r="H1917" s="47"/>
      <c r="I1917" s="47"/>
      <c r="J1917" s="47"/>
      <c r="K1917" s="59"/>
      <c r="L1917" s="59"/>
      <c r="M1917" s="47"/>
    </row>
    <row r="1918" customHeight="1" spans="1:13">
      <c r="A1918" s="47"/>
      <c r="B1918" s="47"/>
      <c r="C1918" s="47"/>
      <c r="D1918" s="47"/>
      <c r="E1918" s="47"/>
      <c r="F1918" s="47"/>
      <c r="G1918" s="47"/>
      <c r="H1918" s="47"/>
      <c r="I1918" s="47"/>
      <c r="J1918" s="47"/>
      <c r="K1918" s="59"/>
      <c r="L1918" s="59"/>
      <c r="M1918" s="47"/>
    </row>
    <row r="1919" customHeight="1" spans="1:13">
      <c r="A1919" s="47"/>
      <c r="B1919" s="47"/>
      <c r="C1919" s="47"/>
      <c r="D1919" s="47"/>
      <c r="E1919" s="47"/>
      <c r="F1919" s="47"/>
      <c r="G1919" s="47"/>
      <c r="H1919" s="47"/>
      <c r="I1919" s="47"/>
      <c r="J1919" s="47"/>
      <c r="K1919" s="59"/>
      <c r="L1919" s="59"/>
      <c r="M1919" s="47"/>
    </row>
    <row r="1920" customHeight="1" spans="1:13">
      <c r="A1920" s="47"/>
      <c r="B1920" s="47"/>
      <c r="C1920" s="47"/>
      <c r="D1920" s="47"/>
      <c r="E1920" s="47"/>
      <c r="F1920" s="47"/>
      <c r="G1920" s="47"/>
      <c r="H1920" s="47"/>
      <c r="I1920" s="47"/>
      <c r="J1920" s="47"/>
      <c r="K1920" s="59"/>
      <c r="L1920" s="59"/>
      <c r="M1920" s="47"/>
    </row>
    <row r="1921" customHeight="1" spans="1:13">
      <c r="A1921" s="47"/>
      <c r="B1921" s="47"/>
      <c r="C1921" s="47"/>
      <c r="D1921" s="47"/>
      <c r="E1921" s="47"/>
      <c r="F1921" s="47"/>
      <c r="G1921" s="47"/>
      <c r="H1921" s="47"/>
      <c r="I1921" s="47"/>
      <c r="J1921" s="47"/>
      <c r="K1921" s="59"/>
      <c r="L1921" s="59"/>
      <c r="M1921" s="47"/>
    </row>
    <row r="1922" customHeight="1" spans="1:13">
      <c r="A1922" s="47"/>
      <c r="B1922" s="47"/>
      <c r="C1922" s="47"/>
      <c r="D1922" s="47"/>
      <c r="E1922" s="47"/>
      <c r="F1922" s="47"/>
      <c r="G1922" s="47"/>
      <c r="H1922" s="47"/>
      <c r="I1922" s="47"/>
      <c r="J1922" s="47"/>
      <c r="K1922" s="59"/>
      <c r="L1922" s="59"/>
      <c r="M1922" s="47"/>
    </row>
    <row r="1923" customHeight="1" spans="1:13">
      <c r="A1923" s="47"/>
      <c r="B1923" s="47"/>
      <c r="C1923" s="47"/>
      <c r="D1923" s="47"/>
      <c r="E1923" s="47"/>
      <c r="F1923" s="47"/>
      <c r="G1923" s="47"/>
      <c r="H1923" s="47"/>
      <c r="I1923" s="47"/>
      <c r="J1923" s="47"/>
      <c r="K1923" s="59"/>
      <c r="L1923" s="59"/>
      <c r="M1923" s="47"/>
    </row>
    <row r="1924" customHeight="1" spans="1:13">
      <c r="A1924" s="47"/>
      <c r="B1924" s="47"/>
      <c r="C1924" s="47"/>
      <c r="D1924" s="47"/>
      <c r="E1924" s="47"/>
      <c r="F1924" s="47"/>
      <c r="G1924" s="47"/>
      <c r="H1924" s="47"/>
      <c r="I1924" s="47"/>
      <c r="J1924" s="47"/>
      <c r="K1924" s="59"/>
      <c r="L1924" s="59"/>
      <c r="M1924" s="47"/>
    </row>
    <row r="1925" customHeight="1" spans="1:13">
      <c r="A1925" s="47"/>
      <c r="B1925" s="47"/>
      <c r="C1925" s="47"/>
      <c r="D1925" s="47"/>
      <c r="E1925" s="47"/>
      <c r="F1925" s="47"/>
      <c r="G1925" s="47"/>
      <c r="H1925" s="47"/>
      <c r="I1925" s="47"/>
      <c r="J1925" s="47"/>
      <c r="K1925" s="59"/>
      <c r="L1925" s="59"/>
      <c r="M1925" s="47"/>
    </row>
    <row r="1926" customHeight="1" spans="1:13">
      <c r="A1926" s="47"/>
      <c r="B1926" s="47"/>
      <c r="C1926" s="47"/>
      <c r="D1926" s="47"/>
      <c r="E1926" s="47"/>
      <c r="F1926" s="47"/>
      <c r="G1926" s="47"/>
      <c r="H1926" s="47"/>
      <c r="I1926" s="47"/>
      <c r="J1926" s="47"/>
      <c r="K1926" s="59"/>
      <c r="L1926" s="59"/>
      <c r="M1926" s="47"/>
    </row>
    <row r="1927" customHeight="1" spans="1:13">
      <c r="A1927" s="47"/>
      <c r="B1927" s="47"/>
      <c r="C1927" s="47"/>
      <c r="D1927" s="47"/>
      <c r="E1927" s="47"/>
      <c r="F1927" s="47"/>
      <c r="G1927" s="47"/>
      <c r="H1927" s="47"/>
      <c r="I1927" s="47"/>
      <c r="J1927" s="47"/>
      <c r="K1927" s="59"/>
      <c r="L1927" s="59"/>
      <c r="M1927" s="47"/>
    </row>
    <row r="1928" customHeight="1" spans="1:13">
      <c r="A1928" s="47"/>
      <c r="B1928" s="47"/>
      <c r="C1928" s="47"/>
      <c r="D1928" s="47"/>
      <c r="E1928" s="47"/>
      <c r="F1928" s="47"/>
      <c r="G1928" s="47"/>
      <c r="H1928" s="47"/>
      <c r="I1928" s="47"/>
      <c r="J1928" s="47"/>
      <c r="K1928" s="59"/>
      <c r="L1928" s="59"/>
      <c r="M1928" s="47"/>
    </row>
    <row r="1929" customHeight="1" spans="1:13">
      <c r="A1929" s="47"/>
      <c r="B1929" s="47"/>
      <c r="C1929" s="47"/>
      <c r="D1929" s="47"/>
      <c r="E1929" s="47"/>
      <c r="F1929" s="47"/>
      <c r="G1929" s="47"/>
      <c r="H1929" s="47"/>
      <c r="I1929" s="47"/>
      <c r="J1929" s="47"/>
      <c r="K1929" s="59"/>
      <c r="L1929" s="59"/>
      <c r="M1929" s="47"/>
    </row>
    <row r="1930" customHeight="1" spans="1:13">
      <c r="A1930" s="47"/>
      <c r="B1930" s="47"/>
      <c r="C1930" s="47"/>
      <c r="D1930" s="47"/>
      <c r="E1930" s="47"/>
      <c r="F1930" s="47"/>
      <c r="G1930" s="47"/>
      <c r="H1930" s="47"/>
      <c r="I1930" s="47"/>
      <c r="J1930" s="47"/>
      <c r="K1930" s="59"/>
      <c r="L1930" s="59"/>
      <c r="M1930" s="47"/>
    </row>
    <row r="1931" customHeight="1" spans="1:13">
      <c r="A1931" s="47"/>
      <c r="B1931" s="47"/>
      <c r="C1931" s="47"/>
      <c r="D1931" s="47"/>
      <c r="E1931" s="47"/>
      <c r="F1931" s="47"/>
      <c r="G1931" s="47"/>
      <c r="H1931" s="47"/>
      <c r="I1931" s="47"/>
      <c r="J1931" s="47"/>
      <c r="K1931" s="59"/>
      <c r="L1931" s="59"/>
      <c r="M1931" s="47"/>
    </row>
    <row r="1932" customHeight="1" spans="1:13">
      <c r="A1932" s="47"/>
      <c r="B1932" s="47"/>
      <c r="C1932" s="47"/>
      <c r="D1932" s="47"/>
      <c r="E1932" s="47"/>
      <c r="F1932" s="47"/>
      <c r="G1932" s="47"/>
      <c r="H1932" s="47"/>
      <c r="I1932" s="47"/>
      <c r="J1932" s="47"/>
      <c r="K1932" s="59"/>
      <c r="L1932" s="59"/>
      <c r="M1932" s="47"/>
    </row>
    <row r="1933" customHeight="1" spans="1:13">
      <c r="A1933" s="47"/>
      <c r="B1933" s="47"/>
      <c r="C1933" s="47"/>
      <c r="D1933" s="47"/>
      <c r="E1933" s="47"/>
      <c r="F1933" s="47"/>
      <c r="G1933" s="47"/>
      <c r="H1933" s="47"/>
      <c r="I1933" s="47"/>
      <c r="J1933" s="47"/>
      <c r="K1933" s="59"/>
      <c r="L1933" s="59"/>
      <c r="M1933" s="47"/>
    </row>
    <row r="1934" customHeight="1" spans="1:13">
      <c r="A1934" s="47"/>
      <c r="B1934" s="47"/>
      <c r="C1934" s="47"/>
      <c r="D1934" s="47"/>
      <c r="E1934" s="47"/>
      <c r="F1934" s="47"/>
      <c r="G1934" s="47"/>
      <c r="H1934" s="47"/>
      <c r="I1934" s="47"/>
      <c r="J1934" s="47"/>
      <c r="K1934" s="59"/>
      <c r="L1934" s="59"/>
      <c r="M1934" s="47"/>
    </row>
    <row r="1935" customHeight="1" spans="1:13">
      <c r="A1935" s="47"/>
      <c r="B1935" s="47"/>
      <c r="C1935" s="47"/>
      <c r="D1935" s="47"/>
      <c r="E1935" s="47"/>
      <c r="F1935" s="47"/>
      <c r="G1935" s="47"/>
      <c r="H1935" s="47"/>
      <c r="I1935" s="47"/>
      <c r="J1935" s="47"/>
      <c r="K1935" s="59"/>
      <c r="L1935" s="59"/>
      <c r="M1935" s="47"/>
    </row>
    <row r="1936" customHeight="1" spans="1:13">
      <c r="A1936" s="47"/>
      <c r="B1936" s="47"/>
      <c r="C1936" s="47"/>
      <c r="D1936" s="47"/>
      <c r="E1936" s="47"/>
      <c r="F1936" s="47"/>
      <c r="G1936" s="47"/>
      <c r="H1936" s="47"/>
      <c r="I1936" s="47"/>
      <c r="J1936" s="47"/>
      <c r="K1936" s="59"/>
      <c r="L1936" s="59"/>
      <c r="M1936" s="47"/>
    </row>
    <row r="1937" customHeight="1" spans="1:13">
      <c r="A1937" s="47"/>
      <c r="B1937" s="47"/>
      <c r="C1937" s="47"/>
      <c r="D1937" s="47"/>
      <c r="E1937" s="47"/>
      <c r="F1937" s="47"/>
      <c r="G1937" s="47"/>
      <c r="H1937" s="47"/>
      <c r="I1937" s="47"/>
      <c r="J1937" s="47"/>
      <c r="K1937" s="59"/>
      <c r="L1937" s="59"/>
      <c r="M1937" s="47"/>
    </row>
    <row r="1938" customHeight="1" spans="1:13">
      <c r="A1938" s="47"/>
      <c r="B1938" s="47"/>
      <c r="C1938" s="47"/>
      <c r="D1938" s="47"/>
      <c r="E1938" s="47"/>
      <c r="F1938" s="47"/>
      <c r="G1938" s="47"/>
      <c r="H1938" s="47"/>
      <c r="I1938" s="47"/>
      <c r="J1938" s="47"/>
      <c r="K1938" s="59"/>
      <c r="L1938" s="59"/>
      <c r="M1938" s="47"/>
    </row>
    <row r="1939" customHeight="1" spans="1:13">
      <c r="A1939" s="47"/>
      <c r="B1939" s="47"/>
      <c r="C1939" s="47"/>
      <c r="D1939" s="47"/>
      <c r="E1939" s="47"/>
      <c r="F1939" s="47"/>
      <c r="G1939" s="47"/>
      <c r="H1939" s="47"/>
      <c r="I1939" s="47"/>
      <c r="J1939" s="47"/>
      <c r="K1939" s="59"/>
      <c r="L1939" s="59"/>
      <c r="M1939" s="47"/>
    </row>
    <row r="1940" customHeight="1" spans="1:13">
      <c r="A1940" s="47"/>
      <c r="B1940" s="47"/>
      <c r="C1940" s="47"/>
      <c r="D1940" s="47"/>
      <c r="E1940" s="47"/>
      <c r="F1940" s="47"/>
      <c r="G1940" s="47"/>
      <c r="H1940" s="47"/>
      <c r="I1940" s="47"/>
      <c r="J1940" s="47"/>
      <c r="K1940" s="59"/>
      <c r="L1940" s="59"/>
      <c r="M1940" s="47"/>
    </row>
    <row r="1941" customHeight="1" spans="1:13">
      <c r="A1941" s="47"/>
      <c r="B1941" s="47"/>
      <c r="C1941" s="47"/>
      <c r="D1941" s="47"/>
      <c r="E1941" s="47"/>
      <c r="F1941" s="47"/>
      <c r="G1941" s="47"/>
      <c r="H1941" s="47"/>
      <c r="I1941" s="47"/>
      <c r="J1941" s="47"/>
      <c r="K1941" s="59"/>
      <c r="L1941" s="59"/>
      <c r="M1941" s="47"/>
    </row>
    <row r="1942" customHeight="1" spans="1:13">
      <c r="A1942" s="47"/>
      <c r="B1942" s="47"/>
      <c r="C1942" s="47"/>
      <c r="D1942" s="47"/>
      <c r="E1942" s="47"/>
      <c r="F1942" s="47"/>
      <c r="G1942" s="47"/>
      <c r="H1942" s="47"/>
      <c r="I1942" s="47"/>
      <c r="J1942" s="47"/>
      <c r="K1942" s="59"/>
      <c r="L1942" s="59"/>
      <c r="M1942" s="47"/>
    </row>
    <row r="1943" customHeight="1" spans="1:13">
      <c r="A1943" s="47"/>
      <c r="B1943" s="47"/>
      <c r="C1943" s="47"/>
      <c r="D1943" s="47"/>
      <c r="E1943" s="47"/>
      <c r="F1943" s="47"/>
      <c r="G1943" s="47"/>
      <c r="H1943" s="47"/>
      <c r="I1943" s="47"/>
      <c r="J1943" s="47"/>
      <c r="K1943" s="59"/>
      <c r="L1943" s="59"/>
      <c r="M1943" s="47"/>
    </row>
    <row r="1944" customHeight="1" spans="1:13">
      <c r="A1944" s="47"/>
      <c r="B1944" s="47"/>
      <c r="C1944" s="47"/>
      <c r="D1944" s="47"/>
      <c r="E1944" s="47"/>
      <c r="F1944" s="47"/>
      <c r="G1944" s="47"/>
      <c r="H1944" s="47"/>
      <c r="I1944" s="47"/>
      <c r="J1944" s="47"/>
      <c r="K1944" s="59"/>
      <c r="L1944" s="59"/>
      <c r="M1944" s="47"/>
    </row>
    <row r="1945" customHeight="1" spans="1:13">
      <c r="A1945" s="47"/>
      <c r="B1945" s="47"/>
      <c r="C1945" s="47"/>
      <c r="D1945" s="47"/>
      <c r="E1945" s="47"/>
      <c r="F1945" s="47"/>
      <c r="G1945" s="47"/>
      <c r="H1945" s="47"/>
      <c r="I1945" s="47"/>
      <c r="J1945" s="47"/>
      <c r="K1945" s="59"/>
      <c r="L1945" s="59"/>
      <c r="M1945" s="47"/>
    </row>
    <row r="1946" customHeight="1" spans="1:13">
      <c r="A1946" s="47"/>
      <c r="B1946" s="47"/>
      <c r="C1946" s="47"/>
      <c r="D1946" s="47"/>
      <c r="E1946" s="47"/>
      <c r="F1946" s="47"/>
      <c r="G1946" s="47"/>
      <c r="H1946" s="47"/>
      <c r="I1946" s="47"/>
      <c r="J1946" s="47"/>
      <c r="K1946" s="59"/>
      <c r="L1946" s="59"/>
      <c r="M1946" s="47"/>
    </row>
    <row r="1947" customHeight="1" spans="1:13">
      <c r="A1947" s="47"/>
      <c r="B1947" s="47"/>
      <c r="C1947" s="47"/>
      <c r="D1947" s="47"/>
      <c r="E1947" s="47"/>
      <c r="F1947" s="47"/>
      <c r="G1947" s="47"/>
      <c r="H1947" s="47"/>
      <c r="I1947" s="47"/>
      <c r="J1947" s="47"/>
      <c r="K1947" s="59"/>
      <c r="L1947" s="59"/>
      <c r="M1947" s="47"/>
    </row>
    <row r="1948" customHeight="1" spans="1:13">
      <c r="A1948" s="47"/>
      <c r="B1948" s="47"/>
      <c r="C1948" s="47"/>
      <c r="D1948" s="47"/>
      <c r="E1948" s="47"/>
      <c r="F1948" s="47"/>
      <c r="G1948" s="47"/>
      <c r="H1948" s="47"/>
      <c r="I1948" s="47"/>
      <c r="J1948" s="47"/>
      <c r="K1948" s="59"/>
      <c r="L1948" s="59"/>
      <c r="M1948" s="47"/>
    </row>
    <row r="1949" customHeight="1" spans="1:13">
      <c r="A1949" s="47"/>
      <c r="B1949" s="47"/>
      <c r="C1949" s="47"/>
      <c r="D1949" s="47"/>
      <c r="E1949" s="47"/>
      <c r="F1949" s="47"/>
      <c r="G1949" s="47"/>
      <c r="H1949" s="47"/>
      <c r="I1949" s="47"/>
      <c r="J1949" s="47"/>
      <c r="K1949" s="59"/>
      <c r="L1949" s="59"/>
      <c r="M1949" s="47"/>
    </row>
    <row r="1950" customHeight="1" spans="1:13">
      <c r="A1950" s="47"/>
      <c r="B1950" s="47"/>
      <c r="C1950" s="47"/>
      <c r="D1950" s="47"/>
      <c r="E1950" s="47"/>
      <c r="F1950" s="47"/>
      <c r="G1950" s="47"/>
      <c r="H1950" s="47"/>
      <c r="I1950" s="47"/>
      <c r="J1950" s="47"/>
      <c r="K1950" s="59"/>
      <c r="L1950" s="59"/>
      <c r="M1950" s="47"/>
    </row>
    <row r="1951" customHeight="1" spans="1:13">
      <c r="A1951" s="47"/>
      <c r="B1951" s="47"/>
      <c r="C1951" s="47"/>
      <c r="D1951" s="47"/>
      <c r="E1951" s="47"/>
      <c r="F1951" s="47"/>
      <c r="G1951" s="47"/>
      <c r="H1951" s="47"/>
      <c r="I1951" s="47"/>
      <c r="J1951" s="47"/>
      <c r="K1951" s="59"/>
      <c r="L1951" s="59"/>
      <c r="M1951" s="47"/>
    </row>
    <row r="1952" customHeight="1" spans="1:13">
      <c r="A1952" s="47"/>
      <c r="B1952" s="47"/>
      <c r="C1952" s="47"/>
      <c r="D1952" s="47"/>
      <c r="E1952" s="47"/>
      <c r="F1952" s="47"/>
      <c r="G1952" s="47"/>
      <c r="H1952" s="47"/>
      <c r="I1952" s="47"/>
      <c r="J1952" s="47"/>
      <c r="K1952" s="59"/>
      <c r="L1952" s="59"/>
      <c r="M1952" s="47"/>
    </row>
    <row r="1953" customHeight="1" spans="1:13">
      <c r="A1953" s="47"/>
      <c r="B1953" s="47"/>
      <c r="C1953" s="47"/>
      <c r="D1953" s="47"/>
      <c r="E1953" s="47"/>
      <c r="F1953" s="47"/>
      <c r="G1953" s="47"/>
      <c r="H1953" s="47"/>
      <c r="I1953" s="47"/>
      <c r="J1953" s="47"/>
      <c r="K1953" s="59"/>
      <c r="L1953" s="59"/>
      <c r="M1953" s="47"/>
    </row>
    <row r="1954" customHeight="1" spans="1:13">
      <c r="A1954" s="47"/>
      <c r="B1954" s="47"/>
      <c r="C1954" s="47"/>
      <c r="D1954" s="47"/>
      <c r="E1954" s="47"/>
      <c r="F1954" s="47"/>
      <c r="G1954" s="47"/>
      <c r="H1954" s="47"/>
      <c r="I1954" s="47"/>
      <c r="J1954" s="47"/>
      <c r="K1954" s="59"/>
      <c r="L1954" s="59"/>
      <c r="M1954" s="47"/>
    </row>
    <row r="1955" customHeight="1" spans="1:13">
      <c r="A1955" s="47"/>
      <c r="B1955" s="47"/>
      <c r="C1955" s="47"/>
      <c r="D1955" s="47"/>
      <c r="E1955" s="47"/>
      <c r="F1955" s="47"/>
      <c r="G1955" s="47"/>
      <c r="H1955" s="47"/>
      <c r="I1955" s="47"/>
      <c r="J1955" s="47"/>
      <c r="K1955" s="59"/>
      <c r="L1955" s="59"/>
      <c r="M1955" s="47"/>
    </row>
    <row r="1956" customHeight="1" spans="1:13">
      <c r="A1956" s="47"/>
      <c r="B1956" s="47"/>
      <c r="C1956" s="47"/>
      <c r="D1956" s="47"/>
      <c r="E1956" s="47"/>
      <c r="F1956" s="47"/>
      <c r="G1956" s="47"/>
      <c r="H1956" s="47"/>
      <c r="I1956" s="47"/>
      <c r="J1956" s="47"/>
      <c r="K1956" s="59"/>
      <c r="L1956" s="59"/>
      <c r="M1956" s="47"/>
    </row>
    <row r="1957" customHeight="1" spans="1:13">
      <c r="A1957" s="47"/>
      <c r="B1957" s="47"/>
      <c r="C1957" s="47"/>
      <c r="D1957" s="47"/>
      <c r="E1957" s="47"/>
      <c r="F1957" s="47"/>
      <c r="G1957" s="47"/>
      <c r="H1957" s="47"/>
      <c r="I1957" s="47"/>
      <c r="J1957" s="47"/>
      <c r="K1957" s="59"/>
      <c r="L1957" s="59"/>
      <c r="M1957" s="47"/>
    </row>
    <row r="1958" customHeight="1" spans="1:13">
      <c r="A1958" s="47"/>
      <c r="B1958" s="47"/>
      <c r="C1958" s="47"/>
      <c r="D1958" s="47"/>
      <c r="E1958" s="47"/>
      <c r="F1958" s="47"/>
      <c r="G1958" s="47"/>
      <c r="H1958" s="47"/>
      <c r="I1958" s="47"/>
      <c r="J1958" s="47"/>
      <c r="K1958" s="59"/>
      <c r="L1958" s="59"/>
      <c r="M1958" s="47"/>
    </row>
    <row r="1959" customHeight="1" spans="1:13">
      <c r="A1959" s="47"/>
      <c r="B1959" s="47"/>
      <c r="C1959" s="47"/>
      <c r="D1959" s="47"/>
      <c r="E1959" s="47"/>
      <c r="F1959" s="47"/>
      <c r="G1959" s="47"/>
      <c r="H1959" s="47"/>
      <c r="I1959" s="47"/>
      <c r="J1959" s="47"/>
      <c r="K1959" s="59"/>
      <c r="L1959" s="59"/>
      <c r="M1959" s="47"/>
    </row>
    <row r="1960" customHeight="1" spans="1:13">
      <c r="A1960" s="47"/>
      <c r="B1960" s="47"/>
      <c r="C1960" s="47"/>
      <c r="D1960" s="47"/>
      <c r="E1960" s="47"/>
      <c r="F1960" s="47"/>
      <c r="G1960" s="47"/>
      <c r="H1960" s="47"/>
      <c r="I1960" s="47"/>
      <c r="J1960" s="47"/>
      <c r="K1960" s="59"/>
      <c r="L1960" s="59"/>
      <c r="M1960" s="47"/>
    </row>
    <row r="1961" customHeight="1" spans="1:13">
      <c r="A1961" s="47"/>
      <c r="B1961" s="47"/>
      <c r="C1961" s="47"/>
      <c r="D1961" s="47"/>
      <c r="E1961" s="47"/>
      <c r="F1961" s="47"/>
      <c r="G1961" s="47"/>
      <c r="H1961" s="47"/>
      <c r="I1961" s="47"/>
      <c r="J1961" s="47"/>
      <c r="K1961" s="59"/>
      <c r="L1961" s="59"/>
      <c r="M1961" s="47"/>
    </row>
    <row r="1962" customHeight="1" spans="1:13">
      <c r="A1962" s="47"/>
      <c r="B1962" s="47"/>
      <c r="C1962" s="47"/>
      <c r="D1962" s="47"/>
      <c r="E1962" s="47"/>
      <c r="F1962" s="47"/>
      <c r="G1962" s="47"/>
      <c r="H1962" s="47"/>
      <c r="I1962" s="47"/>
      <c r="J1962" s="47"/>
      <c r="K1962" s="59"/>
      <c r="L1962" s="59"/>
      <c r="M1962" s="47"/>
    </row>
    <row r="1963" customHeight="1" spans="1:13">
      <c r="A1963" s="47"/>
      <c r="B1963" s="47"/>
      <c r="C1963" s="47"/>
      <c r="D1963" s="47"/>
      <c r="E1963" s="47"/>
      <c r="F1963" s="47"/>
      <c r="G1963" s="47"/>
      <c r="H1963" s="47"/>
      <c r="I1963" s="47"/>
      <c r="J1963" s="47"/>
      <c r="K1963" s="59"/>
      <c r="L1963" s="59"/>
      <c r="M1963" s="47"/>
    </row>
    <row r="1964" customHeight="1" spans="1:13">
      <c r="A1964" s="47"/>
      <c r="B1964" s="47"/>
      <c r="C1964" s="47"/>
      <c r="D1964" s="47"/>
      <c r="E1964" s="47"/>
      <c r="F1964" s="47"/>
      <c r="G1964" s="47"/>
      <c r="H1964" s="47"/>
      <c r="I1964" s="47"/>
      <c r="J1964" s="47"/>
      <c r="K1964" s="59"/>
      <c r="L1964" s="59"/>
      <c r="M1964" s="47"/>
    </row>
    <row r="1965" customHeight="1" spans="1:13">
      <c r="A1965" s="47"/>
      <c r="B1965" s="47"/>
      <c r="C1965" s="47"/>
      <c r="D1965" s="47"/>
      <c r="E1965" s="47"/>
      <c r="F1965" s="47"/>
      <c r="G1965" s="47"/>
      <c r="H1965" s="47"/>
      <c r="I1965" s="47"/>
      <c r="J1965" s="47"/>
      <c r="K1965" s="59"/>
      <c r="L1965" s="59"/>
      <c r="M1965" s="47"/>
    </row>
    <row r="1966" customHeight="1" spans="1:13">
      <c r="A1966" s="47"/>
      <c r="B1966" s="47"/>
      <c r="C1966" s="47"/>
      <c r="D1966" s="47"/>
      <c r="E1966" s="47"/>
      <c r="F1966" s="47"/>
      <c r="G1966" s="47"/>
      <c r="H1966" s="47"/>
      <c r="I1966" s="47"/>
      <c r="J1966" s="47"/>
      <c r="K1966" s="59"/>
      <c r="L1966" s="59"/>
      <c r="M1966" s="47"/>
    </row>
    <row r="1967" customHeight="1" spans="1:13">
      <c r="A1967" s="47"/>
      <c r="B1967" s="47"/>
      <c r="C1967" s="47"/>
      <c r="D1967" s="47"/>
      <c r="E1967" s="47"/>
      <c r="F1967" s="47"/>
      <c r="G1967" s="47"/>
      <c r="H1967" s="47"/>
      <c r="I1967" s="47"/>
      <c r="J1967" s="47"/>
      <c r="K1967" s="59"/>
      <c r="L1967" s="59"/>
      <c r="M1967" s="47"/>
    </row>
    <row r="1968" customHeight="1" spans="1:13">
      <c r="A1968" s="47"/>
      <c r="B1968" s="47"/>
      <c r="C1968" s="47"/>
      <c r="D1968" s="47"/>
      <c r="E1968" s="47"/>
      <c r="F1968" s="47"/>
      <c r="G1968" s="47"/>
      <c r="H1968" s="47"/>
      <c r="I1968" s="47"/>
      <c r="J1968" s="47"/>
      <c r="K1968" s="59"/>
      <c r="L1968" s="59"/>
      <c r="M1968" s="47"/>
    </row>
    <row r="1969" customHeight="1" spans="1:13">
      <c r="A1969" s="47"/>
      <c r="B1969" s="47"/>
      <c r="C1969" s="47"/>
      <c r="D1969" s="47"/>
      <c r="E1969" s="47"/>
      <c r="F1969" s="47"/>
      <c r="G1969" s="47"/>
      <c r="H1969" s="47"/>
      <c r="I1969" s="47"/>
      <c r="J1969" s="47"/>
      <c r="K1969" s="59"/>
      <c r="L1969" s="59"/>
      <c r="M1969" s="47"/>
    </row>
    <row r="1970" customHeight="1" spans="1:13">
      <c r="A1970" s="47"/>
      <c r="B1970" s="47"/>
      <c r="C1970" s="47"/>
      <c r="D1970" s="47"/>
      <c r="E1970" s="47"/>
      <c r="F1970" s="47"/>
      <c r="G1970" s="47"/>
      <c r="H1970" s="47"/>
      <c r="I1970" s="47"/>
      <c r="J1970" s="47"/>
      <c r="K1970" s="59"/>
      <c r="L1970" s="59"/>
      <c r="M1970" s="47"/>
    </row>
    <row r="1971" customHeight="1" spans="1:13">
      <c r="A1971" s="47"/>
      <c r="B1971" s="47"/>
      <c r="C1971" s="47"/>
      <c r="D1971" s="47"/>
      <c r="E1971" s="47"/>
      <c r="F1971" s="47"/>
      <c r="G1971" s="47"/>
      <c r="H1971" s="47"/>
      <c r="I1971" s="47"/>
      <c r="J1971" s="47"/>
      <c r="K1971" s="59"/>
      <c r="L1971" s="59"/>
      <c r="M1971" s="47"/>
    </row>
    <row r="1972" customHeight="1" spans="1:13">
      <c r="A1972" s="47"/>
      <c r="B1972" s="47"/>
      <c r="C1972" s="47"/>
      <c r="D1972" s="47"/>
      <c r="E1972" s="47"/>
      <c r="F1972" s="47"/>
      <c r="G1972" s="47"/>
      <c r="H1972" s="47"/>
      <c r="I1972" s="47"/>
      <c r="J1972" s="47"/>
      <c r="K1972" s="59"/>
      <c r="L1972" s="59"/>
      <c r="M1972" s="47"/>
    </row>
    <row r="1973" customHeight="1" spans="1:13">
      <c r="A1973" s="47"/>
      <c r="B1973" s="47"/>
      <c r="C1973" s="47"/>
      <c r="D1973" s="47"/>
      <c r="E1973" s="47"/>
      <c r="F1973" s="47"/>
      <c r="G1973" s="47"/>
      <c r="H1973" s="47"/>
      <c r="I1973" s="47"/>
      <c r="J1973" s="47"/>
      <c r="K1973" s="59"/>
      <c r="L1973" s="59"/>
      <c r="M1973" s="47"/>
    </row>
    <row r="1974" customHeight="1" spans="1:13">
      <c r="A1974" s="47"/>
      <c r="B1974" s="47"/>
      <c r="C1974" s="47"/>
      <c r="D1974" s="47"/>
      <c r="E1974" s="47"/>
      <c r="F1974" s="47"/>
      <c r="G1974" s="47"/>
      <c r="H1974" s="47"/>
      <c r="I1974" s="47"/>
      <c r="J1974" s="47"/>
      <c r="K1974" s="59"/>
      <c r="L1974" s="59"/>
      <c r="M1974" s="47"/>
    </row>
    <row r="1975" customHeight="1" spans="1:13">
      <c r="A1975" s="47"/>
      <c r="B1975" s="47"/>
      <c r="C1975" s="47"/>
      <c r="D1975" s="47"/>
      <c r="E1975" s="47"/>
      <c r="F1975" s="47"/>
      <c r="G1975" s="47"/>
      <c r="H1975" s="47"/>
      <c r="I1975" s="47"/>
      <c r="J1975" s="47"/>
      <c r="K1975" s="59"/>
      <c r="L1975" s="59"/>
      <c r="M1975" s="47"/>
    </row>
    <row r="1976" customHeight="1" spans="1:13">
      <c r="A1976" s="47"/>
      <c r="B1976" s="47"/>
      <c r="C1976" s="47"/>
      <c r="D1976" s="47"/>
      <c r="E1976" s="47"/>
      <c r="F1976" s="47"/>
      <c r="G1976" s="47"/>
      <c r="H1976" s="47"/>
      <c r="I1976" s="47"/>
      <c r="J1976" s="47"/>
      <c r="K1976" s="59"/>
      <c r="L1976" s="59"/>
      <c r="M1976" s="47"/>
    </row>
    <row r="1977" customHeight="1" spans="1:13">
      <c r="A1977" s="47"/>
      <c r="B1977" s="47"/>
      <c r="C1977" s="47"/>
      <c r="D1977" s="47"/>
      <c r="E1977" s="47"/>
      <c r="F1977" s="47"/>
      <c r="G1977" s="47"/>
      <c r="H1977" s="47"/>
      <c r="I1977" s="47"/>
      <c r="J1977" s="47"/>
      <c r="K1977" s="59"/>
      <c r="L1977" s="59"/>
      <c r="M1977" s="47"/>
    </row>
    <row r="1978" customHeight="1" spans="1:13">
      <c r="A1978" s="47"/>
      <c r="B1978" s="47"/>
      <c r="C1978" s="47"/>
      <c r="D1978" s="47"/>
      <c r="E1978" s="47"/>
      <c r="F1978" s="47"/>
      <c r="G1978" s="47"/>
      <c r="H1978" s="47"/>
      <c r="I1978" s="47"/>
      <c r="J1978" s="47"/>
      <c r="K1978" s="59"/>
      <c r="L1978" s="59"/>
      <c r="M1978" s="47"/>
    </row>
    <row r="1979" customHeight="1" spans="1:13">
      <c r="A1979" s="47"/>
      <c r="B1979" s="47"/>
      <c r="C1979" s="47"/>
      <c r="D1979" s="47"/>
      <c r="E1979" s="47"/>
      <c r="F1979" s="47"/>
      <c r="G1979" s="47"/>
      <c r="H1979" s="47"/>
      <c r="I1979" s="47"/>
      <c r="J1979" s="47"/>
      <c r="K1979" s="59"/>
      <c r="L1979" s="59"/>
      <c r="M1979" s="47"/>
    </row>
    <row r="1980" customHeight="1" spans="1:13">
      <c r="A1980" s="47"/>
      <c r="B1980" s="47"/>
      <c r="C1980" s="47"/>
      <c r="D1980" s="47"/>
      <c r="E1980" s="47"/>
      <c r="F1980" s="47"/>
      <c r="G1980" s="47"/>
      <c r="H1980" s="47"/>
      <c r="I1980" s="47"/>
      <c r="J1980" s="47"/>
      <c r="K1980" s="59"/>
      <c r="L1980" s="59"/>
      <c r="M1980" s="47"/>
    </row>
    <row r="1981" customHeight="1" spans="1:13">
      <c r="A1981" s="47"/>
      <c r="B1981" s="47"/>
      <c r="C1981" s="47"/>
      <c r="D1981" s="47"/>
      <c r="E1981" s="47"/>
      <c r="F1981" s="47"/>
      <c r="G1981" s="47"/>
      <c r="H1981" s="47"/>
      <c r="I1981" s="47"/>
      <c r="J1981" s="47"/>
      <c r="K1981" s="59"/>
      <c r="L1981" s="59"/>
      <c r="M1981" s="47"/>
    </row>
    <row r="1982" customHeight="1" spans="1:13">
      <c r="A1982" s="47"/>
      <c r="B1982" s="47"/>
      <c r="C1982" s="47"/>
      <c r="D1982" s="47"/>
      <c r="E1982" s="47"/>
      <c r="F1982" s="47"/>
      <c r="G1982" s="47"/>
      <c r="H1982" s="47"/>
      <c r="I1982" s="47"/>
      <c r="J1982" s="47"/>
      <c r="K1982" s="59"/>
      <c r="L1982" s="59"/>
      <c r="M1982" s="47"/>
    </row>
    <row r="1983" customHeight="1" spans="1:13">
      <c r="A1983" s="47"/>
      <c r="B1983" s="47"/>
      <c r="C1983" s="47"/>
      <c r="D1983" s="47"/>
      <c r="E1983" s="47"/>
      <c r="F1983" s="47"/>
      <c r="G1983" s="47"/>
      <c r="H1983" s="47"/>
      <c r="I1983" s="47"/>
      <c r="J1983" s="47"/>
      <c r="K1983" s="59"/>
      <c r="L1983" s="59"/>
      <c r="M1983" s="47"/>
    </row>
    <row r="1984" customHeight="1" spans="1:13">
      <c r="A1984" s="47"/>
      <c r="B1984" s="47"/>
      <c r="C1984" s="47"/>
      <c r="D1984" s="47"/>
      <c r="E1984" s="47"/>
      <c r="F1984" s="47"/>
      <c r="G1984" s="47"/>
      <c r="H1984" s="47"/>
      <c r="I1984" s="47"/>
      <c r="J1984" s="47"/>
      <c r="K1984" s="59"/>
      <c r="L1984" s="59"/>
      <c r="M1984" s="47"/>
    </row>
    <row r="1985" customHeight="1" spans="1:13">
      <c r="A1985" s="47"/>
      <c r="B1985" s="47"/>
      <c r="C1985" s="47"/>
      <c r="D1985" s="47"/>
      <c r="E1985" s="47"/>
      <c r="F1985" s="47"/>
      <c r="G1985" s="47"/>
      <c r="H1985" s="47"/>
      <c r="I1985" s="47"/>
      <c r="J1985" s="47"/>
      <c r="K1985" s="59"/>
      <c r="L1985" s="59"/>
      <c r="M1985" s="47"/>
    </row>
    <row r="1986" customHeight="1" spans="1:13">
      <c r="A1986" s="47"/>
      <c r="B1986" s="47"/>
      <c r="C1986" s="47"/>
      <c r="D1986" s="47"/>
      <c r="E1986" s="47"/>
      <c r="F1986" s="47"/>
      <c r="G1986" s="47"/>
      <c r="H1986" s="47"/>
      <c r="I1986" s="47"/>
      <c r="J1986" s="47"/>
      <c r="K1986" s="59"/>
      <c r="L1986" s="59"/>
      <c r="M1986" s="47"/>
    </row>
    <row r="1987" customHeight="1" spans="1:13">
      <c r="A1987" s="47"/>
      <c r="B1987" s="47"/>
      <c r="C1987" s="47"/>
      <c r="D1987" s="47"/>
      <c r="E1987" s="47"/>
      <c r="F1987" s="47"/>
      <c r="G1987" s="47"/>
      <c r="H1987" s="47"/>
      <c r="I1987" s="47"/>
      <c r="J1987" s="47"/>
      <c r="K1987" s="59"/>
      <c r="L1987" s="59"/>
      <c r="M1987" s="47"/>
    </row>
    <row r="1988" customHeight="1" spans="1:13">
      <c r="A1988" s="47"/>
      <c r="B1988" s="47"/>
      <c r="C1988" s="47"/>
      <c r="D1988" s="47"/>
      <c r="E1988" s="47"/>
      <c r="F1988" s="47"/>
      <c r="G1988" s="47"/>
      <c r="H1988" s="47"/>
      <c r="I1988" s="47"/>
      <c r="J1988" s="47"/>
      <c r="K1988" s="59"/>
      <c r="L1988" s="59"/>
      <c r="M1988" s="47"/>
    </row>
    <row r="1989" customHeight="1" spans="1:13">
      <c r="A1989" s="47"/>
      <c r="B1989" s="47"/>
      <c r="C1989" s="47"/>
      <c r="D1989" s="47"/>
      <c r="E1989" s="47"/>
      <c r="F1989" s="47"/>
      <c r="G1989" s="47"/>
      <c r="H1989" s="47"/>
      <c r="I1989" s="47"/>
      <c r="J1989" s="47"/>
      <c r="K1989" s="59"/>
      <c r="L1989" s="59"/>
      <c r="M1989" s="47"/>
    </row>
    <row r="1990" customHeight="1" spans="1:13">
      <c r="A1990" s="47"/>
      <c r="B1990" s="47"/>
      <c r="C1990" s="47"/>
      <c r="D1990" s="47"/>
      <c r="E1990" s="47"/>
      <c r="F1990" s="47"/>
      <c r="G1990" s="47"/>
      <c r="H1990" s="47"/>
      <c r="I1990" s="47"/>
      <c r="J1990" s="47"/>
      <c r="K1990" s="59"/>
      <c r="L1990" s="59"/>
      <c r="M1990" s="47"/>
    </row>
    <row r="1991" customHeight="1" spans="1:13">
      <c r="A1991" s="47"/>
      <c r="B1991" s="47"/>
      <c r="C1991" s="47"/>
      <c r="D1991" s="47"/>
      <c r="E1991" s="47"/>
      <c r="F1991" s="47"/>
      <c r="G1991" s="47"/>
      <c r="H1991" s="47"/>
      <c r="I1991" s="47"/>
      <c r="J1991" s="47"/>
      <c r="K1991" s="59"/>
      <c r="L1991" s="59"/>
      <c r="M1991" s="47"/>
    </row>
    <row r="1992" customHeight="1" spans="1:13">
      <c r="A1992" s="47"/>
      <c r="B1992" s="47"/>
      <c r="C1992" s="47"/>
      <c r="D1992" s="47"/>
      <c r="E1992" s="47"/>
      <c r="F1992" s="47"/>
      <c r="G1992" s="47"/>
      <c r="H1992" s="47"/>
      <c r="I1992" s="47"/>
      <c r="J1992" s="47"/>
      <c r="K1992" s="59"/>
      <c r="L1992" s="59"/>
      <c r="M1992" s="47"/>
    </row>
    <row r="1993" customHeight="1" spans="1:13">
      <c r="A1993" s="47"/>
      <c r="B1993" s="47"/>
      <c r="C1993" s="47"/>
      <c r="D1993" s="47"/>
      <c r="E1993" s="47"/>
      <c r="F1993" s="47"/>
      <c r="G1993" s="47"/>
      <c r="H1993" s="47"/>
      <c r="I1993" s="47"/>
      <c r="J1993" s="47"/>
      <c r="K1993" s="59"/>
      <c r="L1993" s="59"/>
      <c r="M1993" s="47"/>
    </row>
    <row r="1994" customHeight="1" spans="1:13">
      <c r="A1994" s="47"/>
      <c r="B1994" s="47"/>
      <c r="C1994" s="47"/>
      <c r="D1994" s="47"/>
      <c r="E1994" s="47"/>
      <c r="F1994" s="47"/>
      <c r="G1994" s="47"/>
      <c r="H1994" s="47"/>
      <c r="I1994" s="47"/>
      <c r="J1994" s="47"/>
      <c r="K1994" s="59"/>
      <c r="L1994" s="59"/>
      <c r="M1994" s="47"/>
    </row>
    <row r="1995" customHeight="1" spans="1:13">
      <c r="A1995" s="47"/>
      <c r="B1995" s="47"/>
      <c r="C1995" s="47"/>
      <c r="D1995" s="47"/>
      <c r="E1995" s="47"/>
      <c r="F1995" s="47"/>
      <c r="G1995" s="47"/>
      <c r="H1995" s="47"/>
      <c r="I1995" s="47"/>
      <c r="J1995" s="47"/>
      <c r="K1995" s="59"/>
      <c r="L1995" s="59"/>
      <c r="M1995" s="47"/>
    </row>
    <row r="1996" customHeight="1" spans="1:13">
      <c r="A1996" s="47"/>
      <c r="B1996" s="47"/>
      <c r="C1996" s="47"/>
      <c r="D1996" s="47"/>
      <c r="E1996" s="47"/>
      <c r="F1996" s="47"/>
      <c r="G1996" s="47"/>
      <c r="H1996" s="47"/>
      <c r="I1996" s="47"/>
      <c r="J1996" s="47"/>
      <c r="K1996" s="59"/>
      <c r="L1996" s="59"/>
      <c r="M1996" s="47"/>
    </row>
    <row r="1997" customHeight="1" spans="1:13">
      <c r="A1997" s="47"/>
      <c r="B1997" s="47"/>
      <c r="C1997" s="47"/>
      <c r="D1997" s="47"/>
      <c r="E1997" s="47"/>
      <c r="F1997" s="47"/>
      <c r="G1997" s="47"/>
      <c r="H1997" s="47"/>
      <c r="I1997" s="47"/>
      <c r="J1997" s="47"/>
      <c r="K1997" s="59"/>
      <c r="L1997" s="59"/>
      <c r="M1997" s="47"/>
    </row>
    <row r="1998" customHeight="1" spans="1:13">
      <c r="A1998" s="47"/>
      <c r="B1998" s="47"/>
      <c r="C1998" s="47"/>
      <c r="D1998" s="47"/>
      <c r="E1998" s="47"/>
      <c r="F1998" s="47"/>
      <c r="G1998" s="47"/>
      <c r="H1998" s="47"/>
      <c r="I1998" s="47"/>
      <c r="J1998" s="47"/>
      <c r="K1998" s="59"/>
      <c r="L1998" s="59"/>
      <c r="M1998" s="47"/>
    </row>
    <row r="1999" customHeight="1" spans="1:13">
      <c r="A1999" s="47"/>
      <c r="B1999" s="47"/>
      <c r="C1999" s="47"/>
      <c r="D1999" s="47"/>
      <c r="E1999" s="47"/>
      <c r="F1999" s="47"/>
      <c r="G1999" s="47"/>
      <c r="H1999" s="47"/>
      <c r="I1999" s="47"/>
      <c r="J1999" s="47"/>
      <c r="K1999" s="59"/>
      <c r="L1999" s="59"/>
      <c r="M1999" s="47"/>
    </row>
    <row r="2000" customHeight="1" spans="1:13">
      <c r="A2000" s="47"/>
      <c r="B2000" s="47"/>
      <c r="C2000" s="47"/>
      <c r="D2000" s="47"/>
      <c r="E2000" s="47"/>
      <c r="F2000" s="47"/>
      <c r="G2000" s="47"/>
      <c r="H2000" s="47"/>
      <c r="I2000" s="47"/>
      <c r="J2000" s="47"/>
      <c r="K2000" s="59"/>
      <c r="L2000" s="59"/>
      <c r="M2000" s="47"/>
    </row>
    <row r="2001" customHeight="1" spans="1:13">
      <c r="A2001" s="47"/>
      <c r="B2001" s="47"/>
      <c r="C2001" s="47"/>
      <c r="D2001" s="47"/>
      <c r="E2001" s="47"/>
      <c r="F2001" s="47"/>
      <c r="G2001" s="47"/>
      <c r="H2001" s="47"/>
      <c r="I2001" s="47"/>
      <c r="J2001" s="47"/>
      <c r="K2001" s="59"/>
      <c r="L2001" s="59"/>
      <c r="M2001" s="47"/>
    </row>
    <row r="2002" customHeight="1" spans="1:13">
      <c r="A2002" s="47"/>
      <c r="B2002" s="47"/>
      <c r="C2002" s="47"/>
      <c r="D2002" s="47"/>
      <c r="E2002" s="47"/>
      <c r="F2002" s="47"/>
      <c r="G2002" s="47"/>
      <c r="H2002" s="47"/>
      <c r="I2002" s="47"/>
      <c r="J2002" s="47"/>
      <c r="K2002" s="59"/>
      <c r="L2002" s="59"/>
      <c r="M2002" s="47"/>
    </row>
    <row r="2003" customHeight="1" spans="1:13">
      <c r="A2003" s="47"/>
      <c r="B2003" s="47"/>
      <c r="C2003" s="47"/>
      <c r="D2003" s="47"/>
      <c r="E2003" s="47"/>
      <c r="F2003" s="47"/>
      <c r="G2003" s="47"/>
      <c r="H2003" s="47"/>
      <c r="I2003" s="47"/>
      <c r="J2003" s="47"/>
      <c r="K2003" s="59"/>
      <c r="L2003" s="59"/>
      <c r="M2003" s="47"/>
    </row>
    <row r="2004" customHeight="1" spans="1:13">
      <c r="A2004" s="47"/>
      <c r="B2004" s="47"/>
      <c r="C2004" s="47"/>
      <c r="D2004" s="47"/>
      <c r="E2004" s="47"/>
      <c r="F2004" s="47"/>
      <c r="G2004" s="47"/>
      <c r="H2004" s="47"/>
      <c r="I2004" s="47"/>
      <c r="J2004" s="47"/>
      <c r="K2004" s="59"/>
      <c r="L2004" s="59"/>
      <c r="M2004" s="47"/>
    </row>
    <row r="2005" customHeight="1" spans="1:13">
      <c r="A2005" s="47"/>
      <c r="B2005" s="47"/>
      <c r="C2005" s="47"/>
      <c r="D2005" s="47"/>
      <c r="E2005" s="47"/>
      <c r="F2005" s="47"/>
      <c r="G2005" s="47"/>
      <c r="H2005" s="47"/>
      <c r="I2005" s="47"/>
      <c r="J2005" s="47"/>
      <c r="K2005" s="59"/>
      <c r="L2005" s="59"/>
      <c r="M2005" s="47"/>
    </row>
    <row r="2006" customHeight="1" spans="1:13">
      <c r="A2006" s="47"/>
      <c r="B2006" s="47"/>
      <c r="C2006" s="47"/>
      <c r="D2006" s="47"/>
      <c r="E2006" s="47"/>
      <c r="F2006" s="47"/>
      <c r="G2006" s="47"/>
      <c r="H2006" s="47"/>
      <c r="I2006" s="47"/>
      <c r="J2006" s="47"/>
      <c r="K2006" s="59"/>
      <c r="L2006" s="59"/>
      <c r="M2006" s="47"/>
    </row>
    <row r="2007" customHeight="1" spans="1:13">
      <c r="A2007" s="47"/>
      <c r="B2007" s="47"/>
      <c r="C2007" s="47"/>
      <c r="D2007" s="47"/>
      <c r="E2007" s="47"/>
      <c r="F2007" s="47"/>
      <c r="G2007" s="47"/>
      <c r="H2007" s="47"/>
      <c r="I2007" s="47"/>
      <c r="J2007" s="47"/>
      <c r="K2007" s="59"/>
      <c r="L2007" s="59"/>
      <c r="M2007" s="47"/>
    </row>
    <row r="2008" customHeight="1" spans="1:13">
      <c r="A2008" s="47"/>
      <c r="B2008" s="47"/>
      <c r="C2008" s="47"/>
      <c r="D2008" s="47"/>
      <c r="E2008" s="47"/>
      <c r="F2008" s="47"/>
      <c r="G2008" s="47"/>
      <c r="H2008" s="47"/>
      <c r="I2008" s="47"/>
      <c r="J2008" s="47"/>
      <c r="K2008" s="59"/>
      <c r="L2008" s="59"/>
      <c r="M2008" s="47"/>
    </row>
    <row r="2009" customHeight="1" spans="1:13">
      <c r="A2009" s="47"/>
      <c r="B2009" s="47"/>
      <c r="C2009" s="47"/>
      <c r="D2009" s="47"/>
      <c r="E2009" s="47"/>
      <c r="F2009" s="47"/>
      <c r="G2009" s="47"/>
      <c r="H2009" s="47"/>
      <c r="I2009" s="47"/>
      <c r="J2009" s="47"/>
      <c r="K2009" s="59"/>
      <c r="L2009" s="59"/>
      <c r="M2009" s="47"/>
    </row>
    <row r="2010" customHeight="1" spans="1:13">
      <c r="A2010" s="47"/>
      <c r="B2010" s="47"/>
      <c r="C2010" s="47"/>
      <c r="D2010" s="47"/>
      <c r="E2010" s="47"/>
      <c r="F2010" s="47"/>
      <c r="G2010" s="47"/>
      <c r="H2010" s="47"/>
      <c r="I2010" s="47"/>
      <c r="J2010" s="47"/>
      <c r="K2010" s="59"/>
      <c r="L2010" s="59"/>
      <c r="M2010" s="47"/>
    </row>
    <row r="2011" customHeight="1" spans="1:13">
      <c r="A2011" s="47"/>
      <c r="B2011" s="47"/>
      <c r="C2011" s="47"/>
      <c r="D2011" s="47"/>
      <c r="E2011" s="47"/>
      <c r="F2011" s="47"/>
      <c r="G2011" s="47"/>
      <c r="H2011" s="47"/>
      <c r="I2011" s="47"/>
      <c r="J2011" s="47"/>
      <c r="K2011" s="59"/>
      <c r="L2011" s="59"/>
      <c r="M2011" s="47"/>
    </row>
    <row r="2012" customHeight="1" spans="1:13">
      <c r="A2012" s="47"/>
      <c r="B2012" s="47"/>
      <c r="C2012" s="47"/>
      <c r="D2012" s="47"/>
      <c r="E2012" s="47"/>
      <c r="F2012" s="47"/>
      <c r="G2012" s="47"/>
      <c r="H2012" s="47"/>
      <c r="I2012" s="47"/>
      <c r="J2012" s="47"/>
      <c r="K2012" s="59"/>
      <c r="L2012" s="59"/>
      <c r="M2012" s="47"/>
    </row>
    <row r="2013" customHeight="1" spans="1:13">
      <c r="A2013" s="47"/>
      <c r="B2013" s="47"/>
      <c r="C2013" s="47"/>
      <c r="D2013" s="47"/>
      <c r="E2013" s="47"/>
      <c r="F2013" s="47"/>
      <c r="G2013" s="47"/>
      <c r="H2013" s="47"/>
      <c r="I2013" s="47"/>
      <c r="J2013" s="47"/>
      <c r="K2013" s="59"/>
      <c r="L2013" s="59"/>
      <c r="M2013" s="47"/>
    </row>
    <row r="2014" customHeight="1" spans="1:13">
      <c r="A2014" s="47"/>
      <c r="B2014" s="47"/>
      <c r="C2014" s="47"/>
      <c r="D2014" s="47"/>
      <c r="E2014" s="47"/>
      <c r="F2014" s="47"/>
      <c r="G2014" s="47"/>
      <c r="H2014" s="47"/>
      <c r="I2014" s="47"/>
      <c r="J2014" s="47"/>
      <c r="K2014" s="59"/>
      <c r="L2014" s="59"/>
      <c r="M2014" s="47"/>
    </row>
    <row r="2015" customHeight="1" spans="1:13">
      <c r="A2015" s="47"/>
      <c r="B2015" s="47"/>
      <c r="C2015" s="47"/>
      <c r="D2015" s="47"/>
      <c r="E2015" s="47"/>
      <c r="F2015" s="47"/>
      <c r="G2015" s="47"/>
      <c r="H2015" s="47"/>
      <c r="I2015" s="47"/>
      <c r="J2015" s="47"/>
      <c r="K2015" s="59"/>
      <c r="L2015" s="59"/>
      <c r="M2015" s="47"/>
    </row>
    <row r="2016" customHeight="1" spans="1:13">
      <c r="A2016" s="47"/>
      <c r="B2016" s="47"/>
      <c r="C2016" s="47"/>
      <c r="D2016" s="47"/>
      <c r="E2016" s="47"/>
      <c r="F2016" s="47"/>
      <c r="G2016" s="47"/>
      <c r="H2016" s="47"/>
      <c r="I2016" s="47"/>
      <c r="J2016" s="47"/>
      <c r="K2016" s="59"/>
      <c r="L2016" s="59"/>
      <c r="M2016" s="47"/>
    </row>
    <row r="2017" customHeight="1" spans="1:13">
      <c r="A2017" s="47"/>
      <c r="B2017" s="47"/>
      <c r="C2017" s="47"/>
      <c r="D2017" s="47"/>
      <c r="E2017" s="47"/>
      <c r="F2017" s="47"/>
      <c r="G2017" s="47"/>
      <c r="H2017" s="47"/>
      <c r="I2017" s="47"/>
      <c r="J2017" s="47"/>
      <c r="K2017" s="59"/>
      <c r="L2017" s="59"/>
      <c r="M2017" s="47"/>
    </row>
    <row r="2018" customHeight="1" spans="1:13">
      <c r="A2018" s="47"/>
      <c r="B2018" s="47"/>
      <c r="C2018" s="47"/>
      <c r="D2018" s="47"/>
      <c r="E2018" s="47"/>
      <c r="F2018" s="47"/>
      <c r="G2018" s="47"/>
      <c r="H2018" s="47"/>
      <c r="I2018" s="47"/>
      <c r="J2018" s="47"/>
      <c r="K2018" s="59"/>
      <c r="L2018" s="59"/>
      <c r="M2018" s="47"/>
    </row>
    <row r="2019" customHeight="1" spans="1:13">
      <c r="A2019" s="47"/>
      <c r="B2019" s="47"/>
      <c r="C2019" s="47"/>
      <c r="D2019" s="47"/>
      <c r="E2019" s="47"/>
      <c r="F2019" s="47"/>
      <c r="G2019" s="47"/>
      <c r="H2019" s="47"/>
      <c r="I2019" s="47"/>
      <c r="J2019" s="47"/>
      <c r="K2019" s="59"/>
      <c r="L2019" s="59"/>
      <c r="M2019" s="47"/>
    </row>
    <row r="2020" customHeight="1" spans="1:13">
      <c r="A2020" s="47"/>
      <c r="B2020" s="47"/>
      <c r="C2020" s="47"/>
      <c r="D2020" s="47"/>
      <c r="E2020" s="47"/>
      <c r="F2020" s="47"/>
      <c r="G2020" s="47"/>
      <c r="H2020" s="47"/>
      <c r="I2020" s="47"/>
      <c r="J2020" s="47"/>
      <c r="K2020" s="59"/>
      <c r="L2020" s="59"/>
      <c r="M2020" s="47"/>
    </row>
    <row r="2021" customHeight="1" spans="1:13">
      <c r="A2021" s="47"/>
      <c r="B2021" s="47"/>
      <c r="C2021" s="47"/>
      <c r="D2021" s="47"/>
      <c r="E2021" s="47"/>
      <c r="F2021" s="47"/>
      <c r="G2021" s="47"/>
      <c r="H2021" s="47"/>
      <c r="I2021" s="47"/>
      <c r="J2021" s="47"/>
      <c r="K2021" s="59"/>
      <c r="L2021" s="59"/>
      <c r="M2021" s="47"/>
    </row>
    <row r="2022" customHeight="1" spans="1:13">
      <c r="A2022" s="47"/>
      <c r="B2022" s="47"/>
      <c r="C2022" s="47"/>
      <c r="D2022" s="47"/>
      <c r="E2022" s="47"/>
      <c r="F2022" s="47"/>
      <c r="G2022" s="47"/>
      <c r="H2022" s="47"/>
      <c r="I2022" s="47"/>
      <c r="J2022" s="47"/>
      <c r="K2022" s="59"/>
      <c r="L2022" s="59"/>
      <c r="M2022" s="47"/>
    </row>
    <row r="2023" customHeight="1" spans="1:13">
      <c r="A2023" s="47"/>
      <c r="B2023" s="47"/>
      <c r="C2023" s="47"/>
      <c r="D2023" s="47"/>
      <c r="E2023" s="47"/>
      <c r="F2023" s="47"/>
      <c r="G2023" s="47"/>
      <c r="H2023" s="47"/>
      <c r="I2023" s="47"/>
      <c r="J2023" s="47"/>
      <c r="K2023" s="59"/>
      <c r="L2023" s="59"/>
      <c r="M2023" s="47"/>
    </row>
    <row r="2024" customHeight="1" spans="1:13">
      <c r="A2024" s="47"/>
      <c r="B2024" s="47"/>
      <c r="C2024" s="47"/>
      <c r="D2024" s="47"/>
      <c r="E2024" s="47"/>
      <c r="F2024" s="47"/>
      <c r="G2024" s="47"/>
      <c r="H2024" s="47"/>
      <c r="I2024" s="47"/>
      <c r="J2024" s="47"/>
      <c r="K2024" s="59"/>
      <c r="L2024" s="59"/>
      <c r="M2024" s="47"/>
    </row>
    <row r="2025" customHeight="1" spans="1:13">
      <c r="A2025" s="47"/>
      <c r="B2025" s="47"/>
      <c r="C2025" s="47"/>
      <c r="D2025" s="47"/>
      <c r="E2025" s="47"/>
      <c r="F2025" s="47"/>
      <c r="G2025" s="47"/>
      <c r="H2025" s="47"/>
      <c r="I2025" s="47"/>
      <c r="J2025" s="47"/>
      <c r="K2025" s="59"/>
      <c r="L2025" s="59"/>
      <c r="M2025" s="47"/>
    </row>
    <row r="2026" customHeight="1" spans="1:13">
      <c r="A2026" s="47"/>
      <c r="B2026" s="47"/>
      <c r="C2026" s="47"/>
      <c r="D2026" s="47"/>
      <c r="E2026" s="47"/>
      <c r="F2026" s="47"/>
      <c r="G2026" s="47"/>
      <c r="H2026" s="47"/>
      <c r="I2026" s="47"/>
      <c r="J2026" s="47"/>
      <c r="K2026" s="59"/>
      <c r="L2026" s="59"/>
      <c r="M2026" s="47"/>
    </row>
    <row r="2027" customHeight="1" spans="1:13">
      <c r="A2027" s="47"/>
      <c r="B2027" s="47"/>
      <c r="C2027" s="47"/>
      <c r="D2027" s="47"/>
      <c r="E2027" s="47"/>
      <c r="F2027" s="47"/>
      <c r="G2027" s="47"/>
      <c r="H2027" s="47"/>
      <c r="I2027" s="47"/>
      <c r="J2027" s="47"/>
      <c r="K2027" s="59"/>
      <c r="L2027" s="59"/>
      <c r="M2027" s="47"/>
    </row>
    <row r="2028" customHeight="1" spans="1:13">
      <c r="A2028" s="47"/>
      <c r="B2028" s="47"/>
      <c r="C2028" s="47"/>
      <c r="D2028" s="47"/>
      <c r="E2028" s="47"/>
      <c r="F2028" s="47"/>
      <c r="G2028" s="47"/>
      <c r="H2028" s="47"/>
      <c r="I2028" s="47"/>
      <c r="J2028" s="47"/>
      <c r="K2028" s="59"/>
      <c r="L2028" s="59"/>
      <c r="M2028" s="47"/>
    </row>
    <row r="2029" customHeight="1" spans="1:13">
      <c r="A2029" s="47"/>
      <c r="B2029" s="47"/>
      <c r="C2029" s="47"/>
      <c r="D2029" s="47"/>
      <c r="E2029" s="47"/>
      <c r="F2029" s="47"/>
      <c r="G2029" s="47"/>
      <c r="H2029" s="47"/>
      <c r="I2029" s="47"/>
      <c r="J2029" s="47"/>
      <c r="K2029" s="59"/>
      <c r="L2029" s="59"/>
      <c r="M2029" s="47"/>
    </row>
    <row r="2030" customHeight="1" spans="1:13">
      <c r="A2030" s="47"/>
      <c r="B2030" s="47"/>
      <c r="C2030" s="47"/>
      <c r="D2030" s="47"/>
      <c r="E2030" s="47"/>
      <c r="F2030" s="47"/>
      <c r="G2030" s="47"/>
      <c r="H2030" s="47"/>
      <c r="I2030" s="47"/>
      <c r="J2030" s="47"/>
      <c r="K2030" s="59"/>
      <c r="L2030" s="59"/>
      <c r="M2030" s="47"/>
    </row>
    <row r="2031" customHeight="1" spans="1:13">
      <c r="A2031" s="47"/>
      <c r="B2031" s="47"/>
      <c r="C2031" s="47"/>
      <c r="D2031" s="47"/>
      <c r="E2031" s="47"/>
      <c r="F2031" s="47"/>
      <c r="G2031" s="47"/>
      <c r="H2031" s="47"/>
      <c r="I2031" s="47"/>
      <c r="J2031" s="47"/>
      <c r="K2031" s="59"/>
      <c r="L2031" s="59"/>
      <c r="M2031" s="47"/>
    </row>
    <row r="2032" customHeight="1" spans="1:13">
      <c r="A2032" s="47"/>
      <c r="B2032" s="47"/>
      <c r="C2032" s="47"/>
      <c r="D2032" s="47"/>
      <c r="E2032" s="47"/>
      <c r="F2032" s="47"/>
      <c r="G2032" s="47"/>
      <c r="H2032" s="47"/>
      <c r="I2032" s="47"/>
      <c r="J2032" s="47"/>
      <c r="K2032" s="59"/>
      <c r="L2032" s="59"/>
      <c r="M2032" s="47"/>
    </row>
    <row r="2033" customHeight="1" spans="1:13">
      <c r="A2033" s="47"/>
      <c r="B2033" s="47"/>
      <c r="C2033" s="47"/>
      <c r="D2033" s="47"/>
      <c r="E2033" s="47"/>
      <c r="F2033" s="47"/>
      <c r="G2033" s="47"/>
      <c r="H2033" s="47"/>
      <c r="I2033" s="47"/>
      <c r="J2033" s="47"/>
      <c r="K2033" s="59"/>
      <c r="L2033" s="59"/>
      <c r="M2033" s="47"/>
    </row>
    <row r="2034" customHeight="1" spans="1:13">
      <c r="A2034" s="47"/>
      <c r="B2034" s="47"/>
      <c r="C2034" s="47"/>
      <c r="D2034" s="47"/>
      <c r="E2034" s="47"/>
      <c r="F2034" s="47"/>
      <c r="G2034" s="47"/>
      <c r="H2034" s="47"/>
      <c r="I2034" s="47"/>
      <c r="J2034" s="47"/>
      <c r="K2034" s="59"/>
      <c r="L2034" s="59"/>
      <c r="M2034" s="47"/>
    </row>
    <row r="2035" customHeight="1" spans="1:13">
      <c r="A2035" s="47"/>
      <c r="B2035" s="47"/>
      <c r="C2035" s="47"/>
      <c r="D2035" s="47"/>
      <c r="E2035" s="47"/>
      <c r="F2035" s="47"/>
      <c r="G2035" s="47"/>
      <c r="H2035" s="47"/>
      <c r="I2035" s="47"/>
      <c r="J2035" s="47"/>
      <c r="K2035" s="59"/>
      <c r="L2035" s="59"/>
      <c r="M2035" s="47"/>
    </row>
    <row r="2036" customHeight="1" spans="1:13">
      <c r="A2036" s="47"/>
      <c r="B2036" s="47"/>
      <c r="C2036" s="47"/>
      <c r="D2036" s="47"/>
      <c r="E2036" s="47"/>
      <c r="F2036" s="47"/>
      <c r="G2036" s="47"/>
      <c r="H2036" s="47"/>
      <c r="I2036" s="47"/>
      <c r="J2036" s="47"/>
      <c r="K2036" s="59"/>
      <c r="L2036" s="59"/>
      <c r="M2036" s="47"/>
    </row>
    <row r="2037" customHeight="1" spans="1:13">
      <c r="A2037" s="47"/>
      <c r="B2037" s="47"/>
      <c r="C2037" s="47"/>
      <c r="D2037" s="47"/>
      <c r="E2037" s="47"/>
      <c r="F2037" s="47"/>
      <c r="G2037" s="47"/>
      <c r="H2037" s="47"/>
      <c r="I2037" s="47"/>
      <c r="J2037" s="47"/>
      <c r="K2037" s="59"/>
      <c r="L2037" s="59"/>
      <c r="M2037" s="47"/>
    </row>
    <row r="2038" customHeight="1" spans="1:13">
      <c r="A2038" s="47"/>
      <c r="B2038" s="47"/>
      <c r="C2038" s="47"/>
      <c r="D2038" s="47"/>
      <c r="E2038" s="47"/>
      <c r="F2038" s="47"/>
      <c r="G2038" s="47"/>
      <c r="H2038" s="47"/>
      <c r="I2038" s="47"/>
      <c r="J2038" s="47"/>
      <c r="K2038" s="59"/>
      <c r="L2038" s="59"/>
      <c r="M2038" s="47"/>
    </row>
    <row r="2039" customHeight="1" spans="1:13">
      <c r="A2039" s="47"/>
      <c r="B2039" s="47"/>
      <c r="C2039" s="47"/>
      <c r="D2039" s="47"/>
      <c r="E2039" s="47"/>
      <c r="F2039" s="47"/>
      <c r="G2039" s="47"/>
      <c r="H2039" s="47"/>
      <c r="I2039" s="47"/>
      <c r="J2039" s="47"/>
      <c r="K2039" s="59"/>
      <c r="L2039" s="59"/>
      <c r="M2039" s="47"/>
    </row>
    <row r="2040" customHeight="1" spans="1:13">
      <c r="A2040" s="47"/>
      <c r="B2040" s="47"/>
      <c r="C2040" s="47"/>
      <c r="D2040" s="47"/>
      <c r="E2040" s="47"/>
      <c r="F2040" s="47"/>
      <c r="G2040" s="47"/>
      <c r="H2040" s="47"/>
      <c r="I2040" s="47"/>
      <c r="J2040" s="47"/>
      <c r="K2040" s="59"/>
      <c r="L2040" s="59"/>
      <c r="M2040" s="47"/>
    </row>
    <row r="2041" customHeight="1" spans="1:13">
      <c r="A2041" s="47"/>
      <c r="B2041" s="47"/>
      <c r="C2041" s="47"/>
      <c r="D2041" s="47"/>
      <c r="E2041" s="47"/>
      <c r="F2041" s="47"/>
      <c r="G2041" s="47"/>
      <c r="H2041" s="47"/>
      <c r="I2041" s="47"/>
      <c r="J2041" s="47"/>
      <c r="K2041" s="59"/>
      <c r="L2041" s="59"/>
      <c r="M2041" s="47"/>
    </row>
    <row r="2042" customHeight="1" spans="1:13">
      <c r="A2042" s="47"/>
      <c r="B2042" s="47"/>
      <c r="C2042" s="47"/>
      <c r="D2042" s="47"/>
      <c r="E2042" s="47"/>
      <c r="F2042" s="47"/>
      <c r="G2042" s="47"/>
      <c r="H2042" s="47"/>
      <c r="I2042" s="47"/>
      <c r="J2042" s="47"/>
      <c r="K2042" s="59"/>
      <c r="L2042" s="59"/>
      <c r="M2042" s="47"/>
    </row>
    <row r="2043" customHeight="1" spans="1:13">
      <c r="A2043" s="47"/>
      <c r="B2043" s="47"/>
      <c r="C2043" s="47"/>
      <c r="D2043" s="47"/>
      <c r="E2043" s="47"/>
      <c r="F2043" s="47"/>
      <c r="G2043" s="47"/>
      <c r="H2043" s="47"/>
      <c r="I2043" s="47"/>
      <c r="J2043" s="47"/>
      <c r="K2043" s="59"/>
      <c r="L2043" s="59"/>
      <c r="M2043" s="47"/>
    </row>
    <row r="2044" customHeight="1" spans="1:13">
      <c r="A2044" s="47"/>
      <c r="B2044" s="47"/>
      <c r="C2044" s="47"/>
      <c r="D2044" s="47"/>
      <c r="E2044" s="47"/>
      <c r="F2044" s="47"/>
      <c r="G2044" s="47"/>
      <c r="H2044" s="47"/>
      <c r="I2044" s="47"/>
      <c r="J2044" s="47"/>
      <c r="K2044" s="59"/>
      <c r="L2044" s="59"/>
      <c r="M2044" s="47"/>
    </row>
    <row r="2045" customHeight="1" spans="1:13">
      <c r="A2045" s="47"/>
      <c r="B2045" s="47"/>
      <c r="C2045" s="47"/>
      <c r="D2045" s="47"/>
      <c r="E2045" s="47"/>
      <c r="F2045" s="47"/>
      <c r="G2045" s="47"/>
      <c r="H2045" s="47"/>
      <c r="I2045" s="47"/>
      <c r="J2045" s="47"/>
      <c r="K2045" s="59"/>
      <c r="L2045" s="59"/>
      <c r="M2045" s="47"/>
    </row>
    <row r="2046" customHeight="1" spans="1:13">
      <c r="A2046" s="47"/>
      <c r="B2046" s="47"/>
      <c r="C2046" s="47"/>
      <c r="D2046" s="47"/>
      <c r="E2046" s="47"/>
      <c r="F2046" s="47"/>
      <c r="G2046" s="47"/>
      <c r="H2046" s="47"/>
      <c r="I2046" s="47"/>
      <c r="J2046" s="47"/>
      <c r="K2046" s="59"/>
      <c r="L2046" s="59"/>
      <c r="M2046" s="47"/>
    </row>
    <row r="2047" customHeight="1" spans="1:13">
      <c r="A2047" s="47"/>
      <c r="B2047" s="47"/>
      <c r="C2047" s="47"/>
      <c r="D2047" s="47"/>
      <c r="E2047" s="47"/>
      <c r="F2047" s="47"/>
      <c r="G2047" s="47"/>
      <c r="H2047" s="47"/>
      <c r="I2047" s="47"/>
      <c r="J2047" s="47"/>
      <c r="K2047" s="59"/>
      <c r="L2047" s="59"/>
      <c r="M2047" s="47"/>
    </row>
    <row r="2048" customHeight="1" spans="1:13">
      <c r="A2048" s="47"/>
      <c r="B2048" s="47"/>
      <c r="C2048" s="47"/>
      <c r="D2048" s="47"/>
      <c r="E2048" s="47"/>
      <c r="F2048" s="47"/>
      <c r="G2048" s="47"/>
      <c r="H2048" s="47"/>
      <c r="I2048" s="47"/>
      <c r="J2048" s="47"/>
      <c r="K2048" s="59"/>
      <c r="L2048" s="59"/>
      <c r="M2048" s="47"/>
    </row>
    <row r="2049" customHeight="1" spans="1:13">
      <c r="A2049" s="47"/>
      <c r="B2049" s="47"/>
      <c r="C2049" s="47"/>
      <c r="D2049" s="47"/>
      <c r="E2049" s="47"/>
      <c r="F2049" s="47"/>
      <c r="G2049" s="47"/>
      <c r="H2049" s="47"/>
      <c r="I2049" s="47"/>
      <c r="J2049" s="47"/>
      <c r="K2049" s="59"/>
      <c r="L2049" s="59"/>
      <c r="M2049" s="47"/>
    </row>
    <row r="2050" customHeight="1" spans="1:13">
      <c r="A2050" s="47"/>
      <c r="B2050" s="47"/>
      <c r="C2050" s="47"/>
      <c r="D2050" s="47"/>
      <c r="E2050" s="47"/>
      <c r="F2050" s="47"/>
      <c r="G2050" s="47"/>
      <c r="H2050" s="47"/>
      <c r="I2050" s="47"/>
      <c r="J2050" s="47"/>
      <c r="K2050" s="59"/>
      <c r="L2050" s="59"/>
      <c r="M2050" s="47"/>
    </row>
    <row r="2051" customHeight="1" spans="1:13">
      <c r="A2051" s="47"/>
      <c r="B2051" s="47"/>
      <c r="C2051" s="47"/>
      <c r="D2051" s="47"/>
      <c r="E2051" s="47"/>
      <c r="F2051" s="47"/>
      <c r="G2051" s="47"/>
      <c r="H2051" s="47"/>
      <c r="I2051" s="47"/>
      <c r="J2051" s="47"/>
      <c r="K2051" s="59"/>
      <c r="L2051" s="59"/>
      <c r="M2051" s="47"/>
    </row>
    <row r="2052" customHeight="1" spans="1:13">
      <c r="A2052" s="47"/>
      <c r="B2052" s="47"/>
      <c r="C2052" s="47"/>
      <c r="D2052" s="47"/>
      <c r="E2052" s="47"/>
      <c r="F2052" s="47"/>
      <c r="G2052" s="47"/>
      <c r="H2052" s="47"/>
      <c r="I2052" s="47"/>
      <c r="J2052" s="47"/>
      <c r="K2052" s="59"/>
      <c r="L2052" s="59"/>
      <c r="M2052" s="47"/>
    </row>
    <row r="2053" customHeight="1" spans="1:13">
      <c r="A2053" s="47"/>
      <c r="B2053" s="47"/>
      <c r="C2053" s="47"/>
      <c r="D2053" s="47"/>
      <c r="E2053" s="47"/>
      <c r="F2053" s="47"/>
      <c r="G2053" s="47"/>
      <c r="H2053" s="47"/>
      <c r="I2053" s="47"/>
      <c r="J2053" s="47"/>
      <c r="K2053" s="59"/>
      <c r="L2053" s="59"/>
      <c r="M2053" s="47"/>
    </row>
    <row r="2054" customHeight="1" spans="1:13">
      <c r="A2054" s="47"/>
      <c r="B2054" s="47"/>
      <c r="C2054" s="47"/>
      <c r="D2054" s="47"/>
      <c r="E2054" s="47"/>
      <c r="F2054" s="47"/>
      <c r="G2054" s="47"/>
      <c r="H2054" s="47"/>
      <c r="I2054" s="47"/>
      <c r="J2054" s="47"/>
      <c r="K2054" s="59"/>
      <c r="L2054" s="59"/>
      <c r="M2054" s="47"/>
    </row>
    <row r="2055" customHeight="1" spans="1:13">
      <c r="A2055" s="47"/>
      <c r="B2055" s="47"/>
      <c r="C2055" s="47"/>
      <c r="D2055" s="47"/>
      <c r="E2055" s="47"/>
      <c r="F2055" s="47"/>
      <c r="G2055" s="47"/>
      <c r="H2055" s="47"/>
      <c r="I2055" s="47"/>
      <c r="J2055" s="47"/>
      <c r="K2055" s="59"/>
      <c r="L2055" s="59"/>
      <c r="M2055" s="47"/>
    </row>
    <row r="2056" customHeight="1" spans="1:13">
      <c r="A2056" s="47"/>
      <c r="B2056" s="47"/>
      <c r="C2056" s="47"/>
      <c r="D2056" s="47"/>
      <c r="E2056" s="47"/>
      <c r="F2056" s="47"/>
      <c r="G2056" s="47"/>
      <c r="H2056" s="47"/>
      <c r="I2056" s="47"/>
      <c r="J2056" s="47"/>
      <c r="K2056" s="59"/>
      <c r="L2056" s="59"/>
      <c r="M2056" s="47"/>
    </row>
    <row r="2057" customHeight="1" spans="1:13">
      <c r="A2057" s="47"/>
      <c r="B2057" s="47"/>
      <c r="C2057" s="47"/>
      <c r="D2057" s="47"/>
      <c r="E2057" s="47"/>
      <c r="F2057" s="47"/>
      <c r="G2057" s="47"/>
      <c r="H2057" s="47"/>
      <c r="I2057" s="47"/>
      <c r="J2057" s="47"/>
      <c r="K2057" s="59"/>
      <c r="L2057" s="59"/>
      <c r="M2057" s="47"/>
    </row>
    <row r="2058" customHeight="1" spans="1:13">
      <c r="A2058" s="47"/>
      <c r="B2058" s="47"/>
      <c r="C2058" s="47"/>
      <c r="D2058" s="47"/>
      <c r="E2058" s="47"/>
      <c r="F2058" s="47"/>
      <c r="G2058" s="47"/>
      <c r="H2058" s="47"/>
      <c r="I2058" s="47"/>
      <c r="J2058" s="47"/>
      <c r="K2058" s="59"/>
      <c r="L2058" s="59"/>
      <c r="M2058" s="47"/>
    </row>
    <row r="2059" customHeight="1" spans="1:13">
      <c r="A2059" s="47"/>
      <c r="B2059" s="47"/>
      <c r="C2059" s="47"/>
      <c r="D2059" s="47"/>
      <c r="E2059" s="47"/>
      <c r="F2059" s="47"/>
      <c r="G2059" s="47"/>
      <c r="H2059" s="47"/>
      <c r="I2059" s="47"/>
      <c r="J2059" s="47"/>
      <c r="K2059" s="59"/>
      <c r="L2059" s="59"/>
      <c r="M2059" s="47"/>
    </row>
    <row r="2060" customHeight="1" spans="1:13">
      <c r="A2060" s="47"/>
      <c r="B2060" s="47"/>
      <c r="C2060" s="47"/>
      <c r="D2060" s="47"/>
      <c r="E2060" s="47"/>
      <c r="F2060" s="47"/>
      <c r="G2060" s="47"/>
      <c r="H2060" s="47"/>
      <c r="I2060" s="47"/>
      <c r="J2060" s="47"/>
      <c r="K2060" s="59"/>
      <c r="L2060" s="59"/>
      <c r="M2060" s="47"/>
    </row>
    <row r="2061" customHeight="1" spans="1:13">
      <c r="A2061" s="47"/>
      <c r="B2061" s="47"/>
      <c r="C2061" s="47"/>
      <c r="D2061" s="47"/>
      <c r="E2061" s="47"/>
      <c r="F2061" s="47"/>
      <c r="G2061" s="47"/>
      <c r="H2061" s="47"/>
      <c r="I2061" s="47"/>
      <c r="J2061" s="47"/>
      <c r="K2061" s="59"/>
      <c r="L2061" s="59"/>
      <c r="M2061" s="47"/>
    </row>
    <row r="2062" customHeight="1" spans="1:13">
      <c r="A2062" s="47"/>
      <c r="B2062" s="47"/>
      <c r="C2062" s="47"/>
      <c r="D2062" s="47"/>
      <c r="E2062" s="47"/>
      <c r="F2062" s="47"/>
      <c r="G2062" s="47"/>
      <c r="H2062" s="47"/>
      <c r="I2062" s="47"/>
      <c r="J2062" s="47"/>
      <c r="K2062" s="59"/>
      <c r="L2062" s="59"/>
      <c r="M2062" s="47"/>
    </row>
    <row r="2063" customHeight="1" spans="1:13">
      <c r="A2063" s="47"/>
      <c r="B2063" s="47"/>
      <c r="C2063" s="47"/>
      <c r="D2063" s="47"/>
      <c r="E2063" s="47"/>
      <c r="F2063" s="47"/>
      <c r="G2063" s="47"/>
      <c r="H2063" s="47"/>
      <c r="I2063" s="47"/>
      <c r="J2063" s="47"/>
      <c r="K2063" s="59"/>
      <c r="L2063" s="59"/>
      <c r="M2063" s="47"/>
    </row>
    <row r="2064" customHeight="1" spans="1:13">
      <c r="A2064" s="47"/>
      <c r="B2064" s="47"/>
      <c r="C2064" s="47"/>
      <c r="D2064" s="47"/>
      <c r="E2064" s="47"/>
      <c r="F2064" s="47"/>
      <c r="G2064" s="47"/>
      <c r="H2064" s="47"/>
      <c r="I2064" s="47"/>
      <c r="J2064" s="47"/>
      <c r="K2064" s="59"/>
      <c r="L2064" s="59"/>
      <c r="M2064" s="47"/>
    </row>
    <row r="2065" customHeight="1" spans="1:13">
      <c r="A2065" s="47"/>
      <c r="B2065" s="47"/>
      <c r="C2065" s="47"/>
      <c r="D2065" s="47"/>
      <c r="E2065" s="47"/>
      <c r="F2065" s="47"/>
      <c r="G2065" s="47"/>
      <c r="H2065" s="47"/>
      <c r="I2065" s="47"/>
      <c r="J2065" s="47"/>
      <c r="K2065" s="59"/>
      <c r="L2065" s="59"/>
      <c r="M2065" s="47"/>
    </row>
    <row r="2066" customHeight="1" spans="1:13">
      <c r="A2066" s="47"/>
      <c r="B2066" s="47"/>
      <c r="C2066" s="47"/>
      <c r="D2066" s="47"/>
      <c r="E2066" s="47"/>
      <c r="F2066" s="47"/>
      <c r="G2066" s="47"/>
      <c r="H2066" s="47"/>
      <c r="I2066" s="47"/>
      <c r="J2066" s="47"/>
      <c r="K2066" s="59"/>
      <c r="L2066" s="59"/>
      <c r="M2066" s="47"/>
    </row>
    <row r="2067" customHeight="1" spans="1:13">
      <c r="A2067" s="47"/>
      <c r="B2067" s="47"/>
      <c r="C2067" s="47"/>
      <c r="D2067" s="47"/>
      <c r="E2067" s="47"/>
      <c r="F2067" s="47"/>
      <c r="G2067" s="47"/>
      <c r="H2067" s="47"/>
      <c r="I2067" s="47"/>
      <c r="J2067" s="47"/>
      <c r="K2067" s="59"/>
      <c r="L2067" s="59"/>
      <c r="M2067" s="47"/>
    </row>
    <row r="2068" customHeight="1" spans="1:13">
      <c r="A2068" s="47"/>
      <c r="B2068" s="47"/>
      <c r="C2068" s="47"/>
      <c r="D2068" s="47"/>
      <c r="E2068" s="47"/>
      <c r="F2068" s="47"/>
      <c r="G2068" s="47"/>
      <c r="H2068" s="47"/>
      <c r="I2068" s="47"/>
      <c r="J2068" s="47"/>
      <c r="K2068" s="59"/>
      <c r="L2068" s="59"/>
      <c r="M2068" s="47"/>
    </row>
    <row r="2069" customHeight="1" spans="1:13">
      <c r="A2069" s="47"/>
      <c r="B2069" s="47"/>
      <c r="C2069" s="47"/>
      <c r="D2069" s="47"/>
      <c r="E2069" s="47"/>
      <c r="F2069" s="47"/>
      <c r="G2069" s="47"/>
      <c r="H2069" s="47"/>
      <c r="I2069" s="47"/>
      <c r="J2069" s="47"/>
      <c r="K2069" s="59"/>
      <c r="L2069" s="59"/>
      <c r="M2069" s="47"/>
    </row>
    <row r="2070" customHeight="1" spans="1:13">
      <c r="A2070" s="47"/>
      <c r="B2070" s="47"/>
      <c r="C2070" s="47"/>
      <c r="D2070" s="47"/>
      <c r="E2070" s="47"/>
      <c r="F2070" s="47"/>
      <c r="G2070" s="47"/>
      <c r="H2070" s="47"/>
      <c r="I2070" s="47"/>
      <c r="J2070" s="47"/>
      <c r="K2070" s="59"/>
      <c r="L2070" s="59"/>
      <c r="M2070" s="47"/>
    </row>
    <row r="2071" customHeight="1" spans="1:13">
      <c r="A2071" s="47"/>
      <c r="B2071" s="47"/>
      <c r="C2071" s="47"/>
      <c r="D2071" s="47"/>
      <c r="E2071" s="47"/>
      <c r="F2071" s="47"/>
      <c r="G2071" s="47"/>
      <c r="H2071" s="47"/>
      <c r="I2071" s="47"/>
      <c r="J2071" s="47"/>
      <c r="K2071" s="59"/>
      <c r="L2071" s="59"/>
      <c r="M2071" s="47"/>
    </row>
    <row r="2072" customHeight="1" spans="1:13">
      <c r="A2072" s="47"/>
      <c r="B2072" s="47"/>
      <c r="C2072" s="47"/>
      <c r="D2072" s="47"/>
      <c r="E2072" s="47"/>
      <c r="F2072" s="47"/>
      <c r="G2072" s="47"/>
      <c r="H2072" s="47"/>
      <c r="I2072" s="47"/>
      <c r="J2072" s="47"/>
      <c r="K2072" s="59"/>
      <c r="L2072" s="59"/>
      <c r="M2072" s="47"/>
    </row>
    <row r="2073" customHeight="1" spans="1:13">
      <c r="A2073" s="47"/>
      <c r="B2073" s="47"/>
      <c r="C2073" s="47"/>
      <c r="D2073" s="47"/>
      <c r="E2073" s="47"/>
      <c r="F2073" s="47"/>
      <c r="G2073" s="47"/>
      <c r="H2073" s="47"/>
      <c r="I2073" s="47"/>
      <c r="J2073" s="47"/>
      <c r="K2073" s="59"/>
      <c r="L2073" s="59"/>
      <c r="M2073" s="47"/>
    </row>
    <row r="2074" customHeight="1" spans="1:13">
      <c r="A2074" s="47"/>
      <c r="B2074" s="47"/>
      <c r="C2074" s="47"/>
      <c r="D2074" s="47"/>
      <c r="E2074" s="47"/>
      <c r="F2074" s="47"/>
      <c r="G2074" s="47"/>
      <c r="H2074" s="47"/>
      <c r="I2074" s="47"/>
      <c r="J2074" s="47"/>
      <c r="K2074" s="59"/>
      <c r="L2074" s="59"/>
      <c r="M2074" s="47"/>
    </row>
    <row r="2075" customHeight="1" spans="1:13">
      <c r="A2075" s="47"/>
      <c r="B2075" s="47"/>
      <c r="C2075" s="47"/>
      <c r="D2075" s="47"/>
      <c r="E2075" s="47"/>
      <c r="F2075" s="47"/>
      <c r="G2075" s="47"/>
      <c r="H2075" s="47"/>
      <c r="I2075" s="47"/>
      <c r="J2075" s="47"/>
      <c r="K2075" s="59"/>
      <c r="L2075" s="59"/>
      <c r="M2075" s="47"/>
    </row>
    <row r="2076" customHeight="1" spans="1:13">
      <c r="A2076" s="47"/>
      <c r="B2076" s="47"/>
      <c r="C2076" s="47"/>
      <c r="D2076" s="47"/>
      <c r="E2076" s="47"/>
      <c r="F2076" s="47"/>
      <c r="G2076" s="47"/>
      <c r="H2076" s="47"/>
      <c r="I2076" s="47"/>
      <c r="J2076" s="47"/>
      <c r="K2076" s="59"/>
      <c r="L2076" s="59"/>
      <c r="M2076" s="47"/>
    </row>
    <row r="2077" customHeight="1" spans="1:13">
      <c r="A2077" s="47"/>
      <c r="B2077" s="47"/>
      <c r="C2077" s="47"/>
      <c r="D2077" s="47"/>
      <c r="E2077" s="47"/>
      <c r="F2077" s="47"/>
      <c r="G2077" s="47"/>
      <c r="H2077" s="47"/>
      <c r="I2077" s="47"/>
      <c r="J2077" s="47"/>
      <c r="K2077" s="59"/>
      <c r="L2077" s="59"/>
      <c r="M2077" s="47"/>
    </row>
    <row r="2078" customHeight="1" spans="1:13">
      <c r="A2078" s="47"/>
      <c r="B2078" s="47"/>
      <c r="C2078" s="47"/>
      <c r="D2078" s="47"/>
      <c r="E2078" s="47"/>
      <c r="F2078" s="47"/>
      <c r="G2078" s="47"/>
      <c r="H2078" s="47"/>
      <c r="I2078" s="47"/>
      <c r="J2078" s="47"/>
      <c r="K2078" s="59"/>
      <c r="L2078" s="59"/>
      <c r="M2078" s="47"/>
    </row>
    <row r="2079" customHeight="1" spans="1:13">
      <c r="A2079" s="47"/>
      <c r="B2079" s="47"/>
      <c r="C2079" s="47"/>
      <c r="D2079" s="47"/>
      <c r="E2079" s="47"/>
      <c r="F2079" s="47"/>
      <c r="G2079" s="47"/>
      <c r="H2079" s="47"/>
      <c r="I2079" s="47"/>
      <c r="J2079" s="47"/>
      <c r="K2079" s="59"/>
      <c r="L2079" s="59"/>
      <c r="M2079" s="47"/>
    </row>
    <row r="2080" customHeight="1" spans="1:13">
      <c r="A2080" s="47"/>
      <c r="B2080" s="47"/>
      <c r="C2080" s="47"/>
      <c r="D2080" s="47"/>
      <c r="E2080" s="47"/>
      <c r="F2080" s="47"/>
      <c r="G2080" s="47"/>
      <c r="H2080" s="47"/>
      <c r="I2080" s="47"/>
      <c r="J2080" s="47"/>
      <c r="K2080" s="59"/>
      <c r="L2080" s="59"/>
      <c r="M2080" s="47"/>
    </row>
    <row r="2081" customHeight="1" spans="1:13">
      <c r="A2081" s="47"/>
      <c r="B2081" s="47"/>
      <c r="C2081" s="47"/>
      <c r="D2081" s="47"/>
      <c r="E2081" s="47"/>
      <c r="F2081" s="47"/>
      <c r="G2081" s="47"/>
      <c r="H2081" s="47"/>
      <c r="I2081" s="47"/>
      <c r="J2081" s="47"/>
      <c r="K2081" s="59"/>
      <c r="L2081" s="59"/>
      <c r="M2081" s="47"/>
    </row>
    <row r="2082" customHeight="1" spans="1:13">
      <c r="A2082" s="47"/>
      <c r="B2082" s="47"/>
      <c r="C2082" s="47"/>
      <c r="D2082" s="47"/>
      <c r="E2082" s="47"/>
      <c r="F2082" s="47"/>
      <c r="G2082" s="47"/>
      <c r="H2082" s="47"/>
      <c r="I2082" s="47"/>
      <c r="J2082" s="47"/>
      <c r="K2082" s="59"/>
      <c r="L2082" s="59"/>
      <c r="M2082" s="47"/>
    </row>
    <row r="2083" customHeight="1" spans="1:13">
      <c r="A2083" s="47"/>
      <c r="B2083" s="47"/>
      <c r="C2083" s="47"/>
      <c r="D2083" s="47"/>
      <c r="E2083" s="47"/>
      <c r="F2083" s="47"/>
      <c r="G2083" s="47"/>
      <c r="H2083" s="47"/>
      <c r="I2083" s="47"/>
      <c r="J2083" s="47"/>
      <c r="K2083" s="59"/>
      <c r="L2083" s="59"/>
      <c r="M2083" s="47"/>
    </row>
    <row r="2084" customHeight="1" spans="1:13">
      <c r="A2084" s="47"/>
      <c r="B2084" s="47"/>
      <c r="C2084" s="47"/>
      <c r="D2084" s="47"/>
      <c r="E2084" s="47"/>
      <c r="F2084" s="47"/>
      <c r="G2084" s="47"/>
      <c r="H2084" s="47"/>
      <c r="I2084" s="47"/>
      <c r="J2084" s="47"/>
      <c r="K2084" s="59"/>
      <c r="L2084" s="59"/>
      <c r="M2084" s="47"/>
    </row>
    <row r="2085" customHeight="1" spans="1:13">
      <c r="A2085" s="47"/>
      <c r="B2085" s="47"/>
      <c r="C2085" s="47"/>
      <c r="D2085" s="47"/>
      <c r="E2085" s="47"/>
      <c r="F2085" s="47"/>
      <c r="G2085" s="47"/>
      <c r="H2085" s="47"/>
      <c r="I2085" s="47"/>
      <c r="J2085" s="47"/>
      <c r="K2085" s="59"/>
      <c r="L2085" s="59"/>
      <c r="M2085" s="47"/>
    </row>
    <row r="2086" customHeight="1" spans="1:13">
      <c r="A2086" s="47"/>
      <c r="B2086" s="47"/>
      <c r="C2086" s="47"/>
      <c r="D2086" s="47"/>
      <c r="E2086" s="47"/>
      <c r="F2086" s="47"/>
      <c r="G2086" s="47"/>
      <c r="H2086" s="47"/>
      <c r="I2086" s="47"/>
      <c r="J2086" s="47"/>
      <c r="K2086" s="59"/>
      <c r="L2086" s="59"/>
      <c r="M2086" s="47"/>
    </row>
    <row r="2087" customHeight="1" spans="1:13">
      <c r="A2087" s="47"/>
      <c r="B2087" s="47"/>
      <c r="C2087" s="47"/>
      <c r="D2087" s="47"/>
      <c r="E2087" s="47"/>
      <c r="F2087" s="47"/>
      <c r="G2087" s="47"/>
      <c r="H2087" s="47"/>
      <c r="I2087" s="47"/>
      <c r="J2087" s="47"/>
      <c r="K2087" s="59"/>
      <c r="L2087" s="59"/>
      <c r="M2087" s="47"/>
    </row>
    <row r="2088" customHeight="1" spans="1:13">
      <c r="A2088" s="47"/>
      <c r="B2088" s="47"/>
      <c r="C2088" s="47"/>
      <c r="D2088" s="47"/>
      <c r="E2088" s="47"/>
      <c r="F2088" s="47"/>
      <c r="G2088" s="47"/>
      <c r="H2088" s="47"/>
      <c r="I2088" s="47"/>
      <c r="J2088" s="47"/>
      <c r="K2088" s="59"/>
      <c r="L2088" s="59"/>
      <c r="M2088" s="47"/>
    </row>
    <row r="2089" customHeight="1" spans="1:13">
      <c r="A2089" s="47"/>
      <c r="B2089" s="47"/>
      <c r="C2089" s="47"/>
      <c r="D2089" s="47"/>
      <c r="E2089" s="47"/>
      <c r="F2089" s="47"/>
      <c r="G2089" s="47"/>
      <c r="H2089" s="47"/>
      <c r="I2089" s="47"/>
      <c r="J2089" s="47"/>
      <c r="K2089" s="59"/>
      <c r="L2089" s="59"/>
      <c r="M2089" s="47"/>
    </row>
    <row r="2090" customHeight="1" spans="1:13">
      <c r="A2090" s="47"/>
      <c r="B2090" s="47"/>
      <c r="C2090" s="47"/>
      <c r="D2090" s="47"/>
      <c r="E2090" s="47"/>
      <c r="F2090" s="47"/>
      <c r="G2090" s="47"/>
      <c r="H2090" s="47"/>
      <c r="I2090" s="47"/>
      <c r="J2090" s="47"/>
      <c r="K2090" s="59"/>
      <c r="L2090" s="59"/>
      <c r="M2090" s="47"/>
    </row>
    <row r="2091" customHeight="1" spans="1:13">
      <c r="A2091" s="47"/>
      <c r="B2091" s="47"/>
      <c r="C2091" s="47"/>
      <c r="D2091" s="47"/>
      <c r="E2091" s="47"/>
      <c r="F2091" s="47"/>
      <c r="G2091" s="47"/>
      <c r="H2091" s="47"/>
      <c r="I2091" s="47"/>
      <c r="J2091" s="47"/>
      <c r="K2091" s="59"/>
      <c r="L2091" s="59"/>
      <c r="M2091" s="47"/>
    </row>
    <row r="2092" customHeight="1" spans="1:13">
      <c r="A2092" s="47"/>
      <c r="B2092" s="47"/>
      <c r="C2092" s="47"/>
      <c r="D2092" s="47"/>
      <c r="E2092" s="47"/>
      <c r="F2092" s="47"/>
      <c r="G2092" s="47"/>
      <c r="H2092" s="47"/>
      <c r="I2092" s="47"/>
      <c r="J2092" s="47"/>
      <c r="K2092" s="59"/>
      <c r="L2092" s="59"/>
      <c r="M2092" s="47"/>
    </row>
    <row r="2093" customHeight="1" spans="1:13">
      <c r="A2093" s="47"/>
      <c r="B2093" s="47"/>
      <c r="C2093" s="47"/>
      <c r="D2093" s="47"/>
      <c r="E2093" s="47"/>
      <c r="F2093" s="47"/>
      <c r="G2093" s="47"/>
      <c r="H2093" s="47"/>
      <c r="I2093" s="47"/>
      <c r="J2093" s="47"/>
      <c r="K2093" s="59"/>
      <c r="L2093" s="59"/>
      <c r="M2093" s="47"/>
    </row>
    <row r="2094" customHeight="1" spans="1:13">
      <c r="A2094" s="47"/>
      <c r="B2094" s="47"/>
      <c r="C2094" s="47"/>
      <c r="D2094" s="47"/>
      <c r="E2094" s="47"/>
      <c r="F2094" s="47"/>
      <c r="G2094" s="47"/>
      <c r="H2094" s="47"/>
      <c r="I2094" s="47"/>
      <c r="J2094" s="47"/>
      <c r="K2094" s="59"/>
      <c r="L2094" s="59"/>
      <c r="M2094" s="47"/>
    </row>
    <row r="2095" customHeight="1" spans="1:13">
      <c r="A2095" s="47"/>
      <c r="B2095" s="47"/>
      <c r="C2095" s="47"/>
      <c r="D2095" s="47"/>
      <c r="E2095" s="47"/>
      <c r="F2095" s="47"/>
      <c r="G2095" s="47"/>
      <c r="H2095" s="47"/>
      <c r="I2095" s="47"/>
      <c r="J2095" s="47"/>
      <c r="K2095" s="59"/>
      <c r="L2095" s="59"/>
      <c r="M2095" s="47"/>
    </row>
    <row r="2096" customHeight="1" spans="1:13">
      <c r="A2096" s="47"/>
      <c r="B2096" s="47"/>
      <c r="C2096" s="47"/>
      <c r="D2096" s="47"/>
      <c r="E2096" s="47"/>
      <c r="F2096" s="47"/>
      <c r="G2096" s="47"/>
      <c r="H2096" s="47"/>
      <c r="I2096" s="47"/>
      <c r="J2096" s="47"/>
      <c r="K2096" s="59"/>
      <c r="L2096" s="59"/>
      <c r="M2096" s="47"/>
    </row>
    <row r="2097" customHeight="1" spans="1:13">
      <c r="A2097" s="47"/>
      <c r="B2097" s="47"/>
      <c r="C2097" s="47"/>
      <c r="D2097" s="47"/>
      <c r="E2097" s="47"/>
      <c r="F2097" s="47"/>
      <c r="G2097" s="47"/>
      <c r="H2097" s="47"/>
      <c r="I2097" s="47"/>
      <c r="J2097" s="47"/>
      <c r="K2097" s="59"/>
      <c r="L2097" s="59"/>
      <c r="M2097" s="47"/>
    </row>
    <row r="2098" customHeight="1" spans="1:13">
      <c r="A2098" s="47"/>
      <c r="B2098" s="47"/>
      <c r="C2098" s="47"/>
      <c r="D2098" s="47"/>
      <c r="E2098" s="47"/>
      <c r="F2098" s="47"/>
      <c r="G2098" s="47"/>
      <c r="H2098" s="47"/>
      <c r="I2098" s="47"/>
      <c r="J2098" s="47"/>
      <c r="K2098" s="59"/>
      <c r="L2098" s="59"/>
      <c r="M2098" s="47"/>
    </row>
    <row r="2099" customHeight="1" spans="1:13">
      <c r="A2099" s="47"/>
      <c r="B2099" s="47"/>
      <c r="C2099" s="47"/>
      <c r="D2099" s="47"/>
      <c r="E2099" s="47"/>
      <c r="F2099" s="47"/>
      <c r="G2099" s="47"/>
      <c r="H2099" s="47"/>
      <c r="I2099" s="47"/>
      <c r="J2099" s="47"/>
      <c r="K2099" s="59"/>
      <c r="L2099" s="59"/>
      <c r="M2099" s="47"/>
    </row>
    <row r="2100" customHeight="1" spans="1:13">
      <c r="A2100" s="47"/>
      <c r="B2100" s="47"/>
      <c r="C2100" s="47"/>
      <c r="D2100" s="47"/>
      <c r="E2100" s="47"/>
      <c r="F2100" s="47"/>
      <c r="G2100" s="47"/>
      <c r="H2100" s="47"/>
      <c r="I2100" s="47"/>
      <c r="J2100" s="47"/>
      <c r="K2100" s="59"/>
      <c r="L2100" s="59"/>
      <c r="M2100" s="47"/>
    </row>
    <row r="2101" customHeight="1" spans="1:13">
      <c r="A2101" s="47"/>
      <c r="B2101" s="47"/>
      <c r="C2101" s="47"/>
      <c r="D2101" s="47"/>
      <c r="E2101" s="47"/>
      <c r="F2101" s="47"/>
      <c r="G2101" s="47"/>
      <c r="H2101" s="47"/>
      <c r="I2101" s="47"/>
      <c r="J2101" s="47"/>
      <c r="K2101" s="59"/>
      <c r="L2101" s="59"/>
      <c r="M2101" s="47"/>
    </row>
    <row r="2102" customHeight="1" spans="1:13">
      <c r="A2102" s="47"/>
      <c r="B2102" s="47"/>
      <c r="C2102" s="47"/>
      <c r="D2102" s="47"/>
      <c r="E2102" s="47"/>
      <c r="F2102" s="47"/>
      <c r="G2102" s="47"/>
      <c r="H2102" s="47"/>
      <c r="I2102" s="47"/>
      <c r="J2102" s="47"/>
      <c r="K2102" s="59"/>
      <c r="L2102" s="59"/>
      <c r="M2102" s="47"/>
    </row>
    <row r="2103" customHeight="1" spans="1:13">
      <c r="A2103" s="47"/>
      <c r="B2103" s="47"/>
      <c r="C2103" s="47"/>
      <c r="D2103" s="47"/>
      <c r="E2103" s="47"/>
      <c r="F2103" s="47"/>
      <c r="G2103" s="47"/>
      <c r="H2103" s="47"/>
      <c r="I2103" s="47"/>
      <c r="J2103" s="47"/>
      <c r="K2103" s="59"/>
      <c r="L2103" s="59"/>
      <c r="M2103" s="47"/>
    </row>
    <row r="2104" customHeight="1" spans="1:13">
      <c r="A2104" s="47"/>
      <c r="B2104" s="47"/>
      <c r="C2104" s="47"/>
      <c r="D2104" s="47"/>
      <c r="E2104" s="47"/>
      <c r="F2104" s="47"/>
      <c r="G2104" s="47"/>
      <c r="H2104" s="47"/>
      <c r="I2104" s="47"/>
      <c r="J2104" s="47"/>
      <c r="K2104" s="59"/>
      <c r="L2104" s="59"/>
      <c r="M2104" s="47"/>
    </row>
    <row r="2105" customHeight="1" spans="1:13">
      <c r="A2105" s="47"/>
      <c r="B2105" s="47"/>
      <c r="C2105" s="47"/>
      <c r="D2105" s="47"/>
      <c r="E2105" s="47"/>
      <c r="F2105" s="47"/>
      <c r="G2105" s="47"/>
      <c r="H2105" s="47"/>
      <c r="I2105" s="47"/>
      <c r="J2105" s="47"/>
      <c r="K2105" s="59"/>
      <c r="L2105" s="59"/>
      <c r="M2105" s="47"/>
    </row>
    <row r="2106" customHeight="1" spans="1:13">
      <c r="A2106" s="47"/>
      <c r="B2106" s="47"/>
      <c r="C2106" s="47"/>
      <c r="D2106" s="47"/>
      <c r="E2106" s="47"/>
      <c r="F2106" s="47"/>
      <c r="G2106" s="47"/>
      <c r="H2106" s="47"/>
      <c r="I2106" s="47"/>
      <c r="J2106" s="47"/>
      <c r="K2106" s="59"/>
      <c r="L2106" s="59"/>
      <c r="M2106" s="47"/>
    </row>
    <row r="2107" customHeight="1" spans="1:13">
      <c r="A2107" s="47"/>
      <c r="B2107" s="47"/>
      <c r="C2107" s="47"/>
      <c r="D2107" s="47"/>
      <c r="E2107" s="47"/>
      <c r="F2107" s="47"/>
      <c r="G2107" s="47"/>
      <c r="H2107" s="47"/>
      <c r="I2107" s="47"/>
      <c r="J2107" s="47"/>
      <c r="K2107" s="59"/>
      <c r="L2107" s="59"/>
      <c r="M2107" s="47"/>
    </row>
    <row r="2108" customHeight="1" spans="1:13">
      <c r="A2108" s="47"/>
      <c r="B2108" s="47"/>
      <c r="C2108" s="47"/>
      <c r="D2108" s="47"/>
      <c r="E2108" s="47"/>
      <c r="F2108" s="47"/>
      <c r="G2108" s="47"/>
      <c r="H2108" s="47"/>
      <c r="I2108" s="47"/>
      <c r="J2108" s="47"/>
      <c r="K2108" s="59"/>
      <c r="L2108" s="59"/>
      <c r="M2108" s="47"/>
    </row>
    <row r="2109" customHeight="1" spans="1:13">
      <c r="A2109" s="47"/>
      <c r="B2109" s="47"/>
      <c r="C2109" s="47"/>
      <c r="D2109" s="47"/>
      <c r="E2109" s="47"/>
      <c r="F2109" s="47"/>
      <c r="G2109" s="47"/>
      <c r="H2109" s="47"/>
      <c r="I2109" s="47"/>
      <c r="J2109" s="47"/>
      <c r="K2109" s="59"/>
      <c r="L2109" s="59"/>
      <c r="M2109" s="47"/>
    </row>
    <row r="2110" customHeight="1" spans="1:13">
      <c r="A2110" s="47"/>
      <c r="B2110" s="47"/>
      <c r="C2110" s="47"/>
      <c r="D2110" s="47"/>
      <c r="E2110" s="47"/>
      <c r="F2110" s="47"/>
      <c r="G2110" s="47"/>
      <c r="H2110" s="47"/>
      <c r="I2110" s="47"/>
      <c r="J2110" s="47"/>
      <c r="K2110" s="59"/>
      <c r="L2110" s="59"/>
      <c r="M2110" s="47"/>
    </row>
    <row r="2111" customHeight="1" spans="1:13">
      <c r="A2111" s="47"/>
      <c r="B2111" s="47"/>
      <c r="C2111" s="47"/>
      <c r="D2111" s="47"/>
      <c r="E2111" s="47"/>
      <c r="F2111" s="47"/>
      <c r="G2111" s="47"/>
      <c r="H2111" s="47"/>
      <c r="I2111" s="47"/>
      <c r="J2111" s="47"/>
      <c r="K2111" s="59"/>
      <c r="L2111" s="59"/>
      <c r="M2111" s="47"/>
    </row>
    <row r="2112" customHeight="1" spans="1:13">
      <c r="A2112" s="47"/>
      <c r="B2112" s="47"/>
      <c r="C2112" s="47"/>
      <c r="D2112" s="47"/>
      <c r="E2112" s="47"/>
      <c r="F2112" s="47"/>
      <c r="G2112" s="47"/>
      <c r="H2112" s="47"/>
      <c r="I2112" s="47"/>
      <c r="J2112" s="47"/>
      <c r="K2112" s="59"/>
      <c r="L2112" s="59"/>
      <c r="M2112" s="47"/>
    </row>
    <row r="2113" customHeight="1" spans="1:13">
      <c r="A2113" s="47"/>
      <c r="B2113" s="47"/>
      <c r="C2113" s="47"/>
      <c r="D2113" s="47"/>
      <c r="E2113" s="47"/>
      <c r="F2113" s="47"/>
      <c r="G2113" s="47"/>
      <c r="H2113" s="47"/>
      <c r="I2113" s="47"/>
      <c r="J2113" s="47"/>
      <c r="K2113" s="59"/>
      <c r="L2113" s="59"/>
      <c r="M2113" s="47"/>
    </row>
    <row r="2114" customHeight="1" spans="1:13">
      <c r="A2114" s="47"/>
      <c r="B2114" s="47"/>
      <c r="C2114" s="47"/>
      <c r="D2114" s="47"/>
      <c r="E2114" s="47"/>
      <c r="F2114" s="47"/>
      <c r="G2114" s="47"/>
      <c r="H2114" s="47"/>
      <c r="I2114" s="47"/>
      <c r="J2114" s="47"/>
      <c r="K2114" s="59"/>
      <c r="L2114" s="59"/>
      <c r="M2114" s="47"/>
    </row>
    <row r="2115" customHeight="1" spans="1:13">
      <c r="A2115" s="47"/>
      <c r="B2115" s="47"/>
      <c r="C2115" s="47"/>
      <c r="D2115" s="47"/>
      <c r="E2115" s="47"/>
      <c r="F2115" s="47"/>
      <c r="G2115" s="47"/>
      <c r="H2115" s="47"/>
      <c r="I2115" s="47"/>
      <c r="J2115" s="47"/>
      <c r="K2115" s="59"/>
      <c r="L2115" s="59"/>
      <c r="M2115" s="47"/>
    </row>
    <row r="2116" customHeight="1" spans="1:13">
      <c r="A2116" s="47"/>
      <c r="B2116" s="47"/>
      <c r="C2116" s="47"/>
      <c r="D2116" s="47"/>
      <c r="E2116" s="47"/>
      <c r="F2116" s="47"/>
      <c r="G2116" s="47"/>
      <c r="H2116" s="47"/>
      <c r="I2116" s="47"/>
      <c r="J2116" s="47"/>
      <c r="K2116" s="59"/>
      <c r="L2116" s="59"/>
      <c r="M2116" s="47"/>
    </row>
    <row r="2117" customHeight="1" spans="1:13">
      <c r="A2117" s="47"/>
      <c r="B2117" s="47"/>
      <c r="C2117" s="47"/>
      <c r="D2117" s="47"/>
      <c r="E2117" s="47"/>
      <c r="F2117" s="47"/>
      <c r="G2117" s="47"/>
      <c r="H2117" s="47"/>
      <c r="I2117" s="47"/>
      <c r="J2117" s="47"/>
      <c r="K2117" s="59"/>
      <c r="L2117" s="59"/>
      <c r="M2117" s="47"/>
    </row>
    <row r="2118" customHeight="1" spans="1:13">
      <c r="A2118" s="47"/>
      <c r="B2118" s="47"/>
      <c r="C2118" s="47"/>
      <c r="D2118" s="47"/>
      <c r="E2118" s="47"/>
      <c r="F2118" s="47"/>
      <c r="G2118" s="47"/>
      <c r="H2118" s="47"/>
      <c r="I2118" s="47"/>
      <c r="J2118" s="47"/>
      <c r="K2118" s="59"/>
      <c r="L2118" s="59"/>
      <c r="M2118" s="47"/>
    </row>
    <row r="2119" customHeight="1" spans="1:13">
      <c r="A2119" s="47"/>
      <c r="B2119" s="47"/>
      <c r="C2119" s="47"/>
      <c r="D2119" s="47"/>
      <c r="E2119" s="47"/>
      <c r="F2119" s="47"/>
      <c r="G2119" s="47"/>
      <c r="H2119" s="47"/>
      <c r="I2119" s="47"/>
      <c r="J2119" s="47"/>
      <c r="K2119" s="59"/>
      <c r="L2119" s="59"/>
      <c r="M2119" s="47"/>
    </row>
    <row r="2120" customHeight="1" spans="1:13">
      <c r="A2120" s="47"/>
      <c r="B2120" s="47"/>
      <c r="C2120" s="47"/>
      <c r="D2120" s="47"/>
      <c r="E2120" s="47"/>
      <c r="F2120" s="47"/>
      <c r="G2120" s="47"/>
      <c r="H2120" s="47"/>
      <c r="I2120" s="47"/>
      <c r="J2120" s="47"/>
      <c r="K2120" s="59"/>
      <c r="L2120" s="59"/>
      <c r="M2120" s="47"/>
    </row>
    <row r="2121" customHeight="1" spans="1:13">
      <c r="A2121" s="47"/>
      <c r="B2121" s="47"/>
      <c r="C2121" s="47"/>
      <c r="D2121" s="47"/>
      <c r="E2121" s="47"/>
      <c r="F2121" s="47"/>
      <c r="G2121" s="47"/>
      <c r="H2121" s="47"/>
      <c r="I2121" s="47"/>
      <c r="J2121" s="47"/>
      <c r="K2121" s="59"/>
      <c r="L2121" s="59"/>
      <c r="M2121" s="47"/>
    </row>
    <row r="2122" customHeight="1" spans="1:13">
      <c r="A2122" s="47"/>
      <c r="B2122" s="47"/>
      <c r="C2122" s="47"/>
      <c r="D2122" s="47"/>
      <c r="E2122" s="47"/>
      <c r="F2122" s="47"/>
      <c r="G2122" s="47"/>
      <c r="H2122" s="47"/>
      <c r="I2122" s="47"/>
      <c r="J2122" s="47"/>
      <c r="K2122" s="59"/>
      <c r="L2122" s="59"/>
      <c r="M2122" s="47"/>
    </row>
    <row r="2123" customHeight="1" spans="1:13">
      <c r="A2123" s="47"/>
      <c r="B2123" s="47"/>
      <c r="C2123" s="47"/>
      <c r="D2123" s="47"/>
      <c r="E2123" s="47"/>
      <c r="F2123" s="47"/>
      <c r="G2123" s="47"/>
      <c r="H2123" s="47"/>
      <c r="I2123" s="47"/>
      <c r="J2123" s="47"/>
      <c r="K2123" s="59"/>
      <c r="L2123" s="59"/>
      <c r="M2123" s="47"/>
    </row>
    <row r="2124" customHeight="1" spans="1:13">
      <c r="A2124" s="47"/>
      <c r="B2124" s="47"/>
      <c r="C2124" s="47"/>
      <c r="D2124" s="47"/>
      <c r="E2124" s="47"/>
      <c r="F2124" s="47"/>
      <c r="G2124" s="47"/>
      <c r="H2124" s="47"/>
      <c r="I2124" s="47"/>
      <c r="J2124" s="47"/>
      <c r="K2124" s="59"/>
      <c r="L2124" s="59"/>
      <c r="M2124" s="47"/>
    </row>
    <row r="2125" customHeight="1" spans="1:13">
      <c r="A2125" s="47"/>
      <c r="B2125" s="47"/>
      <c r="C2125" s="47"/>
      <c r="D2125" s="47"/>
      <c r="E2125" s="47"/>
      <c r="F2125" s="47"/>
      <c r="G2125" s="47"/>
      <c r="H2125" s="47"/>
      <c r="I2125" s="47"/>
      <c r="J2125" s="47"/>
      <c r="K2125" s="59"/>
      <c r="L2125" s="59"/>
      <c r="M2125" s="47"/>
    </row>
    <row r="2126" customHeight="1" spans="1:13">
      <c r="A2126" s="47"/>
      <c r="B2126" s="47"/>
      <c r="C2126" s="47"/>
      <c r="D2126" s="47"/>
      <c r="E2126" s="47"/>
      <c r="F2126" s="47"/>
      <c r="G2126" s="47"/>
      <c r="H2126" s="47"/>
      <c r="I2126" s="47"/>
      <c r="J2126" s="47"/>
      <c r="K2126" s="59"/>
      <c r="L2126" s="59"/>
      <c r="M2126" s="47"/>
    </row>
    <row r="2127" customHeight="1" spans="1:13">
      <c r="A2127" s="47"/>
      <c r="B2127" s="47"/>
      <c r="C2127" s="47"/>
      <c r="D2127" s="47"/>
      <c r="E2127" s="47"/>
      <c r="F2127" s="47"/>
      <c r="G2127" s="47"/>
      <c r="H2127" s="47"/>
      <c r="I2127" s="47"/>
      <c r="J2127" s="47"/>
      <c r="K2127" s="59"/>
      <c r="L2127" s="59"/>
      <c r="M2127" s="47"/>
    </row>
    <row r="2128" customHeight="1" spans="1:13">
      <c r="A2128" s="47"/>
      <c r="B2128" s="47"/>
      <c r="C2128" s="47"/>
      <c r="D2128" s="47"/>
      <c r="E2128" s="47"/>
      <c r="F2128" s="47"/>
      <c r="G2128" s="47"/>
      <c r="H2128" s="47"/>
      <c r="I2128" s="47"/>
      <c r="J2128" s="47"/>
      <c r="K2128" s="59"/>
      <c r="L2128" s="59"/>
      <c r="M2128" s="47"/>
    </row>
    <row r="2129" customHeight="1" spans="1:13">
      <c r="A2129" s="47"/>
      <c r="B2129" s="47"/>
      <c r="C2129" s="47"/>
      <c r="D2129" s="47"/>
      <c r="E2129" s="47"/>
      <c r="F2129" s="47"/>
      <c r="G2129" s="47"/>
      <c r="H2129" s="47"/>
      <c r="I2129" s="47"/>
      <c r="J2129" s="47"/>
      <c r="K2129" s="59"/>
      <c r="L2129" s="59"/>
      <c r="M2129" s="47"/>
    </row>
    <row r="2130" customHeight="1" spans="1:13">
      <c r="A2130" s="47"/>
      <c r="B2130" s="47"/>
      <c r="C2130" s="47"/>
      <c r="D2130" s="47"/>
      <c r="E2130" s="47"/>
      <c r="F2130" s="47"/>
      <c r="G2130" s="47"/>
      <c r="H2130" s="47"/>
      <c r="I2130" s="47"/>
      <c r="J2130" s="47"/>
      <c r="K2130" s="59"/>
      <c r="L2130" s="59"/>
      <c r="M2130" s="47"/>
    </row>
    <row r="2131" customHeight="1" spans="1:13">
      <c r="A2131" s="47"/>
      <c r="B2131" s="47"/>
      <c r="C2131" s="47"/>
      <c r="D2131" s="47"/>
      <c r="E2131" s="47"/>
      <c r="F2131" s="47"/>
      <c r="G2131" s="47"/>
      <c r="H2131" s="47"/>
      <c r="I2131" s="47"/>
      <c r="J2131" s="47"/>
      <c r="K2131" s="59"/>
      <c r="L2131" s="59"/>
      <c r="M2131" s="47"/>
    </row>
    <row r="2132" customHeight="1" spans="1:13">
      <c r="A2132" s="47"/>
      <c r="B2132" s="47"/>
      <c r="C2132" s="47"/>
      <c r="D2132" s="47"/>
      <c r="E2132" s="47"/>
      <c r="F2132" s="47"/>
      <c r="G2132" s="47"/>
      <c r="H2132" s="47"/>
      <c r="I2132" s="47"/>
      <c r="J2132" s="47"/>
      <c r="K2132" s="59"/>
      <c r="L2132" s="59"/>
      <c r="M2132" s="47"/>
    </row>
    <row r="2133" customHeight="1" spans="1:13">
      <c r="A2133" s="47"/>
      <c r="B2133" s="47"/>
      <c r="C2133" s="47"/>
      <c r="D2133" s="47"/>
      <c r="E2133" s="47"/>
      <c r="F2133" s="47"/>
      <c r="G2133" s="47"/>
      <c r="H2133" s="47"/>
      <c r="I2133" s="47"/>
      <c r="J2133" s="47"/>
      <c r="K2133" s="59"/>
      <c r="L2133" s="59"/>
      <c r="M2133" s="47"/>
    </row>
    <row r="2134" customHeight="1" spans="1:13">
      <c r="A2134" s="47"/>
      <c r="B2134" s="47"/>
      <c r="C2134" s="47"/>
      <c r="D2134" s="47"/>
      <c r="E2134" s="47"/>
      <c r="F2134" s="47"/>
      <c r="G2134" s="47"/>
      <c r="H2134" s="47"/>
      <c r="I2134" s="47"/>
      <c r="J2134" s="47"/>
      <c r="K2134" s="59"/>
      <c r="L2134" s="59"/>
      <c r="M2134" s="47"/>
    </row>
    <row r="2135" customHeight="1" spans="1:13">
      <c r="A2135" s="47"/>
      <c r="B2135" s="47"/>
      <c r="C2135" s="47"/>
      <c r="D2135" s="47"/>
      <c r="E2135" s="47"/>
      <c r="F2135" s="47"/>
      <c r="G2135" s="47"/>
      <c r="H2135" s="47"/>
      <c r="I2135" s="47"/>
      <c r="J2135" s="47"/>
      <c r="K2135" s="59"/>
      <c r="L2135" s="59"/>
      <c r="M2135" s="47"/>
    </row>
    <row r="2136" customHeight="1" spans="1:13">
      <c r="A2136" s="47"/>
      <c r="B2136" s="47"/>
      <c r="C2136" s="47"/>
      <c r="D2136" s="47"/>
      <c r="E2136" s="47"/>
      <c r="F2136" s="47"/>
      <c r="G2136" s="47"/>
      <c r="H2136" s="47"/>
      <c r="I2136" s="47"/>
      <c r="J2136" s="47"/>
      <c r="K2136" s="59"/>
      <c r="L2136" s="59"/>
      <c r="M2136" s="47"/>
    </row>
    <row r="2137" customHeight="1" spans="1:13">
      <c r="A2137" s="47"/>
      <c r="B2137" s="47"/>
      <c r="C2137" s="47"/>
      <c r="D2137" s="47"/>
      <c r="E2137" s="47"/>
      <c r="F2137" s="47"/>
      <c r="G2137" s="47"/>
      <c r="H2137" s="47"/>
      <c r="I2137" s="47"/>
      <c r="J2137" s="47"/>
      <c r="K2137" s="59"/>
      <c r="L2137" s="59"/>
      <c r="M2137" s="47"/>
    </row>
    <row r="2138" customHeight="1" spans="1:13">
      <c r="A2138" s="47"/>
      <c r="B2138" s="47"/>
      <c r="C2138" s="47"/>
      <c r="D2138" s="47"/>
      <c r="E2138" s="47"/>
      <c r="F2138" s="47"/>
      <c r="G2138" s="47"/>
      <c r="H2138" s="47"/>
      <c r="I2138" s="47"/>
      <c r="J2138" s="47"/>
      <c r="K2138" s="59"/>
      <c r="L2138" s="59"/>
      <c r="M2138" s="47"/>
    </row>
    <row r="2139" customHeight="1" spans="1:13">
      <c r="A2139" s="47"/>
      <c r="B2139" s="47"/>
      <c r="C2139" s="47"/>
      <c r="D2139" s="47"/>
      <c r="E2139" s="47"/>
      <c r="F2139" s="47"/>
      <c r="G2139" s="47"/>
      <c r="H2139" s="47"/>
      <c r="I2139" s="47"/>
      <c r="J2139" s="47"/>
      <c r="K2139" s="59"/>
      <c r="L2139" s="59"/>
      <c r="M2139" s="47"/>
    </row>
    <row r="2140" customHeight="1" spans="1:13">
      <c r="A2140" s="47"/>
      <c r="B2140" s="47"/>
      <c r="C2140" s="47"/>
      <c r="D2140" s="47"/>
      <c r="E2140" s="47"/>
      <c r="F2140" s="47"/>
      <c r="G2140" s="47"/>
      <c r="H2140" s="47"/>
      <c r="I2140" s="47"/>
      <c r="J2140" s="47"/>
      <c r="K2140" s="59"/>
      <c r="L2140" s="59"/>
      <c r="M2140" s="47"/>
    </row>
    <row r="2141" customHeight="1" spans="1:13">
      <c r="A2141" s="47"/>
      <c r="B2141" s="47"/>
      <c r="C2141" s="47"/>
      <c r="D2141" s="47"/>
      <c r="E2141" s="47"/>
      <c r="F2141" s="47"/>
      <c r="G2141" s="47"/>
      <c r="H2141" s="47"/>
      <c r="I2141" s="47"/>
      <c r="J2141" s="47"/>
      <c r="K2141" s="59"/>
      <c r="L2141" s="59"/>
      <c r="M2141" s="47"/>
    </row>
    <row r="2142" customHeight="1" spans="1:13">
      <c r="A2142" s="47"/>
      <c r="B2142" s="47"/>
      <c r="C2142" s="47"/>
      <c r="D2142" s="47"/>
      <c r="E2142" s="47"/>
      <c r="F2142" s="47"/>
      <c r="G2142" s="47"/>
      <c r="H2142" s="47"/>
      <c r="I2142" s="47"/>
      <c r="J2142" s="47"/>
      <c r="K2142" s="59"/>
      <c r="L2142" s="59"/>
      <c r="M2142" s="47"/>
    </row>
    <row r="2143" customHeight="1" spans="1:13">
      <c r="A2143" s="47"/>
      <c r="B2143" s="47"/>
      <c r="C2143" s="47"/>
      <c r="D2143" s="47"/>
      <c r="E2143" s="47"/>
      <c r="F2143" s="47"/>
      <c r="G2143" s="47"/>
      <c r="H2143" s="47"/>
      <c r="I2143" s="47"/>
      <c r="J2143" s="47"/>
      <c r="K2143" s="59"/>
      <c r="L2143" s="59"/>
      <c r="M2143" s="47"/>
    </row>
    <row r="2144" customHeight="1" spans="1:13">
      <c r="A2144" s="47"/>
      <c r="B2144" s="47"/>
      <c r="C2144" s="47"/>
      <c r="D2144" s="47"/>
      <c r="E2144" s="47"/>
      <c r="F2144" s="47"/>
      <c r="G2144" s="47"/>
      <c r="H2144" s="47"/>
      <c r="I2144" s="47"/>
      <c r="J2144" s="47"/>
      <c r="K2144" s="59"/>
      <c r="L2144" s="59"/>
      <c r="M2144" s="47"/>
    </row>
    <row r="2145" customHeight="1" spans="1:13">
      <c r="A2145" s="47"/>
      <c r="B2145" s="47"/>
      <c r="C2145" s="47"/>
      <c r="D2145" s="47"/>
      <c r="E2145" s="47"/>
      <c r="F2145" s="47"/>
      <c r="G2145" s="47"/>
      <c r="H2145" s="47"/>
      <c r="I2145" s="47"/>
      <c r="J2145" s="47"/>
      <c r="K2145" s="59"/>
      <c r="L2145" s="59"/>
      <c r="M2145" s="47"/>
    </row>
    <row r="2146" customHeight="1" spans="1:13">
      <c r="A2146" s="47"/>
      <c r="B2146" s="47"/>
      <c r="C2146" s="47"/>
      <c r="D2146" s="47"/>
      <c r="E2146" s="47"/>
      <c r="F2146" s="47"/>
      <c r="G2146" s="47"/>
      <c r="H2146" s="47"/>
      <c r="I2146" s="47"/>
      <c r="J2146" s="47"/>
      <c r="K2146" s="59"/>
      <c r="L2146" s="59"/>
      <c r="M2146" s="47"/>
    </row>
    <row r="2147" customHeight="1" spans="1:13">
      <c r="A2147" s="47"/>
      <c r="B2147" s="47"/>
      <c r="C2147" s="47"/>
      <c r="D2147" s="47"/>
      <c r="E2147" s="47"/>
      <c r="F2147" s="47"/>
      <c r="G2147" s="47"/>
      <c r="H2147" s="47"/>
      <c r="I2147" s="47"/>
      <c r="J2147" s="47"/>
      <c r="K2147" s="59"/>
      <c r="L2147" s="59"/>
      <c r="M2147" s="47"/>
    </row>
    <row r="2148" customHeight="1" spans="1:13">
      <c r="A2148" s="47"/>
      <c r="B2148" s="47"/>
      <c r="C2148" s="47"/>
      <c r="D2148" s="47"/>
      <c r="E2148" s="47"/>
      <c r="F2148" s="47"/>
      <c r="G2148" s="47"/>
      <c r="H2148" s="47"/>
      <c r="I2148" s="47"/>
      <c r="J2148" s="47"/>
      <c r="K2148" s="59"/>
      <c r="L2148" s="59"/>
      <c r="M2148" s="47"/>
    </row>
    <row r="2149" customHeight="1" spans="1:13">
      <c r="A2149" s="47"/>
      <c r="B2149" s="47"/>
      <c r="C2149" s="47"/>
      <c r="D2149" s="47"/>
      <c r="E2149" s="47"/>
      <c r="F2149" s="47"/>
      <c r="G2149" s="47"/>
      <c r="H2149" s="47"/>
      <c r="I2149" s="47"/>
      <c r="J2149" s="47"/>
      <c r="K2149" s="59"/>
      <c r="L2149" s="59"/>
      <c r="M2149" s="47"/>
    </row>
    <row r="2150" customHeight="1" spans="1:13">
      <c r="A2150" s="47"/>
      <c r="B2150" s="47"/>
      <c r="C2150" s="47"/>
      <c r="D2150" s="47"/>
      <c r="E2150" s="47"/>
      <c r="F2150" s="47"/>
      <c r="G2150" s="47"/>
      <c r="H2150" s="47"/>
      <c r="I2150" s="47"/>
      <c r="J2150" s="47"/>
      <c r="K2150" s="59"/>
      <c r="L2150" s="59"/>
      <c r="M2150" s="47"/>
    </row>
    <row r="2151" customHeight="1" spans="1:13">
      <c r="A2151" s="47"/>
      <c r="B2151" s="47"/>
      <c r="C2151" s="47"/>
      <c r="D2151" s="47"/>
      <c r="E2151" s="47"/>
      <c r="F2151" s="47"/>
      <c r="G2151" s="47"/>
      <c r="H2151" s="47"/>
      <c r="I2151" s="47"/>
      <c r="J2151" s="47"/>
      <c r="K2151" s="59"/>
      <c r="L2151" s="59"/>
      <c r="M2151" s="47"/>
    </row>
    <row r="2152" customHeight="1" spans="1:13">
      <c r="A2152" s="47"/>
      <c r="B2152" s="47"/>
      <c r="C2152" s="47"/>
      <c r="D2152" s="47"/>
      <c r="E2152" s="47"/>
      <c r="F2152" s="47"/>
      <c r="G2152" s="47"/>
      <c r="H2152" s="47"/>
      <c r="I2152" s="47"/>
      <c r="J2152" s="47"/>
      <c r="K2152" s="59"/>
      <c r="L2152" s="59"/>
      <c r="M2152" s="47"/>
    </row>
    <row r="2153" customHeight="1" spans="1:13">
      <c r="A2153" s="47"/>
      <c r="B2153" s="47"/>
      <c r="C2153" s="47"/>
      <c r="D2153" s="47"/>
      <c r="E2153" s="47"/>
      <c r="F2153" s="47"/>
      <c r="G2153" s="47"/>
      <c r="H2153" s="47"/>
      <c r="I2153" s="47"/>
      <c r="J2153" s="47"/>
      <c r="K2153" s="59"/>
      <c r="L2153" s="59"/>
      <c r="M2153" s="47"/>
    </row>
    <row r="2154" customHeight="1" spans="1:13">
      <c r="A2154" s="47"/>
      <c r="B2154" s="47"/>
      <c r="C2154" s="47"/>
      <c r="D2154" s="47"/>
      <c r="E2154" s="47"/>
      <c r="F2154" s="47"/>
      <c r="G2154" s="47"/>
      <c r="H2154" s="47"/>
      <c r="I2154" s="47"/>
      <c r="J2154" s="47"/>
      <c r="K2154" s="59"/>
      <c r="L2154" s="59"/>
      <c r="M2154" s="47"/>
    </row>
    <row r="2155" customHeight="1" spans="1:13">
      <c r="A2155" s="47"/>
      <c r="B2155" s="47"/>
      <c r="C2155" s="47"/>
      <c r="D2155" s="47"/>
      <c r="E2155" s="47"/>
      <c r="F2155" s="47"/>
      <c r="G2155" s="47"/>
      <c r="H2155" s="47"/>
      <c r="I2155" s="47"/>
      <c r="J2155" s="47"/>
      <c r="K2155" s="59"/>
      <c r="L2155" s="59"/>
      <c r="M2155" s="47"/>
    </row>
    <row r="2156" customHeight="1" spans="1:13">
      <c r="A2156" s="47"/>
      <c r="B2156" s="47"/>
      <c r="C2156" s="47"/>
      <c r="D2156" s="47"/>
      <c r="E2156" s="47"/>
      <c r="F2156" s="47"/>
      <c r="G2156" s="47"/>
      <c r="H2156" s="47"/>
      <c r="I2156" s="47"/>
      <c r="J2156" s="47"/>
      <c r="K2156" s="59"/>
      <c r="L2156" s="59"/>
      <c r="M2156" s="47"/>
    </row>
    <row r="2157" customHeight="1" spans="1:13">
      <c r="A2157" s="47"/>
      <c r="B2157" s="47"/>
      <c r="C2157" s="47"/>
      <c r="D2157" s="47"/>
      <c r="E2157" s="47"/>
      <c r="F2157" s="47"/>
      <c r="G2157" s="47"/>
      <c r="H2157" s="47"/>
      <c r="I2157" s="47"/>
      <c r="J2157" s="47"/>
      <c r="K2157" s="59"/>
      <c r="L2157" s="59"/>
      <c r="M2157" s="47"/>
    </row>
    <row r="2158" customHeight="1" spans="1:13">
      <c r="A2158" s="47"/>
      <c r="B2158" s="47"/>
      <c r="C2158" s="47"/>
      <c r="D2158" s="47"/>
      <c r="E2158" s="47"/>
      <c r="F2158" s="47"/>
      <c r="G2158" s="47"/>
      <c r="H2158" s="47"/>
      <c r="I2158" s="47"/>
      <c r="J2158" s="47"/>
      <c r="K2158" s="59"/>
      <c r="L2158" s="59"/>
      <c r="M2158" s="47"/>
    </row>
    <row r="2159" customHeight="1" spans="1:13">
      <c r="A2159" s="47"/>
      <c r="B2159" s="47"/>
      <c r="C2159" s="47"/>
      <c r="D2159" s="47"/>
      <c r="E2159" s="47"/>
      <c r="F2159" s="47"/>
      <c r="G2159" s="47"/>
      <c r="H2159" s="47"/>
      <c r="I2159" s="47"/>
      <c r="J2159" s="47"/>
      <c r="K2159" s="59"/>
      <c r="L2159" s="59"/>
      <c r="M2159" s="47"/>
    </row>
    <row r="2160" customHeight="1" spans="1:13">
      <c r="A2160" s="47"/>
      <c r="B2160" s="47"/>
      <c r="C2160" s="47"/>
      <c r="D2160" s="47"/>
      <c r="E2160" s="47"/>
      <c r="F2160" s="47"/>
      <c r="G2160" s="47"/>
      <c r="H2160" s="47"/>
      <c r="I2160" s="47"/>
      <c r="J2160" s="47"/>
      <c r="K2160" s="59"/>
      <c r="L2160" s="59"/>
      <c r="M2160" s="47"/>
    </row>
    <row r="2161" customHeight="1" spans="1:13">
      <c r="A2161" s="47"/>
      <c r="B2161" s="47"/>
      <c r="C2161" s="47"/>
      <c r="D2161" s="47"/>
      <c r="E2161" s="47"/>
      <c r="F2161" s="47"/>
      <c r="G2161" s="47"/>
      <c r="H2161" s="47"/>
      <c r="I2161" s="47"/>
      <c r="J2161" s="47"/>
      <c r="K2161" s="59"/>
      <c r="L2161" s="59"/>
      <c r="M2161" s="47"/>
    </row>
    <row r="2162" customHeight="1" spans="1:13">
      <c r="A2162" s="47"/>
      <c r="B2162" s="47"/>
      <c r="C2162" s="47"/>
      <c r="D2162" s="47"/>
      <c r="E2162" s="47"/>
      <c r="F2162" s="47"/>
      <c r="G2162" s="47"/>
      <c r="H2162" s="47"/>
      <c r="I2162" s="47"/>
      <c r="J2162" s="47"/>
      <c r="K2162" s="59"/>
      <c r="L2162" s="59"/>
      <c r="M2162" s="47"/>
    </row>
    <row r="2163" customHeight="1" spans="1:13">
      <c r="A2163" s="47"/>
      <c r="B2163" s="47"/>
      <c r="C2163" s="47"/>
      <c r="D2163" s="47"/>
      <c r="E2163" s="47"/>
      <c r="F2163" s="47"/>
      <c r="G2163" s="47"/>
      <c r="H2163" s="47"/>
      <c r="I2163" s="47"/>
      <c r="J2163" s="47"/>
      <c r="K2163" s="59"/>
      <c r="L2163" s="59"/>
      <c r="M2163" s="47"/>
    </row>
    <row r="2164" customHeight="1" spans="1:13">
      <c r="A2164" s="47"/>
      <c r="B2164" s="47"/>
      <c r="C2164" s="47"/>
      <c r="D2164" s="47"/>
      <c r="E2164" s="47"/>
      <c r="F2164" s="47"/>
      <c r="G2164" s="47"/>
      <c r="H2164" s="47"/>
      <c r="I2164" s="47"/>
      <c r="J2164" s="47"/>
      <c r="K2164" s="59"/>
      <c r="L2164" s="59"/>
      <c r="M2164" s="47"/>
    </row>
    <row r="2165" customHeight="1" spans="1:13">
      <c r="A2165" s="47"/>
      <c r="B2165" s="47"/>
      <c r="C2165" s="47"/>
      <c r="D2165" s="47"/>
      <c r="E2165" s="47"/>
      <c r="F2165" s="47"/>
      <c r="G2165" s="47"/>
      <c r="H2165" s="47"/>
      <c r="I2165" s="47"/>
      <c r="J2165" s="47"/>
      <c r="K2165" s="59"/>
      <c r="L2165" s="59"/>
      <c r="M2165" s="47"/>
    </row>
    <row r="2166" customHeight="1" spans="1:13">
      <c r="A2166" s="47"/>
      <c r="B2166" s="47"/>
      <c r="C2166" s="47"/>
      <c r="D2166" s="47"/>
      <c r="E2166" s="47"/>
      <c r="F2166" s="47"/>
      <c r="G2166" s="47"/>
      <c r="H2166" s="47"/>
      <c r="I2166" s="47"/>
      <c r="J2166" s="47"/>
      <c r="K2166" s="59"/>
      <c r="L2166" s="59"/>
      <c r="M2166" s="47"/>
    </row>
    <row r="2167" customHeight="1" spans="1:13">
      <c r="A2167" s="47"/>
      <c r="B2167" s="47"/>
      <c r="C2167" s="47"/>
      <c r="D2167" s="47"/>
      <c r="E2167" s="47"/>
      <c r="F2167" s="47"/>
      <c r="G2167" s="47"/>
      <c r="H2167" s="47"/>
      <c r="I2167" s="47"/>
      <c r="J2167" s="47"/>
      <c r="K2167" s="59"/>
      <c r="L2167" s="59"/>
      <c r="M2167" s="47"/>
    </row>
    <row r="2168" customHeight="1" spans="1:13">
      <c r="A2168" s="47"/>
      <c r="B2168" s="47"/>
      <c r="C2168" s="47"/>
      <c r="D2168" s="47"/>
      <c r="E2168" s="47"/>
      <c r="F2168" s="47"/>
      <c r="G2168" s="47"/>
      <c r="H2168" s="47"/>
      <c r="I2168" s="47"/>
      <c r="J2168" s="47"/>
      <c r="K2168" s="59"/>
      <c r="L2168" s="59"/>
      <c r="M2168" s="47"/>
    </row>
    <row r="2169" customHeight="1" spans="1:13">
      <c r="A2169" s="47"/>
      <c r="B2169" s="47"/>
      <c r="C2169" s="47"/>
      <c r="D2169" s="47"/>
      <c r="E2169" s="47"/>
      <c r="F2169" s="47"/>
      <c r="G2169" s="47"/>
      <c r="H2169" s="47"/>
      <c r="I2169" s="47"/>
      <c r="J2169" s="47"/>
      <c r="K2169" s="59"/>
      <c r="L2169" s="59"/>
      <c r="M2169" s="47"/>
    </row>
    <row r="2170" customHeight="1" spans="1:13">
      <c r="A2170" s="47"/>
      <c r="B2170" s="47"/>
      <c r="C2170" s="47"/>
      <c r="D2170" s="47"/>
      <c r="E2170" s="47"/>
      <c r="F2170" s="47"/>
      <c r="G2170" s="47"/>
      <c r="H2170" s="47"/>
      <c r="I2170" s="47"/>
      <c r="J2170" s="47"/>
      <c r="K2170" s="59"/>
      <c r="L2170" s="59"/>
      <c r="M2170" s="47"/>
    </row>
    <row r="2171" customHeight="1" spans="1:13">
      <c r="A2171" s="47"/>
      <c r="B2171" s="47"/>
      <c r="C2171" s="47"/>
      <c r="D2171" s="47"/>
      <c r="E2171" s="47"/>
      <c r="F2171" s="47"/>
      <c r="G2171" s="47"/>
      <c r="H2171" s="47"/>
      <c r="I2171" s="47"/>
      <c r="J2171" s="47"/>
      <c r="K2171" s="59"/>
      <c r="L2171" s="59"/>
      <c r="M2171" s="47"/>
    </row>
    <row r="2172" customHeight="1" spans="1:13">
      <c r="A2172" s="47"/>
      <c r="B2172" s="47"/>
      <c r="C2172" s="47"/>
      <c r="D2172" s="47"/>
      <c r="E2172" s="47"/>
      <c r="F2172" s="47"/>
      <c r="G2172" s="47"/>
      <c r="H2172" s="47"/>
      <c r="I2172" s="47"/>
      <c r="J2172" s="47"/>
      <c r="K2172" s="59"/>
      <c r="L2172" s="59"/>
      <c r="M2172" s="47"/>
    </row>
    <row r="2173" customHeight="1" spans="1:13">
      <c r="A2173" s="47"/>
      <c r="B2173" s="47"/>
      <c r="C2173" s="47"/>
      <c r="D2173" s="47"/>
      <c r="E2173" s="47"/>
      <c r="F2173" s="47"/>
      <c r="G2173" s="47"/>
      <c r="H2173" s="47"/>
      <c r="I2173" s="47"/>
      <c r="J2173" s="47"/>
      <c r="K2173" s="59"/>
      <c r="L2173" s="59"/>
      <c r="M2173" s="47"/>
    </row>
    <row r="2174" customHeight="1" spans="1:13">
      <c r="A2174" s="47"/>
      <c r="B2174" s="47"/>
      <c r="C2174" s="47"/>
      <c r="D2174" s="47"/>
      <c r="E2174" s="47"/>
      <c r="F2174" s="47"/>
      <c r="G2174" s="47"/>
      <c r="H2174" s="47"/>
      <c r="I2174" s="47"/>
      <c r="J2174" s="47"/>
      <c r="K2174" s="59"/>
      <c r="L2174" s="59"/>
      <c r="M2174" s="47"/>
    </row>
    <row r="2175" customHeight="1" spans="1:13">
      <c r="A2175" s="47"/>
      <c r="B2175" s="47"/>
      <c r="C2175" s="47"/>
      <c r="D2175" s="47"/>
      <c r="E2175" s="47"/>
      <c r="F2175" s="47"/>
      <c r="G2175" s="47"/>
      <c r="H2175" s="47"/>
      <c r="I2175" s="47"/>
      <c r="J2175" s="47"/>
      <c r="K2175" s="59"/>
      <c r="L2175" s="59"/>
      <c r="M2175" s="47"/>
    </row>
    <row r="2176" customHeight="1" spans="1:13">
      <c r="A2176" s="47"/>
      <c r="B2176" s="47"/>
      <c r="C2176" s="47"/>
      <c r="D2176" s="47"/>
      <c r="E2176" s="47"/>
      <c r="F2176" s="47"/>
      <c r="G2176" s="47"/>
      <c r="H2176" s="47"/>
      <c r="I2176" s="47"/>
      <c r="J2176" s="47"/>
      <c r="K2176" s="59"/>
      <c r="L2176" s="59"/>
      <c r="M2176" s="47"/>
    </row>
    <row r="2177" customHeight="1" spans="1:13">
      <c r="A2177" s="47"/>
      <c r="B2177" s="47"/>
      <c r="C2177" s="47"/>
      <c r="D2177" s="47"/>
      <c r="E2177" s="47"/>
      <c r="F2177" s="47"/>
      <c r="G2177" s="47"/>
      <c r="H2177" s="47"/>
      <c r="I2177" s="47"/>
      <c r="J2177" s="47"/>
      <c r="K2177" s="59"/>
      <c r="L2177" s="59"/>
      <c r="M2177" s="47"/>
    </row>
    <row r="2178" customHeight="1" spans="1:13">
      <c r="A2178" s="47"/>
      <c r="B2178" s="47"/>
      <c r="C2178" s="47"/>
      <c r="D2178" s="47"/>
      <c r="E2178" s="47"/>
      <c r="F2178" s="47"/>
      <c r="G2178" s="47"/>
      <c r="H2178" s="47"/>
      <c r="I2178" s="47"/>
      <c r="J2178" s="47"/>
      <c r="K2178" s="59"/>
      <c r="L2178" s="59"/>
      <c r="M2178" s="47"/>
    </row>
    <row r="2179" customHeight="1" spans="1:13">
      <c r="A2179" s="47"/>
      <c r="B2179" s="47"/>
      <c r="C2179" s="47"/>
      <c r="D2179" s="47"/>
      <c r="E2179" s="47"/>
      <c r="F2179" s="47"/>
      <c r="G2179" s="47"/>
      <c r="H2179" s="47"/>
      <c r="I2179" s="47"/>
      <c r="J2179" s="47"/>
      <c r="K2179" s="59"/>
      <c r="L2179" s="59"/>
      <c r="M2179" s="47"/>
    </row>
    <row r="2180" customHeight="1" spans="1:13">
      <c r="A2180" s="47"/>
      <c r="B2180" s="47"/>
      <c r="C2180" s="47"/>
      <c r="D2180" s="47"/>
      <c r="E2180" s="47"/>
      <c r="F2180" s="47"/>
      <c r="G2180" s="47"/>
      <c r="H2180" s="47"/>
      <c r="I2180" s="47"/>
      <c r="J2180" s="47"/>
      <c r="K2180" s="59"/>
      <c r="L2180" s="59"/>
      <c r="M2180" s="47"/>
    </row>
    <row r="2181" customHeight="1" spans="1:13">
      <c r="A2181" s="47"/>
      <c r="B2181" s="47"/>
      <c r="C2181" s="47"/>
      <c r="D2181" s="47"/>
      <c r="E2181" s="47"/>
      <c r="F2181" s="47"/>
      <c r="G2181" s="47"/>
      <c r="H2181" s="47"/>
      <c r="I2181" s="47"/>
      <c r="J2181" s="47"/>
      <c r="K2181" s="59"/>
      <c r="L2181" s="59"/>
      <c r="M2181" s="47"/>
    </row>
    <row r="2182" customHeight="1" spans="1:13">
      <c r="A2182" s="47"/>
      <c r="B2182" s="47"/>
      <c r="C2182" s="47"/>
      <c r="D2182" s="47"/>
      <c r="E2182" s="47"/>
      <c r="F2182" s="47"/>
      <c r="G2182" s="47"/>
      <c r="H2182" s="47"/>
      <c r="I2182" s="47"/>
      <c r="J2182" s="47"/>
      <c r="K2182" s="59"/>
      <c r="L2182" s="59"/>
      <c r="M2182" s="47"/>
    </row>
    <row r="2183" customHeight="1" spans="1:13">
      <c r="A2183" s="47"/>
      <c r="B2183" s="47"/>
      <c r="C2183" s="47"/>
      <c r="D2183" s="47"/>
      <c r="E2183" s="47"/>
      <c r="F2183" s="47"/>
      <c r="G2183" s="47"/>
      <c r="H2183" s="47"/>
      <c r="I2183" s="47"/>
      <c r="J2183" s="47"/>
      <c r="K2183" s="59"/>
      <c r="L2183" s="59"/>
      <c r="M2183" s="47"/>
    </row>
    <row r="2184" customHeight="1" spans="1:13">
      <c r="A2184" s="47"/>
      <c r="B2184" s="47"/>
      <c r="C2184" s="47"/>
      <c r="D2184" s="47"/>
      <c r="E2184" s="47"/>
      <c r="F2184" s="47"/>
      <c r="G2184" s="47"/>
      <c r="H2184" s="47"/>
      <c r="I2184" s="47"/>
      <c r="J2184" s="47"/>
      <c r="K2184" s="59"/>
      <c r="L2184" s="59"/>
      <c r="M2184" s="47"/>
    </row>
    <row r="2185" customHeight="1" spans="1:13">
      <c r="A2185" s="47"/>
      <c r="B2185" s="47"/>
      <c r="C2185" s="47"/>
      <c r="D2185" s="47"/>
      <c r="E2185" s="47"/>
      <c r="F2185" s="47"/>
      <c r="G2185" s="47"/>
      <c r="H2185" s="47"/>
      <c r="I2185" s="47"/>
      <c r="J2185" s="47"/>
      <c r="K2185" s="59"/>
      <c r="L2185" s="59"/>
      <c r="M2185" s="47"/>
    </row>
    <row r="2186" customHeight="1" spans="1:13">
      <c r="A2186" s="47"/>
      <c r="B2186" s="47"/>
      <c r="C2186" s="47"/>
      <c r="D2186" s="47"/>
      <c r="E2186" s="47"/>
      <c r="F2186" s="47"/>
      <c r="G2186" s="47"/>
      <c r="H2186" s="47"/>
      <c r="I2186" s="47"/>
      <c r="J2186" s="47"/>
      <c r="K2186" s="59"/>
      <c r="L2186" s="59"/>
      <c r="M2186" s="47"/>
    </row>
    <row r="2187" customHeight="1" spans="1:13">
      <c r="A2187" s="47"/>
      <c r="B2187" s="47"/>
      <c r="C2187" s="47"/>
      <c r="D2187" s="47"/>
      <c r="E2187" s="47"/>
      <c r="F2187" s="47"/>
      <c r="G2187" s="47"/>
      <c r="H2187" s="47"/>
      <c r="I2187" s="47"/>
      <c r="J2187" s="47"/>
      <c r="K2187" s="59"/>
      <c r="L2187" s="59"/>
      <c r="M2187" s="47"/>
    </row>
    <row r="2188" customHeight="1" spans="1:13">
      <c r="A2188" s="47"/>
      <c r="B2188" s="47"/>
      <c r="C2188" s="47"/>
      <c r="D2188" s="47"/>
      <c r="E2188" s="47"/>
      <c r="F2188" s="47"/>
      <c r="G2188" s="47"/>
      <c r="H2188" s="47"/>
      <c r="I2188" s="47"/>
      <c r="J2188" s="47"/>
      <c r="K2188" s="59"/>
      <c r="L2188" s="59"/>
      <c r="M2188" s="47"/>
    </row>
    <row r="2189" customHeight="1" spans="1:13">
      <c r="A2189" s="47"/>
      <c r="B2189" s="47"/>
      <c r="C2189" s="47"/>
      <c r="D2189" s="47"/>
      <c r="E2189" s="47"/>
      <c r="F2189" s="47"/>
      <c r="G2189" s="47"/>
      <c r="H2189" s="47"/>
      <c r="I2189" s="47"/>
      <c r="J2189" s="47"/>
      <c r="K2189" s="59"/>
      <c r="L2189" s="59"/>
      <c r="M2189" s="47"/>
    </row>
    <row r="2190" customHeight="1" spans="1:13">
      <c r="A2190" s="47"/>
      <c r="B2190" s="47"/>
      <c r="C2190" s="47"/>
      <c r="D2190" s="47"/>
      <c r="E2190" s="47"/>
      <c r="F2190" s="47"/>
      <c r="G2190" s="47"/>
      <c r="H2190" s="47"/>
      <c r="I2190" s="47"/>
      <c r="J2190" s="47"/>
      <c r="K2190" s="59"/>
      <c r="L2190" s="59"/>
      <c r="M2190" s="47"/>
    </row>
    <row r="2191" customHeight="1" spans="1:13">
      <c r="A2191" s="47"/>
      <c r="B2191" s="47"/>
      <c r="C2191" s="47"/>
      <c r="D2191" s="47"/>
      <c r="E2191" s="47"/>
      <c r="F2191" s="47"/>
      <c r="G2191" s="47"/>
      <c r="H2191" s="47"/>
      <c r="I2191" s="47"/>
      <c r="J2191" s="47"/>
      <c r="K2191" s="59"/>
      <c r="L2191" s="59"/>
      <c r="M2191" s="47"/>
    </row>
    <row r="2192" customHeight="1" spans="1:13">
      <c r="A2192" s="47"/>
      <c r="B2192" s="47"/>
      <c r="C2192" s="47"/>
      <c r="D2192" s="47"/>
      <c r="E2192" s="47"/>
      <c r="F2192" s="47"/>
      <c r="G2192" s="47"/>
      <c r="H2192" s="47"/>
      <c r="I2192" s="47"/>
      <c r="J2192" s="47"/>
      <c r="K2192" s="59"/>
      <c r="L2192" s="59"/>
      <c r="M2192" s="47"/>
    </row>
    <row r="2193" customHeight="1" spans="1:13">
      <c r="A2193" s="47"/>
      <c r="B2193" s="47"/>
      <c r="C2193" s="47"/>
      <c r="D2193" s="47"/>
      <c r="E2193" s="47"/>
      <c r="F2193" s="47"/>
      <c r="G2193" s="47"/>
      <c r="H2193" s="47"/>
      <c r="I2193" s="47"/>
      <c r="J2193" s="47"/>
      <c r="K2193" s="59"/>
      <c r="L2193" s="59"/>
      <c r="M2193" s="47"/>
    </row>
    <row r="2194" customHeight="1" spans="1:13">
      <c r="A2194" s="47"/>
      <c r="B2194" s="47"/>
      <c r="C2194" s="47"/>
      <c r="D2194" s="47"/>
      <c r="E2194" s="47"/>
      <c r="F2194" s="47"/>
      <c r="G2194" s="47"/>
      <c r="H2194" s="47"/>
      <c r="I2194" s="47"/>
      <c r="J2194" s="47"/>
      <c r="K2194" s="59"/>
      <c r="L2194" s="59"/>
      <c r="M2194" s="47"/>
    </row>
    <row r="2195" customHeight="1" spans="1:13">
      <c r="A2195" s="47"/>
      <c r="B2195" s="47"/>
      <c r="C2195" s="47"/>
      <c r="D2195" s="47"/>
      <c r="E2195" s="47"/>
      <c r="F2195" s="47"/>
      <c r="G2195" s="47"/>
      <c r="H2195" s="47"/>
      <c r="I2195" s="47"/>
      <c r="J2195" s="47"/>
      <c r="K2195" s="59"/>
      <c r="L2195" s="59"/>
      <c r="M2195" s="47"/>
    </row>
    <row r="2196" customHeight="1" spans="1:13">
      <c r="A2196" s="47"/>
      <c r="B2196" s="47"/>
      <c r="C2196" s="47"/>
      <c r="D2196" s="47"/>
      <c r="E2196" s="47"/>
      <c r="F2196" s="47"/>
      <c r="G2196" s="47"/>
      <c r="H2196" s="47"/>
      <c r="I2196" s="47"/>
      <c r="J2196" s="47"/>
      <c r="K2196" s="59"/>
      <c r="L2196" s="59"/>
      <c r="M2196" s="47"/>
    </row>
    <row r="2197" customHeight="1" spans="1:13">
      <c r="A2197" s="47"/>
      <c r="B2197" s="47"/>
      <c r="C2197" s="47"/>
      <c r="D2197" s="47"/>
      <c r="E2197" s="47"/>
      <c r="F2197" s="47"/>
      <c r="G2197" s="47"/>
      <c r="H2197" s="47"/>
      <c r="I2197" s="47"/>
      <c r="J2197" s="47"/>
      <c r="K2197" s="59"/>
      <c r="L2197" s="59"/>
      <c r="M2197" s="47"/>
    </row>
    <row r="2198" customHeight="1" spans="1:13">
      <c r="A2198" s="47"/>
      <c r="B2198" s="47"/>
      <c r="C2198" s="47"/>
      <c r="D2198" s="47"/>
      <c r="E2198" s="47"/>
      <c r="F2198" s="47"/>
      <c r="G2198" s="47"/>
      <c r="H2198" s="47"/>
      <c r="I2198" s="47"/>
      <c r="J2198" s="47"/>
      <c r="K2198" s="59"/>
      <c r="L2198" s="59"/>
      <c r="M2198" s="47"/>
    </row>
    <row r="2199" customHeight="1" spans="1:13">
      <c r="A2199" s="47"/>
      <c r="B2199" s="47"/>
      <c r="C2199" s="47"/>
      <c r="D2199" s="47"/>
      <c r="E2199" s="47"/>
      <c r="F2199" s="47"/>
      <c r="G2199" s="47"/>
      <c r="H2199" s="47"/>
      <c r="I2199" s="47"/>
      <c r="J2199" s="47"/>
      <c r="K2199" s="59"/>
      <c r="L2199" s="59"/>
      <c r="M2199" s="47"/>
    </row>
    <row r="2200" customHeight="1" spans="1:13">
      <c r="A2200" s="47"/>
      <c r="B2200" s="47"/>
      <c r="C2200" s="47"/>
      <c r="D2200" s="47"/>
      <c r="E2200" s="47"/>
      <c r="F2200" s="47"/>
      <c r="G2200" s="47"/>
      <c r="H2200" s="47"/>
      <c r="I2200" s="47"/>
      <c r="J2200" s="47"/>
      <c r="K2200" s="59"/>
      <c r="L2200" s="59"/>
      <c r="M2200" s="47"/>
    </row>
    <row r="2201" customHeight="1" spans="1:13">
      <c r="A2201" s="47"/>
      <c r="B2201" s="47"/>
      <c r="C2201" s="47"/>
      <c r="D2201" s="47"/>
      <c r="E2201" s="47"/>
      <c r="F2201" s="47"/>
      <c r="G2201" s="47"/>
      <c r="H2201" s="47"/>
      <c r="I2201" s="47"/>
      <c r="J2201" s="47"/>
      <c r="K2201" s="59"/>
      <c r="L2201" s="59"/>
      <c r="M2201" s="47"/>
    </row>
    <row r="2202" customHeight="1" spans="1:13">
      <c r="A2202" s="47"/>
      <c r="B2202" s="47"/>
      <c r="C2202" s="47"/>
      <c r="D2202" s="47"/>
      <c r="E2202" s="47"/>
      <c r="F2202" s="47"/>
      <c r="G2202" s="47"/>
      <c r="H2202" s="47"/>
      <c r="I2202" s="47"/>
      <c r="J2202" s="47"/>
      <c r="K2202" s="59"/>
      <c r="L2202" s="59"/>
      <c r="M2202" s="47"/>
    </row>
    <row r="2203" customHeight="1" spans="1:13">
      <c r="A2203" s="47"/>
      <c r="B2203" s="47"/>
      <c r="C2203" s="47"/>
      <c r="D2203" s="47"/>
      <c r="E2203" s="47"/>
      <c r="F2203" s="47"/>
      <c r="G2203" s="47"/>
      <c r="H2203" s="47"/>
      <c r="I2203" s="47"/>
      <c r="J2203" s="47"/>
      <c r="K2203" s="59"/>
      <c r="L2203" s="59"/>
      <c r="M2203" s="47"/>
    </row>
    <row r="2204" customHeight="1" spans="1:13">
      <c r="A2204" s="47"/>
      <c r="B2204" s="47"/>
      <c r="C2204" s="47"/>
      <c r="D2204" s="47"/>
      <c r="E2204" s="47"/>
      <c r="F2204" s="47"/>
      <c r="G2204" s="47"/>
      <c r="H2204" s="47"/>
      <c r="I2204" s="47"/>
      <c r="J2204" s="47"/>
      <c r="K2204" s="59"/>
      <c r="L2204" s="59"/>
      <c r="M2204" s="47"/>
    </row>
    <row r="2205" customHeight="1" spans="1:13">
      <c r="A2205" s="47"/>
      <c r="B2205" s="47"/>
      <c r="C2205" s="47"/>
      <c r="D2205" s="47"/>
      <c r="E2205" s="47"/>
      <c r="F2205" s="47"/>
      <c r="G2205" s="47"/>
      <c r="H2205" s="47"/>
      <c r="I2205" s="47"/>
      <c r="J2205" s="47"/>
      <c r="K2205" s="59"/>
      <c r="L2205" s="59"/>
      <c r="M2205" s="47"/>
    </row>
    <row r="2206" customHeight="1" spans="1:13">
      <c r="A2206" s="47"/>
      <c r="B2206" s="47"/>
      <c r="C2206" s="47"/>
      <c r="D2206" s="47"/>
      <c r="E2206" s="47"/>
      <c r="F2206" s="47"/>
      <c r="G2206" s="47"/>
      <c r="H2206" s="47"/>
      <c r="I2206" s="47"/>
      <c r="J2206" s="47"/>
      <c r="K2206" s="59"/>
      <c r="L2206" s="59"/>
      <c r="M2206" s="47"/>
    </row>
    <row r="2207" customHeight="1" spans="1:13">
      <c r="A2207" s="47"/>
      <c r="B2207" s="47"/>
      <c r="C2207" s="47"/>
      <c r="D2207" s="47"/>
      <c r="E2207" s="47"/>
      <c r="F2207" s="47"/>
      <c r="G2207" s="47"/>
      <c r="H2207" s="47"/>
      <c r="I2207" s="47"/>
      <c r="J2207" s="47"/>
      <c r="K2207" s="59"/>
      <c r="L2207" s="59"/>
      <c r="M2207" s="47"/>
    </row>
    <row r="2208" customHeight="1" spans="1:13">
      <c r="A2208" s="47"/>
      <c r="B2208" s="47"/>
      <c r="C2208" s="47"/>
      <c r="D2208" s="47"/>
      <c r="E2208" s="47"/>
      <c r="F2208" s="47"/>
      <c r="G2208" s="47"/>
      <c r="H2208" s="47"/>
      <c r="I2208" s="47"/>
      <c r="J2208" s="47"/>
      <c r="K2208" s="59"/>
      <c r="L2208" s="59"/>
      <c r="M2208" s="47"/>
    </row>
    <row r="2209" customHeight="1" spans="1:13">
      <c r="A2209" s="47"/>
      <c r="B2209" s="47"/>
      <c r="C2209" s="47"/>
      <c r="D2209" s="47"/>
      <c r="E2209" s="47"/>
      <c r="F2209" s="47"/>
      <c r="G2209" s="47"/>
      <c r="H2209" s="47"/>
      <c r="I2209" s="47"/>
      <c r="J2209" s="47"/>
      <c r="K2209" s="59"/>
      <c r="L2209" s="59"/>
      <c r="M2209" s="47"/>
    </row>
    <row r="2210" customHeight="1" spans="1:13">
      <c r="A2210" s="47"/>
      <c r="B2210" s="47"/>
      <c r="C2210" s="47"/>
      <c r="D2210" s="47"/>
      <c r="E2210" s="47"/>
      <c r="F2210" s="47"/>
      <c r="G2210" s="47"/>
      <c r="H2210" s="47"/>
      <c r="I2210" s="47"/>
      <c r="J2210" s="47"/>
      <c r="K2210" s="59"/>
      <c r="L2210" s="59"/>
      <c r="M2210" s="47"/>
    </row>
    <row r="2211" customHeight="1" spans="1:13">
      <c r="A2211" s="47"/>
      <c r="B2211" s="47"/>
      <c r="C2211" s="47"/>
      <c r="D2211" s="47"/>
      <c r="E2211" s="47"/>
      <c r="F2211" s="47"/>
      <c r="G2211" s="47"/>
      <c r="H2211" s="47"/>
      <c r="I2211" s="47"/>
      <c r="J2211" s="47"/>
      <c r="K2211" s="59"/>
      <c r="L2211" s="59"/>
      <c r="M2211" s="47"/>
    </row>
    <row r="2212" customHeight="1" spans="1:13">
      <c r="A2212" s="47"/>
      <c r="B2212" s="47"/>
      <c r="C2212" s="47"/>
      <c r="D2212" s="47"/>
      <c r="E2212" s="47"/>
      <c r="F2212" s="47"/>
      <c r="G2212" s="47"/>
      <c r="H2212" s="47"/>
      <c r="I2212" s="47"/>
      <c r="J2212" s="47"/>
      <c r="K2212" s="59"/>
      <c r="L2212" s="59"/>
      <c r="M2212" s="47"/>
    </row>
    <row r="2213" customHeight="1" spans="1:13">
      <c r="A2213" s="47"/>
      <c r="B2213" s="47"/>
      <c r="C2213" s="47"/>
      <c r="D2213" s="47"/>
      <c r="E2213" s="47"/>
      <c r="F2213" s="47"/>
      <c r="G2213" s="47"/>
      <c r="H2213" s="47"/>
      <c r="I2213" s="47"/>
      <c r="J2213" s="47"/>
      <c r="K2213" s="59"/>
      <c r="L2213" s="59"/>
      <c r="M2213" s="47"/>
    </row>
    <row r="2214" customHeight="1" spans="1:13">
      <c r="A2214" s="47"/>
      <c r="B2214" s="47"/>
      <c r="C2214" s="47"/>
      <c r="D2214" s="47"/>
      <c r="E2214" s="47"/>
      <c r="F2214" s="47"/>
      <c r="G2214" s="47"/>
      <c r="H2214" s="47"/>
      <c r="I2214" s="47"/>
      <c r="J2214" s="47"/>
      <c r="K2214" s="59"/>
      <c r="L2214" s="59"/>
      <c r="M2214" s="47"/>
    </row>
    <row r="2215" customHeight="1" spans="1:13">
      <c r="A2215" s="47"/>
      <c r="B2215" s="47"/>
      <c r="C2215" s="47"/>
      <c r="D2215" s="47"/>
      <c r="E2215" s="47"/>
      <c r="F2215" s="47"/>
      <c r="G2215" s="47"/>
      <c r="H2215" s="47"/>
      <c r="I2215" s="47"/>
      <c r="J2215" s="47"/>
      <c r="K2215" s="59"/>
      <c r="L2215" s="59"/>
      <c r="M2215" s="47"/>
    </row>
    <row r="2216" customHeight="1" spans="1:13">
      <c r="A2216" s="47"/>
      <c r="B2216" s="47"/>
      <c r="C2216" s="47"/>
      <c r="D2216" s="47"/>
      <c r="E2216" s="47"/>
      <c r="F2216" s="47"/>
      <c r="G2216" s="47"/>
      <c r="H2216" s="47"/>
      <c r="I2216" s="47"/>
      <c r="J2216" s="47"/>
      <c r="K2216" s="59"/>
      <c r="L2216" s="59"/>
      <c r="M2216" s="47"/>
    </row>
    <row r="2217" customHeight="1" spans="1:13">
      <c r="A2217" s="47"/>
      <c r="B2217" s="47"/>
      <c r="C2217" s="47"/>
      <c r="D2217" s="47"/>
      <c r="E2217" s="47"/>
      <c r="F2217" s="47"/>
      <c r="G2217" s="47"/>
      <c r="H2217" s="47"/>
      <c r="I2217" s="47"/>
      <c r="J2217" s="47"/>
      <c r="K2217" s="59"/>
      <c r="L2217" s="59"/>
      <c r="M2217" s="47"/>
    </row>
    <row r="2218" customHeight="1" spans="1:13">
      <c r="A2218" s="47"/>
      <c r="B2218" s="47"/>
      <c r="C2218" s="47"/>
      <c r="D2218" s="47"/>
      <c r="E2218" s="47"/>
      <c r="F2218" s="47"/>
      <c r="G2218" s="47"/>
      <c r="H2218" s="47"/>
      <c r="I2218" s="47"/>
      <c r="J2218" s="47"/>
      <c r="K2218" s="59"/>
      <c r="L2218" s="59"/>
      <c r="M2218" s="47"/>
    </row>
    <row r="2219" customHeight="1" spans="1:13">
      <c r="A2219" s="47"/>
      <c r="B2219" s="47"/>
      <c r="C2219" s="47"/>
      <c r="D2219" s="47"/>
      <c r="E2219" s="47"/>
      <c r="F2219" s="47"/>
      <c r="G2219" s="47"/>
      <c r="H2219" s="47"/>
      <c r="I2219" s="47"/>
      <c r="J2219" s="47"/>
      <c r="K2219" s="59"/>
      <c r="L2219" s="59"/>
      <c r="M2219" s="47"/>
    </row>
    <row r="2220" customHeight="1" spans="1:13">
      <c r="A2220" s="47"/>
      <c r="B2220" s="47"/>
      <c r="C2220" s="47"/>
      <c r="D2220" s="47"/>
      <c r="E2220" s="47"/>
      <c r="F2220" s="47"/>
      <c r="G2220" s="47"/>
      <c r="H2220" s="47"/>
      <c r="I2220" s="47"/>
      <c r="J2220" s="47"/>
      <c r="K2220" s="59"/>
      <c r="L2220" s="59"/>
      <c r="M2220" s="47"/>
    </row>
    <row r="2221" customHeight="1" spans="1:13">
      <c r="A2221" s="47"/>
      <c r="B2221" s="47"/>
      <c r="C2221" s="47"/>
      <c r="D2221" s="47"/>
      <c r="E2221" s="47"/>
      <c r="F2221" s="47"/>
      <c r="G2221" s="47"/>
      <c r="H2221" s="47"/>
      <c r="I2221" s="47"/>
      <c r="J2221" s="47"/>
      <c r="K2221" s="59"/>
      <c r="L2221" s="59"/>
      <c r="M2221" s="47"/>
    </row>
    <row r="2222" customHeight="1" spans="1:13">
      <c r="A2222" s="47"/>
      <c r="B2222" s="47"/>
      <c r="C2222" s="47"/>
      <c r="D2222" s="47"/>
      <c r="E2222" s="47"/>
      <c r="F2222" s="47"/>
      <c r="G2222" s="47"/>
      <c r="H2222" s="47"/>
      <c r="I2222" s="47"/>
      <c r="J2222" s="47"/>
      <c r="K2222" s="59"/>
      <c r="L2222" s="59"/>
      <c r="M2222" s="47"/>
    </row>
    <row r="2223" customHeight="1" spans="1:13">
      <c r="A2223" s="47"/>
      <c r="B2223" s="47"/>
      <c r="C2223" s="47"/>
      <c r="D2223" s="47"/>
      <c r="E2223" s="47"/>
      <c r="F2223" s="47"/>
      <c r="G2223" s="47"/>
      <c r="H2223" s="47"/>
      <c r="I2223" s="47"/>
      <c r="J2223" s="47"/>
      <c r="K2223" s="59"/>
      <c r="L2223" s="59"/>
      <c r="M2223" s="47"/>
    </row>
    <row r="2224" customHeight="1" spans="1:13">
      <c r="A2224" s="47"/>
      <c r="B2224" s="47"/>
      <c r="C2224" s="47"/>
      <c r="D2224" s="47"/>
      <c r="E2224" s="47"/>
      <c r="F2224" s="47"/>
      <c r="G2224" s="47"/>
      <c r="H2224" s="47"/>
      <c r="I2224" s="47"/>
      <c r="J2224" s="47"/>
      <c r="K2224" s="59"/>
      <c r="L2224" s="59"/>
      <c r="M2224" s="47"/>
    </row>
    <row r="2225" customHeight="1" spans="1:13">
      <c r="A2225" s="47"/>
      <c r="B2225" s="47"/>
      <c r="C2225" s="47"/>
      <c r="D2225" s="47"/>
      <c r="E2225" s="47"/>
      <c r="F2225" s="47"/>
      <c r="G2225" s="47"/>
      <c r="H2225" s="47"/>
      <c r="I2225" s="47"/>
      <c r="J2225" s="47"/>
      <c r="K2225" s="59"/>
      <c r="L2225" s="59"/>
      <c r="M2225" s="47"/>
    </row>
    <row r="2226" customHeight="1" spans="1:13">
      <c r="A2226" s="47"/>
      <c r="B2226" s="47"/>
      <c r="C2226" s="47"/>
      <c r="D2226" s="47"/>
      <c r="E2226" s="47"/>
      <c r="F2226" s="47"/>
      <c r="G2226" s="47"/>
      <c r="H2226" s="47"/>
      <c r="I2226" s="47"/>
      <c r="J2226" s="47"/>
      <c r="K2226" s="59"/>
      <c r="L2226" s="59"/>
      <c r="M2226" s="47"/>
    </row>
    <row r="2227" customHeight="1" spans="1:13">
      <c r="A2227" s="47"/>
      <c r="B2227" s="47"/>
      <c r="C2227" s="47"/>
      <c r="D2227" s="47"/>
      <c r="E2227" s="47"/>
      <c r="F2227" s="47"/>
      <c r="G2227" s="47"/>
      <c r="H2227" s="47"/>
      <c r="I2227" s="47"/>
      <c r="J2227" s="47"/>
      <c r="K2227" s="59"/>
      <c r="L2227" s="59"/>
      <c r="M2227" s="47"/>
    </row>
    <row r="2228" customHeight="1" spans="1:13">
      <c r="A2228" s="47"/>
      <c r="B2228" s="47"/>
      <c r="C2228" s="47"/>
      <c r="D2228" s="47"/>
      <c r="E2228" s="47"/>
      <c r="F2228" s="47"/>
      <c r="G2228" s="47"/>
      <c r="H2228" s="47"/>
      <c r="I2228" s="47"/>
      <c r="J2228" s="47"/>
      <c r="K2228" s="59"/>
      <c r="L2228" s="59"/>
      <c r="M2228" s="47"/>
    </row>
    <row r="2229" customHeight="1" spans="1:13">
      <c r="A2229" s="47"/>
      <c r="B2229" s="47"/>
      <c r="C2229" s="47"/>
      <c r="D2229" s="47"/>
      <c r="E2229" s="47"/>
      <c r="F2229" s="47"/>
      <c r="G2229" s="47"/>
      <c r="H2229" s="47"/>
      <c r="I2229" s="47"/>
      <c r="J2229" s="47"/>
      <c r="K2229" s="59"/>
      <c r="L2229" s="59"/>
      <c r="M2229" s="47"/>
    </row>
    <row r="2230" customHeight="1" spans="1:13">
      <c r="A2230" s="47"/>
      <c r="B2230" s="47"/>
      <c r="C2230" s="47"/>
      <c r="D2230" s="47"/>
      <c r="E2230" s="47"/>
      <c r="F2230" s="47"/>
      <c r="G2230" s="47"/>
      <c r="H2230" s="47"/>
      <c r="I2230" s="47"/>
      <c r="J2230" s="47"/>
      <c r="K2230" s="59"/>
      <c r="L2230" s="59"/>
      <c r="M2230" s="47"/>
    </row>
    <row r="2231" customHeight="1" spans="1:13">
      <c r="A2231" s="47"/>
      <c r="B2231" s="47"/>
      <c r="C2231" s="47"/>
      <c r="D2231" s="47"/>
      <c r="E2231" s="47"/>
      <c r="F2231" s="47"/>
      <c r="G2231" s="47"/>
      <c r="H2231" s="47"/>
      <c r="I2231" s="47"/>
      <c r="J2231" s="47"/>
      <c r="K2231" s="59"/>
      <c r="L2231" s="59"/>
      <c r="M2231" s="47"/>
    </row>
    <row r="2232" customHeight="1" spans="1:13">
      <c r="A2232" s="47"/>
      <c r="B2232" s="47"/>
      <c r="C2232" s="47"/>
      <c r="D2232" s="47"/>
      <c r="E2232" s="47"/>
      <c r="F2232" s="47"/>
      <c r="G2232" s="47"/>
      <c r="H2232" s="47"/>
      <c r="I2232" s="47"/>
      <c r="J2232" s="47"/>
      <c r="K2232" s="59"/>
      <c r="L2232" s="59"/>
      <c r="M2232" s="47"/>
    </row>
    <row r="2233" customHeight="1" spans="1:13">
      <c r="A2233" s="47"/>
      <c r="B2233" s="47"/>
      <c r="C2233" s="47"/>
      <c r="D2233" s="47"/>
      <c r="E2233" s="47"/>
      <c r="F2233" s="47"/>
      <c r="G2233" s="47"/>
      <c r="H2233" s="47"/>
      <c r="I2233" s="47"/>
      <c r="J2233" s="47"/>
      <c r="K2233" s="59"/>
      <c r="L2233" s="59"/>
      <c r="M2233" s="47"/>
    </row>
    <row r="2234" customHeight="1" spans="1:13">
      <c r="A2234" s="47"/>
      <c r="B2234" s="47"/>
      <c r="C2234" s="47"/>
      <c r="D2234" s="47"/>
      <c r="E2234" s="47"/>
      <c r="F2234" s="47"/>
      <c r="G2234" s="47"/>
      <c r="H2234" s="47"/>
      <c r="I2234" s="47"/>
      <c r="J2234" s="47"/>
      <c r="K2234" s="59"/>
      <c r="L2234" s="59"/>
      <c r="M2234" s="47"/>
    </row>
    <row r="2235" customHeight="1" spans="1:13">
      <c r="A2235" s="47"/>
      <c r="B2235" s="47"/>
      <c r="C2235" s="47"/>
      <c r="D2235" s="47"/>
      <c r="E2235" s="47"/>
      <c r="F2235" s="47"/>
      <c r="G2235" s="47"/>
      <c r="H2235" s="47"/>
      <c r="I2235" s="47"/>
      <c r="J2235" s="47"/>
      <c r="K2235" s="59"/>
      <c r="L2235" s="59"/>
      <c r="M2235" s="47"/>
    </row>
    <row r="2236" customHeight="1" spans="1:13">
      <c r="A2236" s="47"/>
      <c r="B2236" s="47"/>
      <c r="C2236" s="47"/>
      <c r="D2236" s="47"/>
      <c r="E2236" s="47"/>
      <c r="F2236" s="47"/>
      <c r="G2236" s="47"/>
      <c r="H2236" s="47"/>
      <c r="I2236" s="47"/>
      <c r="J2236" s="47"/>
      <c r="K2236" s="59"/>
      <c r="L2236" s="59"/>
      <c r="M2236" s="47"/>
    </row>
    <row r="2237" customHeight="1" spans="1:13">
      <c r="A2237" s="47"/>
      <c r="B2237" s="47"/>
      <c r="C2237" s="47"/>
      <c r="D2237" s="47"/>
      <c r="E2237" s="47"/>
      <c r="F2237" s="47"/>
      <c r="G2237" s="47"/>
      <c r="H2237" s="47"/>
      <c r="I2237" s="47"/>
      <c r="J2237" s="47"/>
      <c r="K2237" s="59"/>
      <c r="L2237" s="59"/>
      <c r="M2237" s="47"/>
    </row>
    <row r="2238" customHeight="1" spans="1:13">
      <c r="A2238" s="47"/>
      <c r="B2238" s="47"/>
      <c r="C2238" s="47"/>
      <c r="D2238" s="47"/>
      <c r="E2238" s="47"/>
      <c r="F2238" s="47"/>
      <c r="G2238" s="47"/>
      <c r="H2238" s="47"/>
      <c r="I2238" s="47"/>
      <c r="J2238" s="47"/>
      <c r="K2238" s="59"/>
      <c r="L2238" s="59"/>
      <c r="M2238" s="47"/>
    </row>
    <row r="2239" customHeight="1" spans="1:13">
      <c r="A2239" s="47"/>
      <c r="B2239" s="47"/>
      <c r="C2239" s="47"/>
      <c r="D2239" s="47"/>
      <c r="E2239" s="47"/>
      <c r="F2239" s="47"/>
      <c r="G2239" s="47"/>
      <c r="H2239" s="47"/>
      <c r="I2239" s="47"/>
      <c r="J2239" s="47"/>
      <c r="K2239" s="59"/>
      <c r="L2239" s="59"/>
      <c r="M2239" s="47"/>
    </row>
    <row r="2240" customHeight="1" spans="1:13">
      <c r="A2240" s="47"/>
      <c r="B2240" s="47"/>
      <c r="C2240" s="47"/>
      <c r="D2240" s="47"/>
      <c r="E2240" s="47"/>
      <c r="F2240" s="47"/>
      <c r="G2240" s="47"/>
      <c r="H2240" s="47"/>
      <c r="I2240" s="47"/>
      <c r="J2240" s="47"/>
      <c r="K2240" s="59"/>
      <c r="L2240" s="59"/>
      <c r="M2240" s="47"/>
    </row>
    <row r="2241" customHeight="1" spans="1:13">
      <c r="A2241" s="47"/>
      <c r="B2241" s="47"/>
      <c r="C2241" s="47"/>
      <c r="D2241" s="47"/>
      <c r="E2241" s="47"/>
      <c r="F2241" s="47"/>
      <c r="G2241" s="47"/>
      <c r="H2241" s="47"/>
      <c r="I2241" s="47"/>
      <c r="J2241" s="47"/>
      <c r="K2241" s="59"/>
      <c r="L2241" s="59"/>
      <c r="M2241" s="47"/>
    </row>
    <row r="2242" customHeight="1" spans="1:13">
      <c r="A2242" s="47"/>
      <c r="B2242" s="47"/>
      <c r="C2242" s="47"/>
      <c r="D2242" s="47"/>
      <c r="E2242" s="47"/>
      <c r="F2242" s="47"/>
      <c r="G2242" s="47"/>
      <c r="H2242" s="47"/>
      <c r="I2242" s="47"/>
      <c r="J2242" s="47"/>
      <c r="K2242" s="59"/>
      <c r="L2242" s="59"/>
      <c r="M2242" s="47"/>
    </row>
    <row r="2243" customHeight="1" spans="1:13">
      <c r="A2243" s="47"/>
      <c r="B2243" s="47"/>
      <c r="C2243" s="47"/>
      <c r="D2243" s="47"/>
      <c r="E2243" s="47"/>
      <c r="F2243" s="47"/>
      <c r="G2243" s="47"/>
      <c r="H2243" s="47"/>
      <c r="I2243" s="47"/>
      <c r="J2243" s="47"/>
      <c r="K2243" s="59"/>
      <c r="L2243" s="59"/>
      <c r="M2243" s="47"/>
    </row>
    <row r="2244" customHeight="1" spans="1:13">
      <c r="A2244" s="47"/>
      <c r="B2244" s="47"/>
      <c r="C2244" s="47"/>
      <c r="D2244" s="47"/>
      <c r="E2244" s="47"/>
      <c r="F2244" s="47"/>
      <c r="G2244" s="47"/>
      <c r="H2244" s="47"/>
      <c r="I2244" s="47"/>
      <c r="J2244" s="47"/>
      <c r="K2244" s="59"/>
      <c r="L2244" s="59"/>
      <c r="M2244" s="47"/>
    </row>
    <row r="2245" customHeight="1" spans="1:13">
      <c r="A2245" s="47"/>
      <c r="B2245" s="47"/>
      <c r="C2245" s="47"/>
      <c r="D2245" s="47"/>
      <c r="E2245" s="47"/>
      <c r="F2245" s="47"/>
      <c r="G2245" s="47"/>
      <c r="H2245" s="47"/>
      <c r="I2245" s="47"/>
      <c r="J2245" s="47"/>
      <c r="K2245" s="59"/>
      <c r="L2245" s="59"/>
      <c r="M2245" s="47"/>
    </row>
    <row r="2246" customHeight="1" spans="1:13">
      <c r="A2246" s="47"/>
      <c r="B2246" s="47"/>
      <c r="C2246" s="47"/>
      <c r="D2246" s="47"/>
      <c r="E2246" s="47"/>
      <c r="F2246" s="47"/>
      <c r="G2246" s="47"/>
      <c r="H2246" s="47"/>
      <c r="I2246" s="47"/>
      <c r="J2246" s="47"/>
      <c r="K2246" s="59"/>
      <c r="L2246" s="59"/>
      <c r="M2246" s="47"/>
    </row>
    <row r="2247" customHeight="1" spans="1:13">
      <c r="A2247" s="47"/>
      <c r="B2247" s="47"/>
      <c r="C2247" s="47"/>
      <c r="D2247" s="47"/>
      <c r="E2247" s="47"/>
      <c r="F2247" s="47"/>
      <c r="G2247" s="47"/>
      <c r="H2247" s="47"/>
      <c r="I2247" s="47"/>
      <c r="J2247" s="47"/>
      <c r="K2247" s="59"/>
      <c r="L2247" s="59"/>
      <c r="M2247" s="47"/>
    </row>
    <row r="2248" customHeight="1" spans="1:13">
      <c r="A2248" s="47"/>
      <c r="B2248" s="47"/>
      <c r="C2248" s="47"/>
      <c r="D2248" s="47"/>
      <c r="E2248" s="47"/>
      <c r="F2248" s="47"/>
      <c r="G2248" s="47"/>
      <c r="H2248" s="47"/>
      <c r="I2248" s="47"/>
      <c r="J2248" s="47"/>
      <c r="K2248" s="59"/>
      <c r="L2248" s="59"/>
      <c r="M2248" s="47"/>
    </row>
    <row r="2249" customHeight="1" spans="1:13">
      <c r="A2249" s="47"/>
      <c r="B2249" s="47"/>
      <c r="C2249" s="47"/>
      <c r="D2249" s="47"/>
      <c r="E2249" s="47"/>
      <c r="F2249" s="47"/>
      <c r="G2249" s="47"/>
      <c r="H2249" s="47"/>
      <c r="I2249" s="47"/>
      <c r="J2249" s="47"/>
      <c r="K2249" s="59"/>
      <c r="L2249" s="59"/>
      <c r="M2249" s="47"/>
    </row>
    <row r="2250" customHeight="1" spans="1:13">
      <c r="A2250" s="47"/>
      <c r="B2250" s="47"/>
      <c r="C2250" s="47"/>
      <c r="D2250" s="47"/>
      <c r="E2250" s="47"/>
      <c r="F2250" s="47"/>
      <c r="G2250" s="47"/>
      <c r="H2250" s="47"/>
      <c r="I2250" s="47"/>
      <c r="J2250" s="47"/>
      <c r="K2250" s="59"/>
      <c r="L2250" s="59"/>
      <c r="M2250" s="47"/>
    </row>
    <row r="2251" customHeight="1" spans="1:13">
      <c r="A2251" s="47"/>
      <c r="B2251" s="47"/>
      <c r="C2251" s="47"/>
      <c r="D2251" s="47"/>
      <c r="E2251" s="47"/>
      <c r="F2251" s="47"/>
      <c r="G2251" s="47"/>
      <c r="H2251" s="47"/>
      <c r="I2251" s="47"/>
      <c r="J2251" s="47"/>
      <c r="K2251" s="59"/>
      <c r="L2251" s="59"/>
      <c r="M2251" s="47"/>
    </row>
    <row r="2252" customHeight="1" spans="1:13">
      <c r="A2252" s="47"/>
      <c r="B2252" s="47"/>
      <c r="C2252" s="47"/>
      <c r="D2252" s="47"/>
      <c r="E2252" s="47"/>
      <c r="F2252" s="47"/>
      <c r="G2252" s="47"/>
      <c r="H2252" s="47"/>
      <c r="I2252" s="47"/>
      <c r="J2252" s="47"/>
      <c r="K2252" s="59"/>
      <c r="L2252" s="59"/>
      <c r="M2252" s="47"/>
    </row>
    <row r="2253" customHeight="1" spans="1:13">
      <c r="A2253" s="47"/>
      <c r="B2253" s="47"/>
      <c r="C2253" s="47"/>
      <c r="D2253" s="47"/>
      <c r="E2253" s="47"/>
      <c r="F2253" s="47"/>
      <c r="G2253" s="47"/>
      <c r="H2253" s="47"/>
      <c r="I2253" s="47"/>
      <c r="J2253" s="47"/>
      <c r="K2253" s="59"/>
      <c r="L2253" s="59"/>
      <c r="M2253" s="47"/>
    </row>
    <row r="2254" customHeight="1" spans="1:13">
      <c r="A2254" s="47"/>
      <c r="B2254" s="47"/>
      <c r="C2254" s="47"/>
      <c r="D2254" s="47"/>
      <c r="E2254" s="47"/>
      <c r="F2254" s="47"/>
      <c r="G2254" s="47"/>
      <c r="H2254" s="47"/>
      <c r="I2254" s="47"/>
      <c r="J2254" s="47"/>
      <c r="K2254" s="59"/>
      <c r="L2254" s="59"/>
      <c r="M2254" s="47"/>
    </row>
    <row r="2255" customHeight="1" spans="1:13">
      <c r="A2255" s="47"/>
      <c r="B2255" s="47"/>
      <c r="C2255" s="47"/>
      <c r="D2255" s="47"/>
      <c r="E2255" s="47"/>
      <c r="F2255" s="47"/>
      <c r="G2255" s="47"/>
      <c r="H2255" s="47"/>
      <c r="I2255" s="47"/>
      <c r="J2255" s="47"/>
      <c r="K2255" s="59"/>
      <c r="L2255" s="59"/>
      <c r="M2255" s="47"/>
    </row>
    <row r="2256" customHeight="1" spans="1:13">
      <c r="A2256" s="47"/>
      <c r="B2256" s="47"/>
      <c r="C2256" s="47"/>
      <c r="D2256" s="47"/>
      <c r="E2256" s="47"/>
      <c r="F2256" s="47"/>
      <c r="G2256" s="47"/>
      <c r="H2256" s="47"/>
      <c r="I2256" s="47"/>
      <c r="J2256" s="47"/>
      <c r="K2256" s="59"/>
      <c r="L2256" s="59"/>
      <c r="M2256" s="47"/>
    </row>
    <row r="2257" customHeight="1" spans="1:13">
      <c r="A2257" s="47"/>
      <c r="B2257" s="47"/>
      <c r="C2257" s="47"/>
      <c r="D2257" s="47"/>
      <c r="E2257" s="47"/>
      <c r="F2257" s="47"/>
      <c r="G2257" s="47"/>
      <c r="H2257" s="47"/>
      <c r="I2257" s="47"/>
      <c r="J2257" s="47"/>
      <c r="K2257" s="59"/>
      <c r="L2257" s="59"/>
      <c r="M2257" s="47"/>
    </row>
    <row r="2258" customHeight="1" spans="1:13">
      <c r="A2258" s="47"/>
      <c r="B2258" s="47"/>
      <c r="C2258" s="47"/>
      <c r="D2258" s="47"/>
      <c r="E2258" s="47"/>
      <c r="F2258" s="47"/>
      <c r="G2258" s="47"/>
      <c r="H2258" s="47"/>
      <c r="I2258" s="47"/>
      <c r="J2258" s="47"/>
      <c r="K2258" s="59"/>
      <c r="L2258" s="59"/>
      <c r="M2258" s="47"/>
    </row>
    <row r="2259" customHeight="1" spans="1:13">
      <c r="A2259" s="47"/>
      <c r="B2259" s="47"/>
      <c r="C2259" s="47"/>
      <c r="D2259" s="47"/>
      <c r="E2259" s="47"/>
      <c r="F2259" s="47"/>
      <c r="G2259" s="47"/>
      <c r="H2259" s="47"/>
      <c r="I2259" s="47"/>
      <c r="J2259" s="47"/>
      <c r="K2259" s="59"/>
      <c r="L2259" s="59"/>
      <c r="M2259" s="47"/>
    </row>
    <row r="2260" customHeight="1" spans="1:13">
      <c r="A2260" s="47"/>
      <c r="B2260" s="47"/>
      <c r="C2260" s="47"/>
      <c r="D2260" s="47"/>
      <c r="E2260" s="47"/>
      <c r="F2260" s="47"/>
      <c r="G2260" s="47"/>
      <c r="H2260" s="47"/>
      <c r="I2260" s="47"/>
      <c r="J2260" s="47"/>
      <c r="K2260" s="59"/>
      <c r="L2260" s="59"/>
      <c r="M2260" s="47"/>
    </row>
    <row r="2261" customHeight="1" spans="1:13">
      <c r="A2261" s="47"/>
      <c r="B2261" s="47"/>
      <c r="C2261" s="47"/>
      <c r="D2261" s="47"/>
      <c r="E2261" s="47"/>
      <c r="F2261" s="47"/>
      <c r="G2261" s="47"/>
      <c r="H2261" s="47"/>
      <c r="I2261" s="47"/>
      <c r="J2261" s="47"/>
      <c r="K2261" s="59"/>
      <c r="L2261" s="59"/>
      <c r="M2261" s="47"/>
    </row>
    <row r="2262" customHeight="1" spans="1:13">
      <c r="A2262" s="47"/>
      <c r="B2262" s="47"/>
      <c r="C2262" s="47"/>
      <c r="D2262" s="47"/>
      <c r="E2262" s="47"/>
      <c r="F2262" s="47"/>
      <c r="G2262" s="47"/>
      <c r="H2262" s="47"/>
      <c r="I2262" s="47"/>
      <c r="J2262" s="47"/>
      <c r="K2262" s="59"/>
      <c r="L2262" s="59"/>
      <c r="M2262" s="47"/>
    </row>
    <row r="2263" customHeight="1" spans="1:13">
      <c r="A2263" s="47"/>
      <c r="B2263" s="47"/>
      <c r="C2263" s="47"/>
      <c r="D2263" s="47"/>
      <c r="E2263" s="47"/>
      <c r="F2263" s="47"/>
      <c r="G2263" s="47"/>
      <c r="H2263" s="47"/>
      <c r="I2263" s="47"/>
      <c r="J2263" s="47"/>
      <c r="K2263" s="59"/>
      <c r="L2263" s="59"/>
      <c r="M2263" s="47"/>
    </row>
    <row r="2264" customHeight="1" spans="1:13">
      <c r="A2264" s="47"/>
      <c r="B2264" s="47"/>
      <c r="C2264" s="47"/>
      <c r="D2264" s="47"/>
      <c r="E2264" s="47"/>
      <c r="F2264" s="47"/>
      <c r="G2264" s="47"/>
      <c r="H2264" s="47"/>
      <c r="I2264" s="47"/>
      <c r="J2264" s="47"/>
      <c r="K2264" s="59"/>
      <c r="L2264" s="59"/>
      <c r="M2264" s="47"/>
    </row>
    <row r="2265" customHeight="1" spans="1:13">
      <c r="A2265" s="47"/>
      <c r="B2265" s="47"/>
      <c r="C2265" s="47"/>
      <c r="D2265" s="47"/>
      <c r="E2265" s="47"/>
      <c r="F2265" s="47"/>
      <c r="G2265" s="47"/>
      <c r="H2265" s="47"/>
      <c r="I2265" s="47"/>
      <c r="J2265" s="47"/>
      <c r="K2265" s="59"/>
      <c r="L2265" s="59"/>
      <c r="M2265" s="47"/>
    </row>
    <row r="2266" customHeight="1" spans="1:13">
      <c r="A2266" s="47"/>
      <c r="B2266" s="47"/>
      <c r="C2266" s="47"/>
      <c r="D2266" s="47"/>
      <c r="E2266" s="47"/>
      <c r="F2266" s="47"/>
      <c r="G2266" s="47"/>
      <c r="H2266" s="47"/>
      <c r="I2266" s="47"/>
      <c r="J2266" s="47"/>
      <c r="K2266" s="59"/>
      <c r="L2266" s="59"/>
      <c r="M2266" s="47"/>
    </row>
    <row r="2267" customHeight="1" spans="1:13">
      <c r="A2267" s="47"/>
      <c r="B2267" s="47"/>
      <c r="C2267" s="47"/>
      <c r="D2267" s="47"/>
      <c r="E2267" s="47"/>
      <c r="F2267" s="47"/>
      <c r="G2267" s="47"/>
      <c r="H2267" s="47"/>
      <c r="I2267" s="47"/>
      <c r="J2267" s="47"/>
      <c r="K2267" s="59"/>
      <c r="L2267" s="59"/>
      <c r="M2267" s="47"/>
    </row>
    <row r="2268" customHeight="1" spans="1:13">
      <c r="A2268" s="47"/>
      <c r="B2268" s="47"/>
      <c r="C2268" s="47"/>
      <c r="D2268" s="47"/>
      <c r="E2268" s="47"/>
      <c r="F2268" s="47"/>
      <c r="G2268" s="47"/>
      <c r="H2268" s="47"/>
      <c r="I2268" s="47"/>
      <c r="J2268" s="47"/>
      <c r="K2268" s="59"/>
      <c r="L2268" s="59"/>
      <c r="M2268" s="47"/>
    </row>
    <row r="2269" customHeight="1" spans="1:13">
      <c r="A2269" s="47"/>
      <c r="B2269" s="47"/>
      <c r="C2269" s="47"/>
      <c r="D2269" s="47"/>
      <c r="E2269" s="47"/>
      <c r="F2269" s="47"/>
      <c r="G2269" s="47"/>
      <c r="H2269" s="47"/>
      <c r="I2269" s="47"/>
      <c r="J2269" s="47"/>
      <c r="K2269" s="59"/>
      <c r="L2269" s="59"/>
      <c r="M2269" s="47"/>
    </row>
    <row r="2270" customHeight="1" spans="1:13">
      <c r="A2270" s="47"/>
      <c r="B2270" s="47"/>
      <c r="C2270" s="47"/>
      <c r="D2270" s="47"/>
      <c r="E2270" s="47"/>
      <c r="F2270" s="47"/>
      <c r="G2270" s="47"/>
      <c r="H2270" s="47"/>
      <c r="I2270" s="47"/>
      <c r="J2270" s="47"/>
      <c r="K2270" s="59"/>
      <c r="L2270" s="59"/>
      <c r="M2270" s="47"/>
    </row>
    <row r="2271" customHeight="1" spans="1:13">
      <c r="A2271" s="47"/>
      <c r="B2271" s="47"/>
      <c r="C2271" s="47"/>
      <c r="D2271" s="47"/>
      <c r="E2271" s="47"/>
      <c r="F2271" s="47"/>
      <c r="G2271" s="47"/>
      <c r="H2271" s="47"/>
      <c r="I2271" s="47"/>
      <c r="J2271" s="47"/>
      <c r="K2271" s="59"/>
      <c r="L2271" s="59"/>
      <c r="M2271" s="47"/>
    </row>
    <row r="2272" customHeight="1" spans="1:13">
      <c r="A2272" s="47"/>
      <c r="B2272" s="47"/>
      <c r="C2272" s="47"/>
      <c r="D2272" s="47"/>
      <c r="E2272" s="47"/>
      <c r="F2272" s="47"/>
      <c r="G2272" s="47"/>
      <c r="H2272" s="47"/>
      <c r="I2272" s="47"/>
      <c r="J2272" s="47"/>
      <c r="K2272" s="59"/>
      <c r="L2272" s="59"/>
      <c r="M2272" s="47"/>
    </row>
    <row r="2273" customHeight="1" spans="1:13">
      <c r="A2273" s="47"/>
      <c r="B2273" s="47"/>
      <c r="C2273" s="47"/>
      <c r="D2273" s="47"/>
      <c r="E2273" s="47"/>
      <c r="F2273" s="47"/>
      <c r="G2273" s="47"/>
      <c r="H2273" s="47"/>
      <c r="I2273" s="47"/>
      <c r="J2273" s="47"/>
      <c r="K2273" s="59"/>
      <c r="L2273" s="59"/>
      <c r="M2273" s="47"/>
    </row>
    <row r="2274" customHeight="1" spans="1:13">
      <c r="A2274" s="47"/>
      <c r="B2274" s="47"/>
      <c r="C2274" s="47"/>
      <c r="D2274" s="47"/>
      <c r="E2274" s="47"/>
      <c r="F2274" s="47"/>
      <c r="G2274" s="47"/>
      <c r="H2274" s="47"/>
      <c r="I2274" s="47"/>
      <c r="J2274" s="47"/>
      <c r="K2274" s="59"/>
      <c r="L2274" s="59"/>
      <c r="M2274" s="47"/>
    </row>
    <row r="2275" customHeight="1" spans="1:13">
      <c r="A2275" s="47"/>
      <c r="B2275" s="47"/>
      <c r="C2275" s="47"/>
      <c r="D2275" s="47"/>
      <c r="E2275" s="47"/>
      <c r="F2275" s="47"/>
      <c r="G2275" s="47"/>
      <c r="H2275" s="47"/>
      <c r="I2275" s="47"/>
      <c r="J2275" s="47"/>
      <c r="K2275" s="59"/>
      <c r="L2275" s="59"/>
      <c r="M2275" s="47"/>
    </row>
    <row r="2276" customHeight="1" spans="1:13">
      <c r="A2276" s="47"/>
      <c r="B2276" s="47"/>
      <c r="C2276" s="47"/>
      <c r="D2276" s="47"/>
      <c r="E2276" s="47"/>
      <c r="F2276" s="47"/>
      <c r="G2276" s="47"/>
      <c r="H2276" s="47"/>
      <c r="I2276" s="47"/>
      <c r="J2276" s="47"/>
      <c r="K2276" s="59"/>
      <c r="L2276" s="59"/>
      <c r="M2276" s="47"/>
    </row>
    <row r="2277" customHeight="1" spans="1:13">
      <c r="A2277" s="47"/>
      <c r="B2277" s="47"/>
      <c r="C2277" s="47"/>
      <c r="D2277" s="47"/>
      <c r="E2277" s="47"/>
      <c r="F2277" s="47"/>
      <c r="G2277" s="47"/>
      <c r="H2277" s="47"/>
      <c r="I2277" s="47"/>
      <c r="J2277" s="47"/>
      <c r="K2277" s="59"/>
      <c r="L2277" s="59"/>
      <c r="M2277" s="47"/>
    </row>
    <row r="2278" customHeight="1" spans="1:13">
      <c r="A2278" s="47"/>
      <c r="B2278" s="47"/>
      <c r="C2278" s="47"/>
      <c r="D2278" s="47"/>
      <c r="E2278" s="47"/>
      <c r="F2278" s="47"/>
      <c r="G2278" s="47"/>
      <c r="H2278" s="47"/>
      <c r="I2278" s="47"/>
      <c r="J2278" s="47"/>
      <c r="K2278" s="59"/>
      <c r="L2278" s="59"/>
      <c r="M2278" s="47"/>
    </row>
    <row r="2279" customHeight="1" spans="1:13">
      <c r="A2279" s="47"/>
      <c r="B2279" s="47"/>
      <c r="C2279" s="47"/>
      <c r="D2279" s="47"/>
      <c r="E2279" s="47"/>
      <c r="F2279" s="47"/>
      <c r="G2279" s="47"/>
      <c r="H2279" s="47"/>
      <c r="I2279" s="47"/>
      <c r="J2279" s="47"/>
      <c r="K2279" s="59"/>
      <c r="L2279" s="59"/>
      <c r="M2279" s="47"/>
    </row>
    <row r="2280" customHeight="1" spans="1:13">
      <c r="A2280" s="47"/>
      <c r="B2280" s="47"/>
      <c r="C2280" s="47"/>
      <c r="D2280" s="47"/>
      <c r="E2280" s="47"/>
      <c r="F2280" s="47"/>
      <c r="G2280" s="47"/>
      <c r="H2280" s="47"/>
      <c r="I2280" s="47"/>
      <c r="J2280" s="47"/>
      <c r="K2280" s="59"/>
      <c r="L2280" s="59"/>
      <c r="M2280" s="47"/>
    </row>
    <row r="2281" customHeight="1" spans="1:13">
      <c r="A2281" s="47"/>
      <c r="B2281" s="47"/>
      <c r="C2281" s="47"/>
      <c r="D2281" s="47"/>
      <c r="E2281" s="47"/>
      <c r="F2281" s="47"/>
      <c r="G2281" s="47"/>
      <c r="H2281" s="47"/>
      <c r="I2281" s="47"/>
      <c r="J2281" s="47"/>
      <c r="K2281" s="59"/>
      <c r="L2281" s="59"/>
      <c r="M2281" s="47"/>
    </row>
    <row r="2282" customHeight="1" spans="1:13">
      <c r="A2282" s="47"/>
      <c r="B2282" s="47"/>
      <c r="C2282" s="47"/>
      <c r="D2282" s="47"/>
      <c r="E2282" s="47"/>
      <c r="F2282" s="47"/>
      <c r="G2282" s="47"/>
      <c r="H2282" s="47"/>
      <c r="I2282" s="47"/>
      <c r="J2282" s="47"/>
      <c r="K2282" s="59"/>
      <c r="L2282" s="59"/>
      <c r="M2282" s="47"/>
    </row>
    <row r="2283" customHeight="1" spans="1:13">
      <c r="A2283" s="47"/>
      <c r="B2283" s="47"/>
      <c r="C2283" s="47"/>
      <c r="D2283" s="47"/>
      <c r="E2283" s="47"/>
      <c r="F2283" s="47"/>
      <c r="G2283" s="47"/>
      <c r="H2283" s="47"/>
      <c r="I2283" s="47"/>
      <c r="J2283" s="47"/>
      <c r="K2283" s="59"/>
      <c r="L2283" s="59"/>
      <c r="M2283" s="47"/>
    </row>
    <row r="2284" customHeight="1" spans="1:13">
      <c r="A2284" s="47"/>
      <c r="B2284" s="47"/>
      <c r="C2284" s="47"/>
      <c r="D2284" s="47"/>
      <c r="E2284" s="47"/>
      <c r="F2284" s="47"/>
      <c r="G2284" s="47"/>
      <c r="H2284" s="47"/>
      <c r="I2284" s="47"/>
      <c r="J2284" s="47"/>
      <c r="K2284" s="59"/>
      <c r="L2284" s="59"/>
      <c r="M2284" s="47"/>
    </row>
    <row r="2285" customHeight="1" spans="1:13">
      <c r="A2285" s="47"/>
      <c r="B2285" s="47"/>
      <c r="C2285" s="47"/>
      <c r="D2285" s="47"/>
      <c r="E2285" s="47"/>
      <c r="F2285" s="47"/>
      <c r="G2285" s="47"/>
      <c r="H2285" s="47"/>
      <c r="I2285" s="47"/>
      <c r="J2285" s="47"/>
      <c r="K2285" s="59"/>
      <c r="L2285" s="59"/>
      <c r="M2285" s="47"/>
    </row>
    <row r="2286" customHeight="1" spans="1:13">
      <c r="A2286" s="47"/>
      <c r="B2286" s="47"/>
      <c r="C2286" s="47"/>
      <c r="D2286" s="47"/>
      <c r="E2286" s="47"/>
      <c r="F2286" s="47"/>
      <c r="G2286" s="47"/>
      <c r="H2286" s="47"/>
      <c r="I2286" s="47"/>
      <c r="J2286" s="47"/>
      <c r="K2286" s="59"/>
      <c r="L2286" s="59"/>
      <c r="M2286" s="47"/>
    </row>
    <row r="2287" customHeight="1" spans="1:13">
      <c r="A2287" s="47"/>
      <c r="B2287" s="47"/>
      <c r="C2287" s="47"/>
      <c r="D2287" s="47"/>
      <c r="E2287" s="47"/>
      <c r="F2287" s="47"/>
      <c r="G2287" s="47"/>
      <c r="H2287" s="47"/>
      <c r="I2287" s="47"/>
      <c r="J2287" s="47"/>
      <c r="K2287" s="59"/>
      <c r="L2287" s="59"/>
      <c r="M2287" s="47"/>
    </row>
    <row r="2288" customHeight="1" spans="1:13">
      <c r="A2288" s="47"/>
      <c r="B2288" s="47"/>
      <c r="C2288" s="47"/>
      <c r="D2288" s="47"/>
      <c r="E2288" s="47"/>
      <c r="F2288" s="47"/>
      <c r="G2288" s="47"/>
      <c r="H2288" s="47"/>
      <c r="I2288" s="47"/>
      <c r="J2288" s="47"/>
      <c r="K2288" s="59"/>
      <c r="L2288" s="59"/>
      <c r="M2288" s="47"/>
    </row>
    <row r="2289" customHeight="1" spans="1:13">
      <c r="A2289" s="47"/>
      <c r="B2289" s="47"/>
      <c r="C2289" s="47"/>
      <c r="D2289" s="47"/>
      <c r="E2289" s="47"/>
      <c r="F2289" s="47"/>
      <c r="G2289" s="47"/>
      <c r="H2289" s="47"/>
      <c r="I2289" s="47"/>
      <c r="J2289" s="47"/>
      <c r="K2289" s="59"/>
      <c r="L2289" s="59"/>
      <c r="M2289" s="47"/>
    </row>
    <row r="2290" customHeight="1" spans="1:13">
      <c r="A2290" s="47"/>
      <c r="B2290" s="47"/>
      <c r="C2290" s="47"/>
      <c r="D2290" s="47"/>
      <c r="E2290" s="47"/>
      <c r="F2290" s="47"/>
      <c r="G2290" s="47"/>
      <c r="H2290" s="47"/>
      <c r="I2290" s="47"/>
      <c r="J2290" s="47"/>
      <c r="K2290" s="59"/>
      <c r="L2290" s="59"/>
      <c r="M2290" s="47"/>
    </row>
    <row r="2291" customHeight="1" spans="1:13">
      <c r="A2291" s="47"/>
      <c r="B2291" s="47"/>
      <c r="C2291" s="47"/>
      <c r="D2291" s="47"/>
      <c r="E2291" s="47"/>
      <c r="F2291" s="47"/>
      <c r="G2291" s="47"/>
      <c r="H2291" s="47"/>
      <c r="I2291" s="47"/>
      <c r="J2291" s="47"/>
      <c r="K2291" s="59"/>
      <c r="L2291" s="59"/>
      <c r="M2291" s="47"/>
    </row>
    <row r="2292" customHeight="1" spans="1:13">
      <c r="A2292" s="47"/>
      <c r="B2292" s="47"/>
      <c r="C2292" s="47"/>
      <c r="D2292" s="47"/>
      <c r="E2292" s="47"/>
      <c r="F2292" s="47"/>
      <c r="G2292" s="47"/>
      <c r="H2292" s="47"/>
      <c r="I2292" s="47"/>
      <c r="J2292" s="47"/>
      <c r="K2292" s="59"/>
      <c r="L2292" s="59"/>
      <c r="M2292" s="47"/>
    </row>
    <row r="2293" customHeight="1" spans="1:13">
      <c r="A2293" s="47"/>
      <c r="B2293" s="47"/>
      <c r="C2293" s="47"/>
      <c r="D2293" s="47"/>
      <c r="E2293" s="47"/>
      <c r="F2293" s="47"/>
      <c r="G2293" s="47"/>
      <c r="H2293" s="47"/>
      <c r="I2293" s="47"/>
      <c r="J2293" s="47"/>
      <c r="K2293" s="59"/>
      <c r="L2293" s="59"/>
      <c r="M2293" s="47"/>
    </row>
    <row r="2294" customHeight="1" spans="1:13">
      <c r="A2294" s="47"/>
      <c r="B2294" s="47"/>
      <c r="C2294" s="47"/>
      <c r="D2294" s="47"/>
      <c r="E2294" s="47"/>
      <c r="F2294" s="47"/>
      <c r="G2294" s="47"/>
      <c r="H2294" s="47"/>
      <c r="I2294" s="47"/>
      <c r="J2294" s="47"/>
      <c r="K2294" s="59"/>
      <c r="L2294" s="59"/>
      <c r="M2294" s="47"/>
    </row>
    <row r="2295" customHeight="1" spans="1:13">
      <c r="A2295" s="47"/>
      <c r="B2295" s="47"/>
      <c r="C2295" s="47"/>
      <c r="D2295" s="47"/>
      <c r="E2295" s="47"/>
      <c r="F2295" s="47"/>
      <c r="G2295" s="47"/>
      <c r="H2295" s="47"/>
      <c r="I2295" s="47"/>
      <c r="J2295" s="47"/>
      <c r="K2295" s="59"/>
      <c r="L2295" s="59"/>
      <c r="M2295" s="47"/>
    </row>
    <row r="2296" customHeight="1" spans="1:13">
      <c r="A2296" s="47"/>
      <c r="B2296" s="47"/>
      <c r="C2296" s="47"/>
      <c r="D2296" s="47"/>
      <c r="E2296" s="47"/>
      <c r="F2296" s="47"/>
      <c r="G2296" s="47"/>
      <c r="H2296" s="47"/>
      <c r="I2296" s="47"/>
      <c r="J2296" s="47"/>
      <c r="K2296" s="59"/>
      <c r="L2296" s="59"/>
      <c r="M2296" s="47"/>
    </row>
    <row r="2297" customHeight="1" spans="1:13">
      <c r="A2297" s="47"/>
      <c r="B2297" s="47"/>
      <c r="C2297" s="47"/>
      <c r="D2297" s="47"/>
      <c r="E2297" s="47"/>
      <c r="F2297" s="47"/>
      <c r="G2297" s="47"/>
      <c r="H2297" s="47"/>
      <c r="I2297" s="47"/>
      <c r="J2297" s="47"/>
      <c r="K2297" s="59"/>
      <c r="L2297" s="59"/>
      <c r="M2297" s="47"/>
    </row>
    <row r="2298" customHeight="1" spans="1:13">
      <c r="A2298" s="47"/>
      <c r="B2298" s="47"/>
      <c r="C2298" s="47"/>
      <c r="D2298" s="47"/>
      <c r="E2298" s="47"/>
      <c r="F2298" s="47"/>
      <c r="G2298" s="47"/>
      <c r="H2298" s="47"/>
      <c r="I2298" s="47"/>
      <c r="J2298" s="47"/>
      <c r="K2298" s="59"/>
      <c r="L2298" s="59"/>
      <c r="M2298" s="47"/>
    </row>
    <row r="2299" customHeight="1" spans="1:13">
      <c r="A2299" s="47"/>
      <c r="B2299" s="47"/>
      <c r="C2299" s="47"/>
      <c r="D2299" s="47"/>
      <c r="E2299" s="47"/>
      <c r="F2299" s="47"/>
      <c r="G2299" s="47"/>
      <c r="H2299" s="47"/>
      <c r="I2299" s="47"/>
      <c r="J2299" s="47"/>
      <c r="K2299" s="59"/>
      <c r="L2299" s="59"/>
      <c r="M2299" s="47"/>
    </row>
    <row r="2300" customHeight="1" spans="1:13">
      <c r="A2300" s="47"/>
      <c r="B2300" s="47"/>
      <c r="C2300" s="47"/>
      <c r="D2300" s="47"/>
      <c r="E2300" s="47"/>
      <c r="F2300" s="47"/>
      <c r="G2300" s="47"/>
      <c r="H2300" s="47"/>
      <c r="I2300" s="47"/>
      <c r="J2300" s="47"/>
      <c r="K2300" s="59"/>
      <c r="L2300" s="59"/>
      <c r="M2300" s="47"/>
    </row>
    <row r="2301" customHeight="1" spans="1:13">
      <c r="A2301" s="47"/>
      <c r="B2301" s="47"/>
      <c r="C2301" s="47"/>
      <c r="D2301" s="47"/>
      <c r="E2301" s="47"/>
      <c r="F2301" s="47"/>
      <c r="G2301" s="47"/>
      <c r="H2301" s="47"/>
      <c r="I2301" s="47"/>
      <c r="J2301" s="47"/>
      <c r="K2301" s="59"/>
      <c r="L2301" s="59"/>
      <c r="M2301" s="47"/>
    </row>
    <row r="2302" customHeight="1" spans="1:13">
      <c r="A2302" s="47"/>
      <c r="B2302" s="47"/>
      <c r="C2302" s="47"/>
      <c r="D2302" s="47"/>
      <c r="E2302" s="47"/>
      <c r="F2302" s="47"/>
      <c r="G2302" s="47"/>
      <c r="H2302" s="47"/>
      <c r="I2302" s="47"/>
      <c r="J2302" s="47"/>
      <c r="K2302" s="59"/>
      <c r="L2302" s="59"/>
      <c r="M2302" s="47"/>
    </row>
    <row r="2303" customHeight="1" spans="1:13">
      <c r="A2303" s="47"/>
      <c r="B2303" s="47"/>
      <c r="C2303" s="47"/>
      <c r="D2303" s="47"/>
      <c r="E2303" s="47"/>
      <c r="F2303" s="47"/>
      <c r="G2303" s="47"/>
      <c r="H2303" s="47"/>
      <c r="I2303" s="47"/>
      <c r="J2303" s="47"/>
      <c r="K2303" s="59"/>
      <c r="L2303" s="59"/>
      <c r="M2303" s="47"/>
    </row>
    <row r="2304" customHeight="1" spans="1:13">
      <c r="A2304" s="47"/>
      <c r="B2304" s="47"/>
      <c r="C2304" s="47"/>
      <c r="D2304" s="47"/>
      <c r="E2304" s="47"/>
      <c r="F2304" s="47"/>
      <c r="G2304" s="47"/>
      <c r="H2304" s="47"/>
      <c r="I2304" s="47"/>
      <c r="J2304" s="47"/>
      <c r="K2304" s="59"/>
      <c r="L2304" s="59"/>
      <c r="M2304" s="47"/>
    </row>
    <row r="2305" customHeight="1" spans="1:13">
      <c r="A2305" s="47"/>
      <c r="B2305" s="47"/>
      <c r="C2305" s="47"/>
      <c r="D2305" s="47"/>
      <c r="E2305" s="47"/>
      <c r="F2305" s="47"/>
      <c r="G2305" s="47"/>
      <c r="H2305" s="47"/>
      <c r="I2305" s="47"/>
      <c r="J2305" s="47"/>
      <c r="K2305" s="59"/>
      <c r="L2305" s="59"/>
      <c r="M2305" s="47"/>
    </row>
    <row r="2306" customHeight="1" spans="1:13">
      <c r="A2306" s="47"/>
      <c r="B2306" s="47"/>
      <c r="C2306" s="47"/>
      <c r="D2306" s="47"/>
      <c r="E2306" s="47"/>
      <c r="F2306" s="47"/>
      <c r="G2306" s="47"/>
      <c r="H2306" s="47"/>
      <c r="I2306" s="47"/>
      <c r="J2306" s="47"/>
      <c r="K2306" s="59"/>
      <c r="L2306" s="59"/>
      <c r="M2306" s="47"/>
    </row>
    <row r="2307" customHeight="1" spans="1:13">
      <c r="A2307" s="47"/>
      <c r="B2307" s="47"/>
      <c r="C2307" s="47"/>
      <c r="D2307" s="47"/>
      <c r="E2307" s="47"/>
      <c r="F2307" s="47"/>
      <c r="G2307" s="47"/>
      <c r="H2307" s="47"/>
      <c r="I2307" s="47"/>
      <c r="J2307" s="47"/>
      <c r="K2307" s="59"/>
      <c r="L2307" s="59"/>
      <c r="M2307" s="47"/>
    </row>
    <row r="2308" customHeight="1" spans="1:13">
      <c r="A2308" s="47"/>
      <c r="B2308" s="47"/>
      <c r="C2308" s="47"/>
      <c r="D2308" s="47"/>
      <c r="E2308" s="47"/>
      <c r="F2308" s="47"/>
      <c r="G2308" s="47"/>
      <c r="H2308" s="47"/>
      <c r="I2308" s="47"/>
      <c r="J2308" s="47"/>
      <c r="K2308" s="59"/>
      <c r="L2308" s="59"/>
      <c r="M2308" s="47"/>
    </row>
    <row r="2309" customHeight="1" spans="1:13">
      <c r="A2309" s="47"/>
      <c r="B2309" s="47"/>
      <c r="C2309" s="47"/>
      <c r="D2309" s="47"/>
      <c r="E2309" s="47"/>
      <c r="F2309" s="47"/>
      <c r="G2309" s="47"/>
      <c r="H2309" s="47"/>
      <c r="I2309" s="47"/>
      <c r="J2309" s="47"/>
      <c r="K2309" s="59"/>
      <c r="L2309" s="59"/>
      <c r="M2309" s="47"/>
    </row>
    <row r="2310" customHeight="1" spans="1:13">
      <c r="A2310" s="47"/>
      <c r="B2310" s="47"/>
      <c r="C2310" s="47"/>
      <c r="D2310" s="47"/>
      <c r="E2310" s="47"/>
      <c r="F2310" s="47"/>
      <c r="G2310" s="47"/>
      <c r="H2310" s="47"/>
      <c r="I2310" s="47"/>
      <c r="J2310" s="47"/>
      <c r="K2310" s="59"/>
      <c r="L2310" s="59"/>
      <c r="M2310" s="47"/>
    </row>
    <row r="2311" customHeight="1" spans="1:13">
      <c r="A2311" s="47"/>
      <c r="B2311" s="47"/>
      <c r="C2311" s="47"/>
      <c r="D2311" s="47"/>
      <c r="E2311" s="47"/>
      <c r="F2311" s="47"/>
      <c r="G2311" s="47"/>
      <c r="H2311" s="47"/>
      <c r="I2311" s="47"/>
      <c r="J2311" s="47"/>
      <c r="K2311" s="59"/>
      <c r="L2311" s="59"/>
      <c r="M2311" s="47"/>
    </row>
    <row r="2312" customHeight="1" spans="1:13">
      <c r="A2312" s="47"/>
      <c r="B2312" s="47"/>
      <c r="C2312" s="47"/>
      <c r="D2312" s="47"/>
      <c r="E2312" s="47"/>
      <c r="F2312" s="47"/>
      <c r="G2312" s="47"/>
      <c r="H2312" s="47"/>
      <c r="I2312" s="47"/>
      <c r="J2312" s="47"/>
      <c r="K2312" s="59"/>
      <c r="L2312" s="59"/>
      <c r="M2312" s="47"/>
    </row>
    <row r="2313" customHeight="1" spans="1:13">
      <c r="A2313" s="47"/>
      <c r="B2313" s="47"/>
      <c r="C2313" s="47"/>
      <c r="D2313" s="47"/>
      <c r="E2313" s="47"/>
      <c r="F2313" s="47"/>
      <c r="G2313" s="47"/>
      <c r="H2313" s="47"/>
      <c r="I2313" s="47"/>
      <c r="J2313" s="47"/>
      <c r="K2313" s="59"/>
      <c r="L2313" s="59"/>
      <c r="M2313" s="47"/>
    </row>
    <row r="2314" customHeight="1" spans="1:13">
      <c r="A2314" s="47"/>
      <c r="B2314" s="47"/>
      <c r="C2314" s="47"/>
      <c r="D2314" s="47"/>
      <c r="E2314" s="47"/>
      <c r="F2314" s="47"/>
      <c r="G2314" s="47"/>
      <c r="H2314" s="47"/>
      <c r="I2314" s="47"/>
      <c r="J2314" s="47"/>
      <c r="K2314" s="59"/>
      <c r="L2314" s="59"/>
      <c r="M2314" s="47"/>
    </row>
    <row r="2315" customHeight="1" spans="1:13">
      <c r="A2315" s="47"/>
      <c r="B2315" s="47"/>
      <c r="C2315" s="47"/>
      <c r="D2315" s="47"/>
      <c r="E2315" s="47"/>
      <c r="F2315" s="47"/>
      <c r="G2315" s="47"/>
      <c r="H2315" s="47"/>
      <c r="I2315" s="47"/>
      <c r="J2315" s="47"/>
      <c r="K2315" s="59"/>
      <c r="L2315" s="59"/>
      <c r="M2315" s="47"/>
    </row>
    <row r="2316" customHeight="1" spans="1:13">
      <c r="A2316" s="47"/>
      <c r="B2316" s="47"/>
      <c r="C2316" s="47"/>
      <c r="D2316" s="47"/>
      <c r="E2316" s="47"/>
      <c r="F2316" s="47"/>
      <c r="G2316" s="47"/>
      <c r="H2316" s="47"/>
      <c r="I2316" s="47"/>
      <c r="J2316" s="47"/>
      <c r="K2316" s="59"/>
      <c r="L2316" s="59"/>
      <c r="M2316" s="47"/>
    </row>
    <row r="2317" customHeight="1" spans="1:13">
      <c r="A2317" s="47"/>
      <c r="B2317" s="47"/>
      <c r="C2317" s="47"/>
      <c r="D2317" s="47"/>
      <c r="E2317" s="47"/>
      <c r="F2317" s="47"/>
      <c r="G2317" s="47"/>
      <c r="H2317" s="47"/>
      <c r="I2317" s="47"/>
      <c r="J2317" s="47"/>
      <c r="K2317" s="59"/>
      <c r="L2317" s="59"/>
      <c r="M2317" s="47"/>
    </row>
    <row r="2318" customHeight="1" spans="1:13">
      <c r="A2318" s="47"/>
      <c r="B2318" s="47"/>
      <c r="C2318" s="47"/>
      <c r="D2318" s="47"/>
      <c r="E2318" s="47"/>
      <c r="F2318" s="47"/>
      <c r="G2318" s="47"/>
      <c r="H2318" s="47"/>
      <c r="I2318" s="47"/>
      <c r="J2318" s="47"/>
      <c r="K2318" s="59"/>
      <c r="L2318" s="59"/>
      <c r="M2318" s="47"/>
    </row>
    <row r="2319" customHeight="1" spans="1:13">
      <c r="A2319" s="47"/>
      <c r="B2319" s="47"/>
      <c r="C2319" s="47"/>
      <c r="D2319" s="47"/>
      <c r="E2319" s="47"/>
      <c r="F2319" s="47"/>
      <c r="G2319" s="47"/>
      <c r="H2319" s="47"/>
      <c r="I2319" s="47"/>
      <c r="J2319" s="47"/>
      <c r="K2319" s="59"/>
      <c r="L2319" s="59"/>
      <c r="M2319" s="47"/>
    </row>
    <row r="2320" customHeight="1" spans="1:13">
      <c r="A2320" s="47"/>
      <c r="B2320" s="47"/>
      <c r="C2320" s="47"/>
      <c r="D2320" s="47"/>
      <c r="E2320" s="47"/>
      <c r="F2320" s="47"/>
      <c r="G2320" s="47"/>
      <c r="H2320" s="47"/>
      <c r="I2320" s="47"/>
      <c r="J2320" s="47"/>
      <c r="K2320" s="59"/>
      <c r="L2320" s="59"/>
      <c r="M2320" s="47"/>
    </row>
    <row r="2321" customHeight="1" spans="1:13">
      <c r="A2321" s="47"/>
      <c r="B2321" s="47"/>
      <c r="C2321" s="47"/>
      <c r="D2321" s="47"/>
      <c r="E2321" s="47"/>
      <c r="F2321" s="47"/>
      <c r="G2321" s="47"/>
      <c r="H2321" s="47"/>
      <c r="I2321" s="47"/>
      <c r="J2321" s="47"/>
      <c r="K2321" s="59"/>
      <c r="L2321" s="59"/>
      <c r="M2321" s="47"/>
    </row>
    <row r="2322" customHeight="1" spans="1:13">
      <c r="A2322" s="47"/>
      <c r="B2322" s="47"/>
      <c r="C2322" s="47"/>
      <c r="D2322" s="47"/>
      <c r="E2322" s="47"/>
      <c r="F2322" s="47"/>
      <c r="G2322" s="47"/>
      <c r="H2322" s="47"/>
      <c r="I2322" s="47"/>
      <c r="J2322" s="47"/>
      <c r="K2322" s="59"/>
      <c r="L2322" s="59"/>
      <c r="M2322" s="47"/>
    </row>
    <row r="2323" customHeight="1" spans="1:13">
      <c r="A2323" s="47"/>
      <c r="B2323" s="47"/>
      <c r="C2323" s="47"/>
      <c r="D2323" s="47"/>
      <c r="E2323" s="47"/>
      <c r="F2323" s="47"/>
      <c r="G2323" s="47"/>
      <c r="H2323" s="47"/>
      <c r="I2323" s="47"/>
      <c r="J2323" s="47"/>
      <c r="K2323" s="59"/>
      <c r="L2323" s="59"/>
      <c r="M2323" s="47"/>
    </row>
    <row r="2324" customHeight="1" spans="1:13">
      <c r="A2324" s="47"/>
      <c r="B2324" s="47"/>
      <c r="C2324" s="47"/>
      <c r="D2324" s="47"/>
      <c r="E2324" s="47"/>
      <c r="F2324" s="47"/>
      <c r="G2324" s="47"/>
      <c r="H2324" s="47"/>
      <c r="I2324" s="47"/>
      <c r="J2324" s="47"/>
      <c r="K2324" s="59"/>
      <c r="L2324" s="59"/>
      <c r="M2324" s="47"/>
    </row>
    <row r="2325" customHeight="1" spans="1:13">
      <c r="A2325" s="47"/>
      <c r="B2325" s="47"/>
      <c r="C2325" s="47"/>
      <c r="D2325" s="47"/>
      <c r="E2325" s="47"/>
      <c r="F2325" s="47"/>
      <c r="G2325" s="47"/>
      <c r="H2325" s="47"/>
      <c r="I2325" s="47"/>
      <c r="J2325" s="47"/>
      <c r="K2325" s="59"/>
      <c r="L2325" s="59"/>
      <c r="M2325" s="47"/>
    </row>
    <row r="2326" customHeight="1" spans="1:13">
      <c r="A2326" s="47"/>
      <c r="B2326" s="47"/>
      <c r="C2326" s="47"/>
      <c r="D2326" s="47"/>
      <c r="E2326" s="47"/>
      <c r="F2326" s="47"/>
      <c r="G2326" s="47"/>
      <c r="H2326" s="47"/>
      <c r="I2326" s="47"/>
      <c r="J2326" s="47"/>
      <c r="K2326" s="59"/>
      <c r="L2326" s="59"/>
      <c r="M2326" s="47"/>
    </row>
    <row r="2327" customHeight="1" spans="1:13">
      <c r="A2327" s="47"/>
      <c r="B2327" s="47"/>
      <c r="C2327" s="47"/>
      <c r="D2327" s="47"/>
      <c r="E2327" s="47"/>
      <c r="F2327" s="47"/>
      <c r="G2327" s="47"/>
      <c r="H2327" s="47"/>
      <c r="I2327" s="47"/>
      <c r="J2327" s="47"/>
      <c r="K2327" s="59"/>
      <c r="L2327" s="59"/>
      <c r="M2327" s="47"/>
    </row>
    <row r="2328" customHeight="1" spans="1:13">
      <c r="A2328" s="47"/>
      <c r="B2328" s="47"/>
      <c r="C2328" s="47"/>
      <c r="D2328" s="47"/>
      <c r="E2328" s="47"/>
      <c r="F2328" s="47"/>
      <c r="G2328" s="47"/>
      <c r="H2328" s="47"/>
      <c r="I2328" s="47"/>
      <c r="J2328" s="47"/>
      <c r="K2328" s="59"/>
      <c r="L2328" s="59"/>
      <c r="M2328" s="47"/>
    </row>
    <row r="2329" customHeight="1" spans="1:13">
      <c r="A2329" s="47"/>
      <c r="B2329" s="47"/>
      <c r="C2329" s="47"/>
      <c r="D2329" s="47"/>
      <c r="E2329" s="47"/>
      <c r="F2329" s="47"/>
      <c r="G2329" s="47"/>
      <c r="H2329" s="47"/>
      <c r="I2329" s="47"/>
      <c r="J2329" s="47"/>
      <c r="K2329" s="59"/>
      <c r="L2329" s="59"/>
      <c r="M2329" s="47"/>
    </row>
    <row r="2330" customHeight="1" spans="1:13">
      <c r="A2330" s="47"/>
      <c r="B2330" s="47"/>
      <c r="C2330" s="47"/>
      <c r="D2330" s="47"/>
      <c r="E2330" s="47"/>
      <c r="F2330" s="47"/>
      <c r="G2330" s="47"/>
      <c r="H2330" s="47"/>
      <c r="I2330" s="47"/>
      <c r="J2330" s="47"/>
      <c r="K2330" s="59"/>
      <c r="L2330" s="59"/>
      <c r="M2330" s="47"/>
    </row>
    <row r="2331" customHeight="1" spans="1:13">
      <c r="A2331" s="47"/>
      <c r="B2331" s="47"/>
      <c r="C2331" s="47"/>
      <c r="D2331" s="47"/>
      <c r="E2331" s="47"/>
      <c r="F2331" s="47"/>
      <c r="G2331" s="47"/>
      <c r="H2331" s="47"/>
      <c r="I2331" s="47"/>
      <c r="J2331" s="47"/>
      <c r="K2331" s="59"/>
      <c r="L2331" s="59"/>
      <c r="M2331" s="47"/>
    </row>
    <row r="2332" customHeight="1" spans="1:13">
      <c r="A2332" s="47"/>
      <c r="B2332" s="47"/>
      <c r="C2332" s="47"/>
      <c r="D2332" s="47"/>
      <c r="E2332" s="47"/>
      <c r="F2332" s="47"/>
      <c r="G2332" s="47"/>
      <c r="H2332" s="47"/>
      <c r="I2332" s="47"/>
      <c r="J2332" s="47"/>
      <c r="K2332" s="59"/>
      <c r="L2332" s="59"/>
      <c r="M2332" s="47"/>
    </row>
    <row r="2333" customHeight="1" spans="1:13">
      <c r="A2333" s="47"/>
      <c r="B2333" s="47"/>
      <c r="C2333" s="47"/>
      <c r="D2333" s="47"/>
      <c r="E2333" s="47"/>
      <c r="F2333" s="47"/>
      <c r="G2333" s="47"/>
      <c r="H2333" s="47"/>
      <c r="I2333" s="47"/>
      <c r="J2333" s="47"/>
      <c r="K2333" s="59"/>
      <c r="L2333" s="59"/>
      <c r="M2333" s="47"/>
    </row>
    <row r="2334" customHeight="1" spans="1:13">
      <c r="A2334" s="47"/>
      <c r="B2334" s="47"/>
      <c r="C2334" s="47"/>
      <c r="D2334" s="47"/>
      <c r="E2334" s="47"/>
      <c r="F2334" s="47"/>
      <c r="G2334" s="47"/>
      <c r="H2334" s="47"/>
      <c r="I2334" s="47"/>
      <c r="J2334" s="47"/>
      <c r="K2334" s="59"/>
      <c r="L2334" s="59"/>
      <c r="M2334" s="47"/>
    </row>
    <row r="2335" customHeight="1" spans="1:13">
      <c r="A2335" s="47"/>
      <c r="B2335" s="47"/>
      <c r="C2335" s="47"/>
      <c r="D2335" s="47"/>
      <c r="E2335" s="47"/>
      <c r="F2335" s="47"/>
      <c r="G2335" s="47"/>
      <c r="H2335" s="47"/>
      <c r="I2335" s="47"/>
      <c r="J2335" s="47"/>
      <c r="K2335" s="59"/>
      <c r="L2335" s="59"/>
      <c r="M2335" s="47"/>
    </row>
    <row r="2336" customHeight="1" spans="1:13">
      <c r="A2336" s="47"/>
      <c r="B2336" s="47"/>
      <c r="C2336" s="47"/>
      <c r="D2336" s="47"/>
      <c r="E2336" s="47"/>
      <c r="F2336" s="47"/>
      <c r="G2336" s="47"/>
      <c r="H2336" s="47"/>
      <c r="I2336" s="47"/>
      <c r="J2336" s="47"/>
      <c r="K2336" s="59"/>
      <c r="L2336" s="59"/>
      <c r="M2336" s="47"/>
    </row>
    <row r="2337" customHeight="1" spans="1:13">
      <c r="A2337" s="47"/>
      <c r="B2337" s="47"/>
      <c r="C2337" s="47"/>
      <c r="D2337" s="47"/>
      <c r="E2337" s="47"/>
      <c r="F2337" s="47"/>
      <c r="G2337" s="47"/>
      <c r="H2337" s="47"/>
      <c r="I2337" s="47"/>
      <c r="J2337" s="47"/>
      <c r="K2337" s="59"/>
      <c r="L2337" s="59"/>
      <c r="M2337" s="47"/>
    </row>
    <row r="2338" customHeight="1" spans="1:13">
      <c r="A2338" s="47"/>
      <c r="B2338" s="47"/>
      <c r="C2338" s="47"/>
      <c r="D2338" s="47"/>
      <c r="E2338" s="47"/>
      <c r="F2338" s="47"/>
      <c r="G2338" s="47"/>
      <c r="H2338" s="47"/>
      <c r="I2338" s="47"/>
      <c r="J2338" s="47"/>
      <c r="K2338" s="59"/>
      <c r="L2338" s="59"/>
      <c r="M2338" s="47"/>
    </row>
    <row r="2339" customHeight="1" spans="1:13">
      <c r="A2339" s="47"/>
      <c r="B2339" s="47"/>
      <c r="C2339" s="47"/>
      <c r="D2339" s="47"/>
      <c r="E2339" s="47"/>
      <c r="F2339" s="47"/>
      <c r="G2339" s="47"/>
      <c r="H2339" s="47"/>
      <c r="I2339" s="47"/>
      <c r="J2339" s="47"/>
      <c r="K2339" s="59"/>
      <c r="L2339" s="59"/>
      <c r="M2339" s="47"/>
    </row>
    <row r="2340" customHeight="1" spans="1:13">
      <c r="A2340" s="47"/>
      <c r="B2340" s="47"/>
      <c r="C2340" s="47"/>
      <c r="D2340" s="47"/>
      <c r="E2340" s="47"/>
      <c r="F2340" s="47"/>
      <c r="G2340" s="47"/>
      <c r="H2340" s="47"/>
      <c r="I2340" s="47"/>
      <c r="J2340" s="47"/>
      <c r="K2340" s="59"/>
      <c r="L2340" s="59"/>
      <c r="M2340" s="47"/>
    </row>
    <row r="2341" customHeight="1" spans="1:13">
      <c r="A2341" s="47"/>
      <c r="B2341" s="47"/>
      <c r="C2341" s="47"/>
      <c r="D2341" s="47"/>
      <c r="E2341" s="47"/>
      <c r="F2341" s="47"/>
      <c r="G2341" s="47"/>
      <c r="H2341" s="47"/>
      <c r="I2341" s="47"/>
      <c r="J2341" s="47"/>
      <c r="K2341" s="59"/>
      <c r="L2341" s="59"/>
      <c r="M2341" s="47"/>
    </row>
    <row r="2342" customHeight="1" spans="1:13">
      <c r="A2342" s="47"/>
      <c r="B2342" s="47"/>
      <c r="C2342" s="47"/>
      <c r="D2342" s="47"/>
      <c r="E2342" s="47"/>
      <c r="F2342" s="47"/>
      <c r="G2342" s="47"/>
      <c r="H2342" s="47"/>
      <c r="I2342" s="47"/>
      <c r="J2342" s="47"/>
      <c r="K2342" s="59"/>
      <c r="L2342" s="59"/>
      <c r="M2342" s="47"/>
    </row>
    <row r="2343" customHeight="1" spans="1:13">
      <c r="A2343" s="47"/>
      <c r="B2343" s="47"/>
      <c r="C2343" s="47"/>
      <c r="D2343" s="47"/>
      <c r="E2343" s="47"/>
      <c r="F2343" s="47"/>
      <c r="G2343" s="47"/>
      <c r="H2343" s="47"/>
      <c r="I2343" s="47"/>
      <c r="J2343" s="47"/>
      <c r="K2343" s="59"/>
      <c r="L2343" s="59"/>
      <c r="M2343" s="47"/>
    </row>
    <row r="2344" customHeight="1" spans="1:13">
      <c r="A2344" s="47"/>
      <c r="B2344" s="47"/>
      <c r="C2344" s="47"/>
      <c r="D2344" s="47"/>
      <c r="E2344" s="47"/>
      <c r="F2344" s="47"/>
      <c r="G2344" s="47"/>
      <c r="H2344" s="47"/>
      <c r="I2344" s="47"/>
      <c r="J2344" s="47"/>
      <c r="K2344" s="59"/>
      <c r="L2344" s="59"/>
      <c r="M2344" s="47"/>
    </row>
    <row r="2345" customHeight="1" spans="1:13">
      <c r="A2345" s="47"/>
      <c r="B2345" s="47"/>
      <c r="C2345" s="47"/>
      <c r="D2345" s="47"/>
      <c r="E2345" s="47"/>
      <c r="F2345" s="47"/>
      <c r="G2345" s="47"/>
      <c r="H2345" s="47"/>
      <c r="I2345" s="47"/>
      <c r="J2345" s="47"/>
      <c r="K2345" s="59"/>
      <c r="L2345" s="59"/>
      <c r="M2345" s="47"/>
    </row>
    <row r="2346" customHeight="1" spans="1:13">
      <c r="A2346" s="47"/>
      <c r="B2346" s="47"/>
      <c r="C2346" s="47"/>
      <c r="D2346" s="47"/>
      <c r="E2346" s="47"/>
      <c r="F2346" s="47"/>
      <c r="G2346" s="47"/>
      <c r="H2346" s="47"/>
      <c r="I2346" s="47"/>
      <c r="J2346" s="47"/>
      <c r="K2346" s="59"/>
      <c r="L2346" s="59"/>
      <c r="M2346" s="47"/>
    </row>
    <row r="2347" customHeight="1" spans="1:13">
      <c r="A2347" s="47"/>
      <c r="B2347" s="47"/>
      <c r="C2347" s="47"/>
      <c r="D2347" s="47"/>
      <c r="E2347" s="47"/>
      <c r="F2347" s="47"/>
      <c r="G2347" s="47"/>
      <c r="H2347" s="47"/>
      <c r="I2347" s="47"/>
      <c r="J2347" s="47"/>
      <c r="K2347" s="59"/>
      <c r="L2347" s="59"/>
      <c r="M2347" s="47"/>
    </row>
    <row r="2348" customHeight="1" spans="1:13">
      <c r="A2348" s="47"/>
      <c r="B2348" s="47"/>
      <c r="C2348" s="47"/>
      <c r="D2348" s="47"/>
      <c r="E2348" s="47"/>
      <c r="F2348" s="47"/>
      <c r="G2348" s="47"/>
      <c r="H2348" s="47"/>
      <c r="I2348" s="47"/>
      <c r="J2348" s="47"/>
      <c r="K2348" s="59"/>
      <c r="L2348" s="59"/>
      <c r="M2348" s="47"/>
    </row>
    <row r="2349" customHeight="1" spans="1:13">
      <c r="A2349" s="47"/>
      <c r="B2349" s="47"/>
      <c r="C2349" s="47"/>
      <c r="D2349" s="47"/>
      <c r="E2349" s="47"/>
      <c r="F2349" s="47"/>
      <c r="G2349" s="47"/>
      <c r="H2349" s="47"/>
      <c r="I2349" s="47"/>
      <c r="J2349" s="47"/>
      <c r="K2349" s="59"/>
      <c r="L2349" s="59"/>
      <c r="M2349" s="47"/>
    </row>
    <row r="2350" customHeight="1" spans="1:13">
      <c r="A2350" s="47"/>
      <c r="B2350" s="47"/>
      <c r="C2350" s="47"/>
      <c r="D2350" s="47"/>
      <c r="E2350" s="47"/>
      <c r="F2350" s="47"/>
      <c r="G2350" s="47"/>
      <c r="H2350" s="47"/>
      <c r="I2350" s="47"/>
      <c r="J2350" s="47"/>
      <c r="K2350" s="59"/>
      <c r="L2350" s="59"/>
      <c r="M2350" s="47"/>
    </row>
    <row r="2351" customHeight="1" spans="1:13">
      <c r="A2351" s="47"/>
      <c r="B2351" s="47"/>
      <c r="C2351" s="47"/>
      <c r="D2351" s="47"/>
      <c r="E2351" s="47"/>
      <c r="F2351" s="47"/>
      <c r="G2351" s="47"/>
      <c r="H2351" s="47"/>
      <c r="I2351" s="47"/>
      <c r="J2351" s="47"/>
      <c r="K2351" s="59"/>
      <c r="L2351" s="59"/>
      <c r="M2351" s="47"/>
    </row>
    <row r="2352" customHeight="1" spans="1:13">
      <c r="A2352" s="47"/>
      <c r="B2352" s="47"/>
      <c r="C2352" s="47"/>
      <c r="D2352" s="47"/>
      <c r="E2352" s="47"/>
      <c r="F2352" s="47"/>
      <c r="G2352" s="47"/>
      <c r="H2352" s="47"/>
      <c r="I2352" s="47"/>
      <c r="J2352" s="47"/>
      <c r="K2352" s="59"/>
      <c r="L2352" s="59"/>
      <c r="M2352" s="47"/>
    </row>
    <row r="2353" customHeight="1" spans="1:13">
      <c r="A2353" s="47"/>
      <c r="B2353" s="47"/>
      <c r="C2353" s="47"/>
      <c r="D2353" s="47"/>
      <c r="E2353" s="47"/>
      <c r="F2353" s="47"/>
      <c r="G2353" s="47"/>
      <c r="H2353" s="47"/>
      <c r="I2353" s="47"/>
      <c r="J2353" s="47"/>
      <c r="K2353" s="59"/>
      <c r="L2353" s="59"/>
      <c r="M2353" s="47"/>
    </row>
    <row r="2354" customHeight="1" spans="1:13">
      <c r="A2354" s="47"/>
      <c r="B2354" s="47"/>
      <c r="C2354" s="47"/>
      <c r="D2354" s="47"/>
      <c r="E2354" s="47"/>
      <c r="F2354" s="47"/>
      <c r="G2354" s="47"/>
      <c r="H2354" s="47"/>
      <c r="I2354" s="47"/>
      <c r="J2354" s="47"/>
      <c r="K2354" s="59"/>
      <c r="L2354" s="59"/>
      <c r="M2354" s="47"/>
    </row>
    <row r="2355" customHeight="1" spans="1:13">
      <c r="A2355" s="47"/>
      <c r="B2355" s="47"/>
      <c r="C2355" s="47"/>
      <c r="D2355" s="47"/>
      <c r="E2355" s="47"/>
      <c r="F2355" s="47"/>
      <c r="G2355" s="47"/>
      <c r="H2355" s="47"/>
      <c r="I2355" s="47"/>
      <c r="J2355" s="47"/>
      <c r="K2355" s="59"/>
      <c r="L2355" s="59"/>
      <c r="M2355" s="47"/>
    </row>
    <row r="2356" customHeight="1" spans="1:13">
      <c r="A2356" s="47"/>
      <c r="B2356" s="47"/>
      <c r="C2356" s="47"/>
      <c r="D2356" s="47"/>
      <c r="E2356" s="47"/>
      <c r="F2356" s="47"/>
      <c r="G2356" s="47"/>
      <c r="H2356" s="47"/>
      <c r="I2356" s="47"/>
      <c r="J2356" s="47"/>
      <c r="K2356" s="59"/>
      <c r="L2356" s="59"/>
      <c r="M2356" s="47"/>
    </row>
    <row r="2357" customHeight="1" spans="1:13">
      <c r="A2357" s="47"/>
      <c r="B2357" s="47"/>
      <c r="C2357" s="47"/>
      <c r="D2357" s="47"/>
      <c r="E2357" s="47"/>
      <c r="F2357" s="47"/>
      <c r="G2357" s="47"/>
      <c r="H2357" s="47"/>
      <c r="I2357" s="47"/>
      <c r="J2357" s="47"/>
      <c r="K2357" s="59"/>
      <c r="L2357" s="59"/>
      <c r="M2357" s="47"/>
    </row>
    <row r="2358" customHeight="1" spans="1:13">
      <c r="A2358" s="47"/>
      <c r="B2358" s="47"/>
      <c r="C2358" s="47"/>
      <c r="D2358" s="47"/>
      <c r="E2358" s="47"/>
      <c r="F2358" s="47"/>
      <c r="G2358" s="47"/>
      <c r="H2358" s="47"/>
      <c r="I2358" s="47"/>
      <c r="J2358" s="47"/>
      <c r="K2358" s="59"/>
      <c r="L2358" s="59"/>
      <c r="M2358" s="47"/>
    </row>
    <row r="2359" customHeight="1" spans="1:13">
      <c r="A2359" s="47"/>
      <c r="B2359" s="47"/>
      <c r="C2359" s="47"/>
      <c r="D2359" s="47"/>
      <c r="E2359" s="47"/>
      <c r="F2359" s="47"/>
      <c r="G2359" s="47"/>
      <c r="H2359" s="47"/>
      <c r="I2359" s="47"/>
      <c r="J2359" s="47"/>
      <c r="K2359" s="59"/>
      <c r="L2359" s="59"/>
      <c r="M2359" s="47"/>
    </row>
    <row r="2360" customHeight="1" spans="1:13">
      <c r="A2360" s="47"/>
      <c r="B2360" s="47"/>
      <c r="C2360" s="47"/>
      <c r="D2360" s="47"/>
      <c r="E2360" s="47"/>
      <c r="F2360" s="47"/>
      <c r="G2360" s="47"/>
      <c r="H2360" s="47"/>
      <c r="I2360" s="47"/>
      <c r="J2360" s="47"/>
      <c r="K2360" s="59"/>
      <c r="L2360" s="59"/>
      <c r="M2360" s="47"/>
    </row>
    <row r="2361" customHeight="1" spans="1:13">
      <c r="A2361" s="47"/>
      <c r="B2361" s="47"/>
      <c r="C2361" s="47"/>
      <c r="D2361" s="47"/>
      <c r="E2361" s="47"/>
      <c r="F2361" s="47"/>
      <c r="G2361" s="47"/>
      <c r="H2361" s="47"/>
      <c r="I2361" s="47"/>
      <c r="J2361" s="47"/>
      <c r="K2361" s="59"/>
      <c r="L2361" s="59"/>
      <c r="M2361" s="47"/>
    </row>
    <row r="2362" customHeight="1" spans="1:13">
      <c r="A2362" s="47"/>
      <c r="B2362" s="47"/>
      <c r="C2362" s="47"/>
      <c r="D2362" s="47"/>
      <c r="E2362" s="47"/>
      <c r="F2362" s="47"/>
      <c r="G2362" s="47"/>
      <c r="H2362" s="47"/>
      <c r="I2362" s="47"/>
      <c r="J2362" s="47"/>
      <c r="K2362" s="59"/>
      <c r="L2362" s="59"/>
      <c r="M2362" s="47"/>
    </row>
    <row r="2363" customHeight="1" spans="1:13">
      <c r="A2363" s="47"/>
      <c r="B2363" s="47"/>
      <c r="C2363" s="47"/>
      <c r="D2363" s="47"/>
      <c r="E2363" s="47"/>
      <c r="F2363" s="47"/>
      <c r="G2363" s="47"/>
      <c r="H2363" s="47"/>
      <c r="I2363" s="47"/>
      <c r="J2363" s="47"/>
      <c r="K2363" s="59"/>
      <c r="L2363" s="59"/>
      <c r="M2363" s="47"/>
    </row>
    <row r="2364" customHeight="1" spans="1:13">
      <c r="A2364" s="47"/>
      <c r="B2364" s="47"/>
      <c r="C2364" s="47"/>
      <c r="D2364" s="47"/>
      <c r="E2364" s="47"/>
      <c r="F2364" s="47"/>
      <c r="G2364" s="47"/>
      <c r="H2364" s="47"/>
      <c r="I2364" s="47"/>
      <c r="J2364" s="47"/>
      <c r="K2364" s="59"/>
      <c r="L2364" s="59"/>
      <c r="M2364" s="47"/>
    </row>
    <row r="2365" customHeight="1" spans="1:13">
      <c r="A2365" s="47"/>
      <c r="B2365" s="47"/>
      <c r="C2365" s="47"/>
      <c r="D2365" s="47"/>
      <c r="E2365" s="47"/>
      <c r="F2365" s="47"/>
      <c r="G2365" s="47"/>
      <c r="H2365" s="47"/>
      <c r="I2365" s="47"/>
      <c r="J2365" s="47"/>
      <c r="K2365" s="59"/>
      <c r="L2365" s="59"/>
      <c r="M2365" s="47"/>
    </row>
    <row r="2366" customHeight="1" spans="1:13">
      <c r="A2366" s="47"/>
      <c r="B2366" s="47"/>
      <c r="C2366" s="47"/>
      <c r="D2366" s="47"/>
      <c r="E2366" s="47"/>
      <c r="F2366" s="47"/>
      <c r="G2366" s="47"/>
      <c r="H2366" s="47"/>
      <c r="I2366" s="47"/>
      <c r="J2366" s="47"/>
      <c r="K2366" s="59"/>
      <c r="L2366" s="59"/>
      <c r="M2366" s="47"/>
    </row>
    <row r="2367" customHeight="1" spans="1:13">
      <c r="A2367" s="47"/>
      <c r="B2367" s="47"/>
      <c r="C2367" s="47"/>
      <c r="D2367" s="47"/>
      <c r="E2367" s="47"/>
      <c r="F2367" s="47"/>
      <c r="G2367" s="47"/>
      <c r="H2367" s="47"/>
      <c r="I2367" s="47"/>
      <c r="J2367" s="47"/>
      <c r="K2367" s="59"/>
      <c r="L2367" s="59"/>
      <c r="M2367" s="47"/>
    </row>
    <row r="2368" customHeight="1" spans="1:13">
      <c r="A2368" s="47"/>
      <c r="B2368" s="47"/>
      <c r="C2368" s="47"/>
      <c r="D2368" s="47"/>
      <c r="E2368" s="47"/>
      <c r="F2368" s="47"/>
      <c r="G2368" s="47"/>
      <c r="H2368" s="47"/>
      <c r="I2368" s="47"/>
      <c r="J2368" s="47"/>
      <c r="K2368" s="59"/>
      <c r="L2368" s="59"/>
      <c r="M2368" s="47"/>
    </row>
    <row r="2369" customHeight="1" spans="1:13">
      <c r="A2369" s="47"/>
      <c r="B2369" s="47"/>
      <c r="C2369" s="47"/>
      <c r="D2369" s="47"/>
      <c r="E2369" s="47"/>
      <c r="F2369" s="47"/>
      <c r="G2369" s="47"/>
      <c r="H2369" s="47"/>
      <c r="I2369" s="47"/>
      <c r="J2369" s="47"/>
      <c r="K2369" s="59"/>
      <c r="L2369" s="59"/>
      <c r="M2369" s="47"/>
    </row>
    <row r="2370" customHeight="1" spans="1:13">
      <c r="A2370" s="47"/>
      <c r="B2370" s="47"/>
      <c r="C2370" s="47"/>
      <c r="D2370" s="47"/>
      <c r="E2370" s="47"/>
      <c r="F2370" s="47"/>
      <c r="G2370" s="47"/>
      <c r="H2370" s="47"/>
      <c r="I2370" s="47"/>
      <c r="J2370" s="47"/>
      <c r="K2370" s="59"/>
      <c r="L2370" s="59"/>
      <c r="M2370" s="47"/>
    </row>
    <row r="2371" customHeight="1" spans="1:13">
      <c r="A2371" s="47"/>
      <c r="B2371" s="47"/>
      <c r="C2371" s="47"/>
      <c r="D2371" s="47"/>
      <c r="E2371" s="47"/>
      <c r="F2371" s="47"/>
      <c r="G2371" s="47"/>
      <c r="H2371" s="47"/>
      <c r="I2371" s="47"/>
      <c r="J2371" s="47"/>
      <c r="K2371" s="59"/>
      <c r="L2371" s="59"/>
      <c r="M2371" s="47"/>
    </row>
    <row r="2372" customHeight="1" spans="1:13">
      <c r="A2372" s="47"/>
      <c r="B2372" s="47"/>
      <c r="C2372" s="47"/>
      <c r="D2372" s="47"/>
      <c r="E2372" s="47"/>
      <c r="F2372" s="47"/>
      <c r="G2372" s="47"/>
      <c r="H2372" s="47"/>
      <c r="I2372" s="47"/>
      <c r="J2372" s="47"/>
      <c r="K2372" s="59"/>
      <c r="L2372" s="59"/>
      <c r="M2372" s="47"/>
    </row>
    <row r="2373" customHeight="1" spans="1:13">
      <c r="A2373" s="47"/>
      <c r="B2373" s="47"/>
      <c r="C2373" s="47"/>
      <c r="D2373" s="47"/>
      <c r="E2373" s="47"/>
      <c r="F2373" s="47"/>
      <c r="G2373" s="47"/>
      <c r="H2373" s="47"/>
      <c r="I2373" s="47"/>
      <c r="J2373" s="47"/>
      <c r="K2373" s="59"/>
      <c r="L2373" s="59"/>
      <c r="M2373" s="47"/>
    </row>
    <row r="2374" customHeight="1" spans="1:13">
      <c r="A2374" s="47"/>
      <c r="B2374" s="47"/>
      <c r="C2374" s="47"/>
      <c r="D2374" s="47"/>
      <c r="E2374" s="47"/>
      <c r="F2374" s="47"/>
      <c r="G2374" s="47"/>
      <c r="H2374" s="47"/>
      <c r="I2374" s="47"/>
      <c r="J2374" s="47"/>
      <c r="K2374" s="59"/>
      <c r="L2374" s="59"/>
      <c r="M2374" s="47"/>
    </row>
    <row r="2375" customHeight="1" spans="1:13">
      <c r="A2375" s="47"/>
      <c r="B2375" s="47"/>
      <c r="C2375" s="47"/>
      <c r="D2375" s="47"/>
      <c r="E2375" s="47"/>
      <c r="F2375" s="47"/>
      <c r="G2375" s="47"/>
      <c r="H2375" s="47"/>
      <c r="I2375" s="47"/>
      <c r="J2375" s="47"/>
      <c r="K2375" s="59"/>
      <c r="L2375" s="59"/>
      <c r="M2375" s="47"/>
    </row>
    <row r="2376" customHeight="1" spans="1:13">
      <c r="A2376" s="47"/>
      <c r="B2376" s="47"/>
      <c r="C2376" s="47"/>
      <c r="D2376" s="47"/>
      <c r="E2376" s="47"/>
      <c r="F2376" s="47"/>
      <c r="G2376" s="47"/>
      <c r="H2376" s="47"/>
      <c r="I2376" s="47"/>
      <c r="J2376" s="47"/>
      <c r="K2376" s="59"/>
      <c r="L2376" s="59"/>
      <c r="M2376" s="47"/>
    </row>
    <row r="2377" customHeight="1" spans="1:13">
      <c r="A2377" s="47"/>
      <c r="B2377" s="47"/>
      <c r="C2377" s="47"/>
      <c r="D2377" s="47"/>
      <c r="E2377" s="47"/>
      <c r="F2377" s="47"/>
      <c r="G2377" s="47"/>
      <c r="H2377" s="47"/>
      <c r="I2377" s="47"/>
      <c r="J2377" s="47"/>
      <c r="K2377" s="59"/>
      <c r="L2377" s="59"/>
      <c r="M2377" s="47"/>
    </row>
    <row r="2378" customHeight="1" spans="1:13">
      <c r="A2378" s="47"/>
      <c r="B2378" s="47"/>
      <c r="C2378" s="47"/>
      <c r="D2378" s="47"/>
      <c r="E2378" s="47"/>
      <c r="F2378" s="47"/>
      <c r="G2378" s="47"/>
      <c r="H2378" s="47"/>
      <c r="I2378" s="47"/>
      <c r="J2378" s="47"/>
      <c r="K2378" s="59"/>
      <c r="L2378" s="59"/>
      <c r="M2378" s="47"/>
    </row>
    <row r="2379" customHeight="1" spans="1:13">
      <c r="A2379" s="47"/>
      <c r="B2379" s="47"/>
      <c r="C2379" s="47"/>
      <c r="D2379" s="47"/>
      <c r="E2379" s="47"/>
      <c r="F2379" s="47"/>
      <c r="G2379" s="47"/>
      <c r="H2379" s="47"/>
      <c r="I2379" s="47"/>
      <c r="J2379" s="47"/>
      <c r="K2379" s="59"/>
      <c r="L2379" s="59"/>
      <c r="M2379" s="47"/>
    </row>
    <row r="2380" customHeight="1" spans="1:13">
      <c r="A2380" s="47"/>
      <c r="B2380" s="47"/>
      <c r="C2380" s="47"/>
      <c r="D2380" s="47"/>
      <c r="E2380" s="47"/>
      <c r="F2380" s="47"/>
      <c r="G2380" s="47"/>
      <c r="H2380" s="47"/>
      <c r="I2380" s="47"/>
      <c r="J2380" s="47"/>
      <c r="K2380" s="59"/>
      <c r="L2380" s="59"/>
      <c r="M2380" s="47"/>
    </row>
    <row r="2381" customHeight="1" spans="1:13">
      <c r="A2381" s="47"/>
      <c r="B2381" s="47"/>
      <c r="C2381" s="47"/>
      <c r="D2381" s="47"/>
      <c r="E2381" s="47"/>
      <c r="F2381" s="47"/>
      <c r="G2381" s="47"/>
      <c r="H2381" s="47"/>
      <c r="I2381" s="47"/>
      <c r="J2381" s="47"/>
      <c r="K2381" s="59"/>
      <c r="L2381" s="59"/>
      <c r="M2381" s="47"/>
    </row>
    <row r="2382" customHeight="1" spans="1:13">
      <c r="A2382" s="47"/>
      <c r="B2382" s="47"/>
      <c r="C2382" s="47"/>
      <c r="D2382" s="47"/>
      <c r="E2382" s="47"/>
      <c r="F2382" s="47"/>
      <c r="G2382" s="47"/>
      <c r="H2382" s="47"/>
      <c r="I2382" s="47"/>
      <c r="J2382" s="47"/>
      <c r="K2382" s="59"/>
      <c r="L2382" s="59"/>
      <c r="M2382" s="47"/>
    </row>
    <row r="2383" customHeight="1" spans="1:13">
      <c r="A2383" s="47"/>
      <c r="B2383" s="47"/>
      <c r="C2383" s="47"/>
      <c r="D2383" s="47"/>
      <c r="E2383" s="47"/>
      <c r="F2383" s="47"/>
      <c r="G2383" s="47"/>
      <c r="H2383" s="47"/>
      <c r="I2383" s="47"/>
      <c r="J2383" s="47"/>
      <c r="K2383" s="59"/>
      <c r="L2383" s="59"/>
      <c r="M2383" s="47"/>
    </row>
    <row r="2384" customHeight="1" spans="1:13">
      <c r="A2384" s="47"/>
      <c r="B2384" s="47"/>
      <c r="C2384" s="47"/>
      <c r="D2384" s="47"/>
      <c r="E2384" s="47"/>
      <c r="F2384" s="47"/>
      <c r="G2384" s="47"/>
      <c r="H2384" s="47"/>
      <c r="I2384" s="47"/>
      <c r="J2384" s="47"/>
      <c r="K2384" s="59"/>
      <c r="L2384" s="59"/>
      <c r="M2384" s="47"/>
    </row>
    <row r="2385" customHeight="1" spans="1:13">
      <c r="A2385" s="47"/>
      <c r="B2385" s="47"/>
      <c r="C2385" s="47"/>
      <c r="D2385" s="47"/>
      <c r="E2385" s="47"/>
      <c r="F2385" s="47"/>
      <c r="G2385" s="47"/>
      <c r="H2385" s="47"/>
      <c r="I2385" s="47"/>
      <c r="J2385" s="47"/>
      <c r="K2385" s="59"/>
      <c r="L2385" s="59"/>
      <c r="M2385" s="47"/>
    </row>
    <row r="2386" customHeight="1" spans="1:13">
      <c r="A2386" s="47"/>
      <c r="B2386" s="47"/>
      <c r="C2386" s="47"/>
      <c r="D2386" s="47"/>
      <c r="E2386" s="47"/>
      <c r="F2386" s="47"/>
      <c r="G2386" s="47"/>
      <c r="H2386" s="47"/>
      <c r="I2386" s="47"/>
      <c r="J2386" s="47"/>
      <c r="K2386" s="59"/>
      <c r="L2386" s="59"/>
      <c r="M2386" s="47"/>
    </row>
    <row r="2387" customHeight="1" spans="1:13">
      <c r="A2387" s="47"/>
      <c r="B2387" s="47"/>
      <c r="C2387" s="47"/>
      <c r="D2387" s="47"/>
      <c r="E2387" s="47"/>
      <c r="F2387" s="47"/>
      <c r="G2387" s="47"/>
      <c r="H2387" s="47"/>
      <c r="I2387" s="47"/>
      <c r="J2387" s="47"/>
      <c r="K2387" s="59"/>
      <c r="L2387" s="59"/>
      <c r="M2387" s="47"/>
    </row>
    <row r="2388" customHeight="1" spans="1:13">
      <c r="A2388" s="47"/>
      <c r="B2388" s="47"/>
      <c r="C2388" s="47"/>
      <c r="D2388" s="47"/>
      <c r="E2388" s="47"/>
      <c r="F2388" s="47"/>
      <c r="G2388" s="47"/>
      <c r="H2388" s="47"/>
      <c r="I2388" s="47"/>
      <c r="J2388" s="47"/>
      <c r="K2388" s="59"/>
      <c r="L2388" s="59"/>
      <c r="M2388" s="47"/>
    </row>
    <row r="2389" customHeight="1" spans="1:13">
      <c r="A2389" s="47"/>
      <c r="B2389" s="47"/>
      <c r="C2389" s="47"/>
      <c r="D2389" s="47"/>
      <c r="E2389" s="47"/>
      <c r="F2389" s="47"/>
      <c r="G2389" s="47"/>
      <c r="H2389" s="47"/>
      <c r="I2389" s="47"/>
      <c r="J2389" s="47"/>
      <c r="K2389" s="59"/>
      <c r="L2389" s="59"/>
      <c r="M2389" s="47"/>
    </row>
    <row r="2390" customHeight="1" spans="1:13">
      <c r="A2390" s="47"/>
      <c r="B2390" s="47"/>
      <c r="C2390" s="47"/>
      <c r="D2390" s="47"/>
      <c r="E2390" s="47"/>
      <c r="F2390" s="47"/>
      <c r="G2390" s="47"/>
      <c r="H2390" s="47"/>
      <c r="I2390" s="47"/>
      <c r="J2390" s="47"/>
      <c r="K2390" s="59"/>
      <c r="L2390" s="59"/>
      <c r="M2390" s="47"/>
    </row>
    <row r="2391" customHeight="1" spans="1:13">
      <c r="A2391" s="47"/>
      <c r="B2391" s="47"/>
      <c r="C2391" s="47"/>
      <c r="D2391" s="47"/>
      <c r="E2391" s="47"/>
      <c r="F2391" s="47"/>
      <c r="G2391" s="47"/>
      <c r="H2391" s="47"/>
      <c r="I2391" s="47"/>
      <c r="J2391" s="47"/>
      <c r="K2391" s="59"/>
      <c r="L2391" s="59"/>
      <c r="M2391" s="47"/>
    </row>
    <row r="2392" customHeight="1" spans="1:13">
      <c r="A2392" s="47"/>
      <c r="B2392" s="47"/>
      <c r="C2392" s="47"/>
      <c r="D2392" s="47"/>
      <c r="E2392" s="47"/>
      <c r="F2392" s="47"/>
      <c r="G2392" s="47"/>
      <c r="H2392" s="47"/>
      <c r="I2392" s="47"/>
      <c r="J2392" s="47"/>
      <c r="K2392" s="59"/>
      <c r="L2392" s="59"/>
      <c r="M2392" s="47"/>
    </row>
    <row r="2393" customHeight="1" spans="1:13">
      <c r="A2393" s="47"/>
      <c r="B2393" s="47"/>
      <c r="C2393" s="47"/>
      <c r="D2393" s="47"/>
      <c r="E2393" s="47"/>
      <c r="F2393" s="47"/>
      <c r="G2393" s="47"/>
      <c r="H2393" s="47"/>
      <c r="I2393" s="47"/>
      <c r="J2393" s="47"/>
      <c r="K2393" s="59"/>
      <c r="L2393" s="59"/>
      <c r="M2393" s="47"/>
    </row>
    <row r="2394" customHeight="1" spans="1:13">
      <c r="A2394" s="47"/>
      <c r="B2394" s="47"/>
      <c r="C2394" s="47"/>
      <c r="D2394" s="47"/>
      <c r="E2394" s="47"/>
      <c r="F2394" s="47"/>
      <c r="G2394" s="47"/>
      <c r="H2394" s="47"/>
      <c r="I2394" s="47"/>
      <c r="J2394" s="47"/>
      <c r="K2394" s="59"/>
      <c r="L2394" s="59"/>
      <c r="M2394" s="47"/>
    </row>
    <row r="2395" customHeight="1" spans="1:13">
      <c r="A2395" s="47"/>
      <c r="B2395" s="47"/>
      <c r="C2395" s="47"/>
      <c r="D2395" s="47"/>
      <c r="E2395" s="47"/>
      <c r="F2395" s="47"/>
      <c r="G2395" s="47"/>
      <c r="H2395" s="47"/>
      <c r="I2395" s="47"/>
      <c r="J2395" s="47"/>
      <c r="K2395" s="59"/>
      <c r="L2395" s="59"/>
      <c r="M2395" s="47"/>
    </row>
    <row r="2396" customHeight="1" spans="1:13">
      <c r="A2396" s="47"/>
      <c r="B2396" s="47"/>
      <c r="C2396" s="47"/>
      <c r="D2396" s="47"/>
      <c r="E2396" s="47"/>
      <c r="F2396" s="47"/>
      <c r="G2396" s="47"/>
      <c r="H2396" s="47"/>
      <c r="I2396" s="47"/>
      <c r="J2396" s="47"/>
      <c r="K2396" s="59"/>
      <c r="L2396" s="59"/>
      <c r="M2396" s="47"/>
    </row>
    <row r="2397" customHeight="1" spans="1:13">
      <c r="A2397" s="47"/>
      <c r="B2397" s="47"/>
      <c r="C2397" s="47"/>
      <c r="D2397" s="47"/>
      <c r="E2397" s="47"/>
      <c r="F2397" s="47"/>
      <c r="G2397" s="47"/>
      <c r="H2397" s="47"/>
      <c r="I2397" s="47"/>
      <c r="J2397" s="47"/>
      <c r="K2397" s="59"/>
      <c r="L2397" s="59"/>
      <c r="M2397" s="47"/>
    </row>
    <row r="2398" customHeight="1" spans="1:13">
      <c r="A2398" s="47"/>
      <c r="B2398" s="47"/>
      <c r="C2398" s="47"/>
      <c r="D2398" s="47"/>
      <c r="E2398" s="47"/>
      <c r="F2398" s="47"/>
      <c r="G2398" s="47"/>
      <c r="H2398" s="47"/>
      <c r="I2398" s="47"/>
      <c r="J2398" s="47"/>
      <c r="K2398" s="59"/>
      <c r="L2398" s="59"/>
      <c r="M2398" s="47"/>
    </row>
    <row r="2399" customHeight="1" spans="1:13">
      <c r="A2399" s="47"/>
      <c r="B2399" s="47"/>
      <c r="C2399" s="47"/>
      <c r="D2399" s="47"/>
      <c r="E2399" s="47"/>
      <c r="F2399" s="47"/>
      <c r="G2399" s="47"/>
      <c r="H2399" s="47"/>
      <c r="I2399" s="47"/>
      <c r="J2399" s="47"/>
      <c r="K2399" s="59"/>
      <c r="L2399" s="59"/>
      <c r="M2399" s="47"/>
    </row>
    <row r="2400" customHeight="1" spans="1:13">
      <c r="A2400" s="47"/>
      <c r="B2400" s="47"/>
      <c r="C2400" s="47"/>
      <c r="D2400" s="47"/>
      <c r="E2400" s="47"/>
      <c r="F2400" s="47"/>
      <c r="G2400" s="47"/>
      <c r="H2400" s="47"/>
      <c r="I2400" s="47"/>
      <c r="J2400" s="47"/>
      <c r="K2400" s="59"/>
      <c r="L2400" s="59"/>
      <c r="M2400" s="47"/>
    </row>
    <row r="2401" customHeight="1" spans="1:13">
      <c r="A2401" s="47"/>
      <c r="B2401" s="47"/>
      <c r="C2401" s="47"/>
      <c r="D2401" s="47"/>
      <c r="E2401" s="47"/>
      <c r="F2401" s="47"/>
      <c r="G2401" s="47"/>
      <c r="H2401" s="47"/>
      <c r="I2401" s="47"/>
      <c r="J2401" s="47"/>
      <c r="K2401" s="59"/>
      <c r="L2401" s="59"/>
      <c r="M2401" s="47"/>
    </row>
    <row r="2402" customHeight="1" spans="1:13">
      <c r="A2402" s="47"/>
      <c r="B2402" s="47"/>
      <c r="C2402" s="47"/>
      <c r="D2402" s="47"/>
      <c r="E2402" s="47"/>
      <c r="F2402" s="47"/>
      <c r="G2402" s="47"/>
      <c r="H2402" s="47"/>
      <c r="I2402" s="47"/>
      <c r="J2402" s="47"/>
      <c r="K2402" s="59"/>
      <c r="L2402" s="59"/>
      <c r="M2402" s="47"/>
    </row>
    <row r="2403" customHeight="1" spans="1:13">
      <c r="A2403" s="47"/>
      <c r="B2403" s="47"/>
      <c r="C2403" s="47"/>
      <c r="D2403" s="47"/>
      <c r="E2403" s="47"/>
      <c r="F2403" s="47"/>
      <c r="G2403" s="47"/>
      <c r="H2403" s="47"/>
      <c r="I2403" s="47"/>
      <c r="J2403" s="47"/>
      <c r="K2403" s="59"/>
      <c r="L2403" s="59"/>
      <c r="M2403" s="47"/>
    </row>
    <row r="2404" customHeight="1" spans="1:13">
      <c r="A2404" s="47"/>
      <c r="B2404" s="47"/>
      <c r="C2404" s="47"/>
      <c r="D2404" s="47"/>
      <c r="E2404" s="47"/>
      <c r="F2404" s="47"/>
      <c r="G2404" s="47"/>
      <c r="H2404" s="47"/>
      <c r="I2404" s="47"/>
      <c r="J2404" s="47"/>
      <c r="K2404" s="59"/>
      <c r="L2404" s="59"/>
      <c r="M2404" s="47"/>
    </row>
    <row r="2405" customHeight="1" spans="1:13">
      <c r="A2405" s="47"/>
      <c r="B2405" s="47"/>
      <c r="C2405" s="47"/>
      <c r="D2405" s="47"/>
      <c r="E2405" s="47"/>
      <c r="F2405" s="47"/>
      <c r="G2405" s="47"/>
      <c r="H2405" s="47"/>
      <c r="I2405" s="47"/>
      <c r="J2405" s="47"/>
      <c r="K2405" s="59"/>
      <c r="L2405" s="59"/>
      <c r="M2405" s="47"/>
    </row>
    <row r="2406" customHeight="1" spans="1:13">
      <c r="A2406" s="47"/>
      <c r="B2406" s="47"/>
      <c r="C2406" s="47"/>
      <c r="D2406" s="47"/>
      <c r="E2406" s="47"/>
      <c r="F2406" s="47"/>
      <c r="G2406" s="47"/>
      <c r="H2406" s="47"/>
      <c r="I2406" s="47"/>
      <c r="J2406" s="47"/>
      <c r="K2406" s="59"/>
      <c r="L2406" s="59"/>
      <c r="M2406" s="47"/>
    </row>
    <row r="2407" customHeight="1" spans="1:13">
      <c r="A2407" s="47"/>
      <c r="B2407" s="47"/>
      <c r="C2407" s="47"/>
      <c r="D2407" s="47"/>
      <c r="E2407" s="47"/>
      <c r="F2407" s="47"/>
      <c r="G2407" s="47"/>
      <c r="H2407" s="47"/>
      <c r="I2407" s="47"/>
      <c r="J2407" s="47"/>
      <c r="K2407" s="59"/>
      <c r="L2407" s="59"/>
      <c r="M2407" s="47"/>
    </row>
    <row r="2408" customHeight="1" spans="1:13">
      <c r="A2408" s="47"/>
      <c r="B2408" s="47"/>
      <c r="C2408" s="47"/>
      <c r="D2408" s="47"/>
      <c r="E2408" s="47"/>
      <c r="F2408" s="47"/>
      <c r="G2408" s="47"/>
      <c r="H2408" s="47"/>
      <c r="I2408" s="47"/>
      <c r="J2408" s="47"/>
      <c r="K2408" s="59"/>
      <c r="L2408" s="59"/>
      <c r="M2408" s="47"/>
    </row>
    <row r="2409" customHeight="1" spans="1:13">
      <c r="A2409" s="47"/>
      <c r="B2409" s="47"/>
      <c r="C2409" s="47"/>
      <c r="D2409" s="47"/>
      <c r="E2409" s="47"/>
      <c r="F2409" s="47"/>
      <c r="G2409" s="47"/>
      <c r="H2409" s="47"/>
      <c r="I2409" s="47"/>
      <c r="J2409" s="47"/>
      <c r="K2409" s="59"/>
      <c r="L2409" s="59"/>
      <c r="M2409" s="47"/>
    </row>
    <row r="2410" customHeight="1" spans="1:13">
      <c r="A2410" s="47"/>
      <c r="B2410" s="47"/>
      <c r="C2410" s="47"/>
      <c r="D2410" s="47"/>
      <c r="E2410" s="47"/>
      <c r="F2410" s="47"/>
      <c r="G2410" s="47"/>
      <c r="H2410" s="47"/>
      <c r="I2410" s="47"/>
      <c r="J2410" s="47"/>
      <c r="K2410" s="59"/>
      <c r="L2410" s="59"/>
      <c r="M2410" s="47"/>
    </row>
    <row r="2411" customHeight="1" spans="1:13">
      <c r="A2411" s="47"/>
      <c r="B2411" s="47"/>
      <c r="C2411" s="47"/>
      <c r="D2411" s="47"/>
      <c r="E2411" s="47"/>
      <c r="F2411" s="47"/>
      <c r="G2411" s="47"/>
      <c r="H2411" s="47"/>
      <c r="I2411" s="47"/>
      <c r="J2411" s="47"/>
      <c r="K2411" s="59"/>
      <c r="L2411" s="59"/>
      <c r="M2411" s="47"/>
    </row>
    <row r="2412" customHeight="1" spans="1:13">
      <c r="A2412" s="47"/>
      <c r="B2412" s="47"/>
      <c r="C2412" s="47"/>
      <c r="D2412" s="47"/>
      <c r="E2412" s="47"/>
      <c r="F2412" s="47"/>
      <c r="G2412" s="47"/>
      <c r="H2412" s="47"/>
      <c r="I2412" s="47"/>
      <c r="J2412" s="47"/>
      <c r="K2412" s="59"/>
      <c r="L2412" s="59"/>
      <c r="M2412" s="47"/>
    </row>
    <row r="2413" customHeight="1" spans="1:13">
      <c r="A2413" s="47"/>
      <c r="B2413" s="47"/>
      <c r="C2413" s="47"/>
      <c r="D2413" s="47"/>
      <c r="E2413" s="47"/>
      <c r="F2413" s="47"/>
      <c r="G2413" s="47"/>
      <c r="H2413" s="47"/>
      <c r="I2413" s="47"/>
      <c r="J2413" s="47"/>
      <c r="K2413" s="59"/>
      <c r="L2413" s="59"/>
      <c r="M2413" s="47"/>
    </row>
    <row r="2414" customHeight="1" spans="1:13">
      <c r="A2414" s="47"/>
      <c r="B2414" s="47"/>
      <c r="C2414" s="47"/>
      <c r="D2414" s="47"/>
      <c r="E2414" s="47"/>
      <c r="F2414" s="47"/>
      <c r="G2414" s="47"/>
      <c r="H2414" s="47"/>
      <c r="I2414" s="47"/>
      <c r="J2414" s="47"/>
      <c r="K2414" s="59"/>
      <c r="L2414" s="59"/>
      <c r="M2414" s="47"/>
    </row>
    <row r="2415" customHeight="1" spans="1:13">
      <c r="A2415" s="47"/>
      <c r="B2415" s="47"/>
      <c r="C2415" s="47"/>
      <c r="D2415" s="47"/>
      <c r="E2415" s="47"/>
      <c r="F2415" s="47"/>
      <c r="G2415" s="47"/>
      <c r="H2415" s="47"/>
      <c r="I2415" s="47"/>
      <c r="J2415" s="47"/>
      <c r="K2415" s="59"/>
      <c r="L2415" s="59"/>
      <c r="M2415" s="47"/>
    </row>
    <row r="2416" customHeight="1" spans="1:13">
      <c r="A2416" s="47"/>
      <c r="B2416" s="47"/>
      <c r="C2416" s="47"/>
      <c r="D2416" s="47"/>
      <c r="E2416" s="47"/>
      <c r="F2416" s="47"/>
      <c r="G2416" s="47"/>
      <c r="H2416" s="47"/>
      <c r="I2416" s="47"/>
      <c r="J2416" s="47"/>
      <c r="K2416" s="59"/>
      <c r="L2416" s="59"/>
      <c r="M2416" s="47"/>
    </row>
    <row r="2417" customHeight="1" spans="1:13">
      <c r="A2417" s="47"/>
      <c r="B2417" s="47"/>
      <c r="C2417" s="47"/>
      <c r="D2417" s="47"/>
      <c r="E2417" s="47"/>
      <c r="F2417" s="47"/>
      <c r="G2417" s="47"/>
      <c r="H2417" s="47"/>
      <c r="I2417" s="47"/>
      <c r="J2417" s="47"/>
      <c r="K2417" s="59"/>
      <c r="L2417" s="59"/>
      <c r="M2417" s="47"/>
    </row>
    <row r="2418" customHeight="1" spans="1:13">
      <c r="A2418" s="47"/>
      <c r="B2418" s="47"/>
      <c r="C2418" s="47"/>
      <c r="D2418" s="47"/>
      <c r="E2418" s="47"/>
      <c r="F2418" s="47"/>
      <c r="G2418" s="47"/>
      <c r="H2418" s="47"/>
      <c r="I2418" s="47"/>
      <c r="J2418" s="47"/>
      <c r="K2418" s="59"/>
      <c r="L2418" s="59"/>
      <c r="M2418" s="47"/>
    </row>
    <row r="2419" customHeight="1" spans="1:13">
      <c r="A2419" s="47"/>
      <c r="B2419" s="47"/>
      <c r="C2419" s="47"/>
      <c r="D2419" s="47"/>
      <c r="E2419" s="47"/>
      <c r="F2419" s="47"/>
      <c r="G2419" s="47"/>
      <c r="H2419" s="47"/>
      <c r="I2419" s="47"/>
      <c r="J2419" s="47"/>
      <c r="K2419" s="59"/>
      <c r="L2419" s="59"/>
      <c r="M2419" s="47"/>
    </row>
    <row r="2420" customHeight="1" spans="1:13">
      <c r="A2420" s="47"/>
      <c r="B2420" s="47"/>
      <c r="C2420" s="47"/>
      <c r="D2420" s="47"/>
      <c r="E2420" s="47"/>
      <c r="F2420" s="47"/>
      <c r="G2420" s="47"/>
      <c r="H2420" s="47"/>
      <c r="I2420" s="47"/>
      <c r="J2420" s="47"/>
      <c r="K2420" s="59"/>
      <c r="L2420" s="59"/>
      <c r="M2420" s="47"/>
    </row>
    <row r="2421" customHeight="1" spans="1:13">
      <c r="A2421" s="47"/>
      <c r="B2421" s="47"/>
      <c r="C2421" s="47"/>
      <c r="D2421" s="47"/>
      <c r="E2421" s="47"/>
      <c r="F2421" s="47"/>
      <c r="G2421" s="47"/>
      <c r="H2421" s="47"/>
      <c r="I2421" s="47"/>
      <c r="J2421" s="47"/>
      <c r="K2421" s="59"/>
      <c r="L2421" s="59"/>
      <c r="M2421" s="47"/>
    </row>
    <row r="2422" customHeight="1" spans="1:13">
      <c r="A2422" s="47"/>
      <c r="B2422" s="47"/>
      <c r="C2422" s="47"/>
      <c r="D2422" s="47"/>
      <c r="E2422" s="47"/>
      <c r="F2422" s="47"/>
      <c r="G2422" s="47"/>
      <c r="H2422" s="47"/>
      <c r="I2422" s="47"/>
      <c r="J2422" s="47"/>
      <c r="K2422" s="59"/>
      <c r="L2422" s="59"/>
      <c r="M2422" s="47"/>
    </row>
    <row r="2423" customHeight="1" spans="1:13">
      <c r="A2423" s="47"/>
      <c r="B2423" s="47"/>
      <c r="C2423" s="47"/>
      <c r="D2423" s="47"/>
      <c r="E2423" s="47"/>
      <c r="F2423" s="47"/>
      <c r="G2423" s="47"/>
      <c r="H2423" s="47"/>
      <c r="I2423" s="47"/>
      <c r="J2423" s="47"/>
      <c r="K2423" s="59"/>
      <c r="L2423" s="59"/>
      <c r="M2423" s="47"/>
    </row>
    <row r="2424" customHeight="1" spans="1:13">
      <c r="A2424" s="47"/>
      <c r="B2424" s="47"/>
      <c r="C2424" s="47"/>
      <c r="D2424" s="47"/>
      <c r="E2424" s="47"/>
      <c r="F2424" s="47"/>
      <c r="G2424" s="47"/>
      <c r="H2424" s="47"/>
      <c r="I2424" s="47"/>
      <c r="J2424" s="47"/>
      <c r="K2424" s="59"/>
      <c r="L2424" s="59"/>
      <c r="M2424" s="47"/>
    </row>
    <row r="2425" customHeight="1" spans="1:13">
      <c r="A2425" s="47"/>
      <c r="B2425" s="47"/>
      <c r="C2425" s="47"/>
      <c r="D2425" s="47"/>
      <c r="E2425" s="47"/>
      <c r="F2425" s="47"/>
      <c r="G2425" s="47"/>
      <c r="H2425" s="47"/>
      <c r="I2425" s="47"/>
      <c r="J2425" s="47"/>
      <c r="K2425" s="59"/>
      <c r="L2425" s="59"/>
      <c r="M2425" s="47"/>
    </row>
    <row r="2426" customHeight="1" spans="1:13">
      <c r="A2426" s="47"/>
      <c r="B2426" s="47"/>
      <c r="C2426" s="47"/>
      <c r="D2426" s="47"/>
      <c r="E2426" s="47"/>
      <c r="F2426" s="47"/>
      <c r="G2426" s="47"/>
      <c r="H2426" s="47"/>
      <c r="I2426" s="47"/>
      <c r="J2426" s="47"/>
      <c r="K2426" s="59"/>
      <c r="L2426" s="59"/>
      <c r="M2426" s="47"/>
    </row>
    <row r="2427" customHeight="1" spans="1:13">
      <c r="A2427" s="47"/>
      <c r="B2427" s="47"/>
      <c r="C2427" s="47"/>
      <c r="D2427" s="47"/>
      <c r="E2427" s="47"/>
      <c r="F2427" s="47"/>
      <c r="G2427" s="47"/>
      <c r="H2427" s="47"/>
      <c r="I2427" s="47"/>
      <c r="J2427" s="47"/>
      <c r="K2427" s="59"/>
      <c r="L2427" s="59"/>
      <c r="M2427" s="47"/>
    </row>
    <row r="2428" customHeight="1" spans="1:13">
      <c r="A2428" s="47"/>
      <c r="B2428" s="47"/>
      <c r="C2428" s="47"/>
      <c r="D2428" s="47"/>
      <c r="E2428" s="47"/>
      <c r="F2428" s="47"/>
      <c r="G2428" s="47"/>
      <c r="H2428" s="47"/>
      <c r="I2428" s="47"/>
      <c r="J2428" s="47"/>
      <c r="K2428" s="59"/>
      <c r="L2428" s="59"/>
      <c r="M2428" s="47"/>
    </row>
    <row r="2429" customHeight="1" spans="1:13">
      <c r="A2429" s="47"/>
      <c r="B2429" s="47"/>
      <c r="C2429" s="47"/>
      <c r="D2429" s="47"/>
      <c r="E2429" s="47"/>
      <c r="F2429" s="47"/>
      <c r="G2429" s="47"/>
      <c r="H2429" s="47"/>
      <c r="I2429" s="47"/>
      <c r="J2429" s="47"/>
      <c r="K2429" s="59"/>
      <c r="L2429" s="59"/>
      <c r="M2429" s="47"/>
    </row>
    <row r="2430" customHeight="1" spans="1:13">
      <c r="A2430" s="47"/>
      <c r="B2430" s="47"/>
      <c r="C2430" s="47"/>
      <c r="D2430" s="47"/>
      <c r="E2430" s="47"/>
      <c r="F2430" s="47"/>
      <c r="G2430" s="47"/>
      <c r="H2430" s="47"/>
      <c r="I2430" s="47"/>
      <c r="J2430" s="47"/>
      <c r="K2430" s="59"/>
      <c r="L2430" s="59"/>
      <c r="M2430" s="47"/>
    </row>
    <row r="2431" customHeight="1" spans="1:13">
      <c r="A2431" s="47"/>
      <c r="B2431" s="47"/>
      <c r="C2431" s="47"/>
      <c r="D2431" s="47"/>
      <c r="E2431" s="47"/>
      <c r="F2431" s="47"/>
      <c r="G2431" s="47"/>
      <c r="H2431" s="47"/>
      <c r="I2431" s="47"/>
      <c r="J2431" s="47"/>
      <c r="K2431" s="59"/>
      <c r="L2431" s="59"/>
      <c r="M2431" s="47"/>
    </row>
    <row r="2432" customHeight="1" spans="1:13">
      <c r="A2432" s="47"/>
      <c r="B2432" s="47"/>
      <c r="C2432" s="47"/>
      <c r="D2432" s="47"/>
      <c r="E2432" s="47"/>
      <c r="F2432" s="47"/>
      <c r="G2432" s="47"/>
      <c r="H2432" s="47"/>
      <c r="I2432" s="47"/>
      <c r="J2432" s="47"/>
      <c r="K2432" s="59"/>
      <c r="L2432" s="59"/>
      <c r="M2432" s="47"/>
    </row>
    <row r="2433" customHeight="1" spans="1:13">
      <c r="A2433" s="47"/>
      <c r="B2433" s="47"/>
      <c r="C2433" s="47"/>
      <c r="D2433" s="47"/>
      <c r="E2433" s="47"/>
      <c r="F2433" s="47"/>
      <c r="G2433" s="47"/>
      <c r="H2433" s="47"/>
      <c r="I2433" s="47"/>
      <c r="J2433" s="47"/>
      <c r="K2433" s="59"/>
      <c r="L2433" s="59"/>
      <c r="M2433" s="47"/>
    </row>
    <row r="2434" customHeight="1" spans="1:13">
      <c r="A2434" s="47"/>
      <c r="B2434" s="47"/>
      <c r="C2434" s="47"/>
      <c r="D2434" s="47"/>
      <c r="E2434" s="47"/>
      <c r="F2434" s="47"/>
      <c r="G2434" s="47"/>
      <c r="H2434" s="47"/>
      <c r="I2434" s="47"/>
      <c r="J2434" s="47"/>
      <c r="K2434" s="59"/>
      <c r="L2434" s="59"/>
      <c r="M2434" s="47"/>
    </row>
    <row r="2435" customHeight="1" spans="1:13">
      <c r="A2435" s="47"/>
      <c r="B2435" s="47"/>
      <c r="C2435" s="47"/>
      <c r="D2435" s="47"/>
      <c r="E2435" s="47"/>
      <c r="F2435" s="47"/>
      <c r="G2435" s="47"/>
      <c r="H2435" s="47"/>
      <c r="I2435" s="47"/>
      <c r="J2435" s="47"/>
      <c r="K2435" s="59"/>
      <c r="L2435" s="59"/>
      <c r="M2435" s="47"/>
    </row>
    <row r="2436" customHeight="1" spans="1:13">
      <c r="A2436" s="47"/>
      <c r="B2436" s="47"/>
      <c r="C2436" s="47"/>
      <c r="D2436" s="47"/>
      <c r="E2436" s="47"/>
      <c r="F2436" s="47"/>
      <c r="G2436" s="47"/>
      <c r="H2436" s="47"/>
      <c r="I2436" s="47"/>
      <c r="J2436" s="47"/>
      <c r="K2436" s="59"/>
      <c r="L2436" s="59"/>
      <c r="M2436" s="47"/>
    </row>
    <row r="2437" customHeight="1" spans="1:13">
      <c r="A2437" s="47"/>
      <c r="B2437" s="47"/>
      <c r="C2437" s="47"/>
      <c r="D2437" s="47"/>
      <c r="E2437" s="47"/>
      <c r="F2437" s="47"/>
      <c r="G2437" s="47"/>
      <c r="H2437" s="47"/>
      <c r="I2437" s="47"/>
      <c r="J2437" s="47"/>
      <c r="K2437" s="59"/>
      <c r="L2437" s="59"/>
      <c r="M2437" s="47"/>
    </row>
    <row r="2438" customHeight="1" spans="1:13">
      <c r="A2438" s="47"/>
      <c r="B2438" s="47"/>
      <c r="C2438" s="47"/>
      <c r="D2438" s="47"/>
      <c r="E2438" s="47"/>
      <c r="F2438" s="47"/>
      <c r="G2438" s="47"/>
      <c r="H2438" s="47"/>
      <c r="I2438" s="47"/>
      <c r="J2438" s="47"/>
      <c r="K2438" s="59"/>
      <c r="L2438" s="59"/>
      <c r="M2438" s="47"/>
    </row>
    <row r="2439" customHeight="1" spans="1:13">
      <c r="A2439" s="47"/>
      <c r="B2439" s="47"/>
      <c r="C2439" s="47"/>
      <c r="D2439" s="47"/>
      <c r="E2439" s="47"/>
      <c r="F2439" s="47"/>
      <c r="G2439" s="47"/>
      <c r="H2439" s="47"/>
      <c r="I2439" s="47"/>
      <c r="J2439" s="47"/>
      <c r="K2439" s="59"/>
      <c r="L2439" s="59"/>
      <c r="M2439" s="47"/>
    </row>
    <row r="2440" customHeight="1" spans="1:13">
      <c r="A2440" s="47"/>
      <c r="B2440" s="47"/>
      <c r="C2440" s="47"/>
      <c r="D2440" s="47"/>
      <c r="E2440" s="47"/>
      <c r="F2440" s="47"/>
      <c r="G2440" s="47"/>
      <c r="H2440" s="47"/>
      <c r="I2440" s="47"/>
      <c r="J2440" s="47"/>
      <c r="K2440" s="59"/>
      <c r="L2440" s="59"/>
      <c r="M2440" s="47"/>
    </row>
    <row r="2441" customHeight="1" spans="1:13">
      <c r="A2441" s="47"/>
      <c r="B2441" s="47"/>
      <c r="C2441" s="47"/>
      <c r="D2441" s="47"/>
      <c r="E2441" s="47"/>
      <c r="F2441" s="47"/>
      <c r="G2441" s="47"/>
      <c r="H2441" s="47"/>
      <c r="I2441" s="47"/>
      <c r="J2441" s="47"/>
      <c r="K2441" s="59"/>
      <c r="L2441" s="59"/>
      <c r="M2441" s="47"/>
    </row>
    <row r="2442" customHeight="1" spans="1:13">
      <c r="A2442" s="47"/>
      <c r="B2442" s="47"/>
      <c r="C2442" s="47"/>
      <c r="D2442" s="47"/>
      <c r="E2442" s="47"/>
      <c r="F2442" s="47"/>
      <c r="G2442" s="47"/>
      <c r="H2442" s="47"/>
      <c r="I2442" s="47"/>
      <c r="J2442" s="47"/>
      <c r="K2442" s="59"/>
      <c r="L2442" s="59"/>
      <c r="M2442" s="47"/>
    </row>
    <row r="2443" customHeight="1" spans="1:13">
      <c r="A2443" s="47"/>
      <c r="B2443" s="47"/>
      <c r="C2443" s="47"/>
      <c r="D2443" s="47"/>
      <c r="E2443" s="47"/>
      <c r="F2443" s="47"/>
      <c r="G2443" s="47"/>
      <c r="H2443" s="47"/>
      <c r="I2443" s="47"/>
      <c r="J2443" s="47"/>
      <c r="K2443" s="59"/>
      <c r="L2443" s="59"/>
      <c r="M2443" s="47"/>
    </row>
    <row r="2444" customHeight="1" spans="1:13">
      <c r="A2444" s="47"/>
      <c r="B2444" s="47"/>
      <c r="C2444" s="47"/>
      <c r="D2444" s="47"/>
      <c r="E2444" s="47"/>
      <c r="F2444" s="47"/>
      <c r="G2444" s="47"/>
      <c r="H2444" s="47"/>
      <c r="I2444" s="47"/>
      <c r="J2444" s="47"/>
      <c r="K2444" s="59"/>
      <c r="L2444" s="59"/>
      <c r="M2444" s="47"/>
    </row>
    <row r="2445" customHeight="1" spans="1:13">
      <c r="A2445" s="47"/>
      <c r="B2445" s="47"/>
      <c r="C2445" s="47"/>
      <c r="D2445" s="47"/>
      <c r="E2445" s="47"/>
      <c r="F2445" s="47"/>
      <c r="G2445" s="47"/>
      <c r="H2445" s="47"/>
      <c r="I2445" s="47"/>
      <c r="J2445" s="47"/>
      <c r="K2445" s="59"/>
      <c r="L2445" s="59"/>
      <c r="M2445" s="47"/>
    </row>
    <row r="2446" customHeight="1" spans="1:13">
      <c r="A2446" s="47"/>
      <c r="B2446" s="47"/>
      <c r="C2446" s="47"/>
      <c r="D2446" s="47"/>
      <c r="E2446" s="47"/>
      <c r="F2446" s="47"/>
      <c r="G2446" s="47"/>
      <c r="H2446" s="47"/>
      <c r="I2446" s="47"/>
      <c r="J2446" s="47"/>
      <c r="K2446" s="59"/>
      <c r="L2446" s="59"/>
      <c r="M2446" s="47"/>
    </row>
    <row r="2447" customHeight="1" spans="1:13">
      <c r="A2447" s="47"/>
      <c r="B2447" s="47"/>
      <c r="C2447" s="47"/>
      <c r="D2447" s="47"/>
      <c r="E2447" s="47"/>
      <c r="F2447" s="47"/>
      <c r="G2447" s="47"/>
      <c r="H2447" s="47"/>
      <c r="I2447" s="47"/>
      <c r="J2447" s="47"/>
      <c r="K2447" s="59"/>
      <c r="L2447" s="59"/>
      <c r="M2447" s="47"/>
    </row>
    <row r="2448" customHeight="1" spans="1:13">
      <c r="A2448" s="47"/>
      <c r="B2448" s="47"/>
      <c r="C2448" s="47"/>
      <c r="D2448" s="47"/>
      <c r="E2448" s="47"/>
      <c r="F2448" s="47"/>
      <c r="G2448" s="47"/>
      <c r="H2448" s="47"/>
      <c r="I2448" s="47"/>
      <c r="J2448" s="47"/>
      <c r="K2448" s="59"/>
      <c r="L2448" s="59"/>
      <c r="M2448" s="47"/>
    </row>
    <row r="2449" customHeight="1" spans="1:13">
      <c r="A2449" s="47"/>
      <c r="B2449" s="47"/>
      <c r="C2449" s="47"/>
      <c r="D2449" s="47"/>
      <c r="E2449" s="47"/>
      <c r="F2449" s="47"/>
      <c r="G2449" s="47"/>
      <c r="H2449" s="47"/>
      <c r="I2449" s="47"/>
      <c r="J2449" s="47"/>
      <c r="K2449" s="59"/>
      <c r="L2449" s="59"/>
      <c r="M2449" s="47"/>
    </row>
    <row r="2450" customHeight="1" spans="1:13">
      <c r="A2450" s="47"/>
      <c r="B2450" s="47"/>
      <c r="C2450" s="47"/>
      <c r="D2450" s="47"/>
      <c r="E2450" s="47"/>
      <c r="F2450" s="47"/>
      <c r="G2450" s="47"/>
      <c r="H2450" s="47"/>
      <c r="I2450" s="47"/>
      <c r="J2450" s="47"/>
      <c r="K2450" s="59"/>
      <c r="L2450" s="59"/>
      <c r="M2450" s="47"/>
    </row>
    <row r="2451" customHeight="1" spans="1:13">
      <c r="A2451" s="47"/>
      <c r="B2451" s="47"/>
      <c r="C2451" s="47"/>
      <c r="D2451" s="47"/>
      <c r="E2451" s="47"/>
      <c r="F2451" s="47"/>
      <c r="G2451" s="47"/>
      <c r="H2451" s="47"/>
      <c r="I2451" s="47"/>
      <c r="J2451" s="47"/>
      <c r="K2451" s="59"/>
      <c r="L2451" s="59"/>
      <c r="M2451" s="47"/>
    </row>
    <row r="2452" customHeight="1" spans="1:13">
      <c r="A2452" s="47"/>
      <c r="B2452" s="47"/>
      <c r="C2452" s="47"/>
      <c r="D2452" s="47"/>
      <c r="E2452" s="47"/>
      <c r="F2452" s="47"/>
      <c r="G2452" s="47"/>
      <c r="H2452" s="47"/>
      <c r="I2452" s="47"/>
      <c r="J2452" s="47"/>
      <c r="K2452" s="59"/>
      <c r="L2452" s="59"/>
      <c r="M2452" s="47"/>
    </row>
    <row r="2453" customHeight="1" spans="1:13">
      <c r="A2453" s="47"/>
      <c r="B2453" s="47"/>
      <c r="C2453" s="47"/>
      <c r="D2453" s="47"/>
      <c r="E2453" s="47"/>
      <c r="F2453" s="47"/>
      <c r="G2453" s="47"/>
      <c r="H2453" s="47"/>
      <c r="I2453" s="47"/>
      <c r="J2453" s="47"/>
      <c r="K2453" s="59"/>
      <c r="L2453" s="59"/>
      <c r="M2453" s="47"/>
    </row>
    <row r="2454" customHeight="1" spans="1:13">
      <c r="A2454" s="47"/>
      <c r="B2454" s="47"/>
      <c r="C2454" s="47"/>
      <c r="D2454" s="47"/>
      <c r="E2454" s="47"/>
      <c r="F2454" s="47"/>
      <c r="G2454" s="47"/>
      <c r="H2454" s="47"/>
      <c r="I2454" s="47"/>
      <c r="J2454" s="47"/>
      <c r="K2454" s="59"/>
      <c r="L2454" s="59"/>
      <c r="M2454" s="47"/>
    </row>
    <row r="2455" customHeight="1" spans="1:13">
      <c r="A2455" s="47"/>
      <c r="B2455" s="47"/>
      <c r="C2455" s="47"/>
      <c r="D2455" s="47"/>
      <c r="E2455" s="47"/>
      <c r="F2455" s="47"/>
      <c r="G2455" s="47"/>
      <c r="H2455" s="47"/>
      <c r="I2455" s="47"/>
      <c r="J2455" s="47"/>
      <c r="K2455" s="59"/>
      <c r="L2455" s="59"/>
      <c r="M2455" s="47"/>
    </row>
    <row r="2456" customHeight="1" spans="1:13">
      <c r="A2456" s="47"/>
      <c r="B2456" s="47"/>
      <c r="C2456" s="47"/>
      <c r="D2456" s="47"/>
      <c r="E2456" s="47"/>
      <c r="F2456" s="47"/>
      <c r="G2456" s="47"/>
      <c r="H2456" s="47"/>
      <c r="I2456" s="47"/>
      <c r="J2456" s="47"/>
      <c r="K2456" s="59"/>
      <c r="L2456" s="59"/>
      <c r="M2456" s="47"/>
    </row>
    <row r="2457" customHeight="1" spans="1:13">
      <c r="A2457" s="47"/>
      <c r="B2457" s="47"/>
      <c r="C2457" s="47"/>
      <c r="D2457" s="47"/>
      <c r="E2457" s="47"/>
      <c r="F2457" s="47"/>
      <c r="G2457" s="47"/>
      <c r="H2457" s="47"/>
      <c r="I2457" s="47"/>
      <c r="J2457" s="47"/>
      <c r="K2457" s="59"/>
      <c r="L2457" s="59"/>
      <c r="M2457" s="47"/>
    </row>
    <row r="2458" customHeight="1" spans="1:13">
      <c r="A2458" s="47"/>
      <c r="B2458" s="47"/>
      <c r="C2458" s="47"/>
      <c r="D2458" s="47"/>
      <c r="E2458" s="47"/>
      <c r="F2458" s="47"/>
      <c r="G2458" s="47"/>
      <c r="H2458" s="47"/>
      <c r="I2458" s="47"/>
      <c r="J2458" s="47"/>
      <c r="K2458" s="59"/>
      <c r="L2458" s="59"/>
      <c r="M2458" s="47"/>
    </row>
    <row r="2459" customHeight="1" spans="1:13">
      <c r="A2459" s="47"/>
      <c r="B2459" s="47"/>
      <c r="C2459" s="47"/>
      <c r="D2459" s="47"/>
      <c r="E2459" s="47"/>
      <c r="F2459" s="47"/>
      <c r="G2459" s="47"/>
      <c r="H2459" s="47"/>
      <c r="I2459" s="47"/>
      <c r="J2459" s="47"/>
      <c r="K2459" s="59"/>
      <c r="L2459" s="59"/>
      <c r="M2459" s="47"/>
    </row>
    <row r="2460" customHeight="1" spans="1:13">
      <c r="A2460" s="47"/>
      <c r="B2460" s="47"/>
      <c r="C2460" s="47"/>
      <c r="D2460" s="47"/>
      <c r="E2460" s="47"/>
      <c r="F2460" s="47"/>
      <c r="G2460" s="47"/>
      <c r="H2460" s="47"/>
      <c r="I2460" s="47"/>
      <c r="J2460" s="47"/>
      <c r="K2460" s="59"/>
      <c r="L2460" s="59"/>
      <c r="M2460" s="47"/>
    </row>
    <row r="2461" customHeight="1" spans="1:13">
      <c r="A2461" s="47"/>
      <c r="B2461" s="47"/>
      <c r="C2461" s="47"/>
      <c r="D2461" s="47"/>
      <c r="E2461" s="47"/>
      <c r="F2461" s="47"/>
      <c r="G2461" s="47"/>
      <c r="H2461" s="47"/>
      <c r="I2461" s="47"/>
      <c r="J2461" s="47"/>
      <c r="K2461" s="59"/>
      <c r="L2461" s="59"/>
      <c r="M2461" s="47"/>
    </row>
    <row r="2462" customHeight="1" spans="1:13">
      <c r="A2462" s="47"/>
      <c r="B2462" s="47"/>
      <c r="C2462" s="47"/>
      <c r="D2462" s="47"/>
      <c r="E2462" s="47"/>
      <c r="F2462" s="47"/>
      <c r="G2462" s="47"/>
      <c r="H2462" s="47"/>
      <c r="I2462" s="47"/>
      <c r="J2462" s="47"/>
      <c r="K2462" s="59"/>
      <c r="L2462" s="59"/>
      <c r="M2462" s="47"/>
    </row>
    <row r="2463" customHeight="1" spans="1:13">
      <c r="A2463" s="47"/>
      <c r="B2463" s="47"/>
      <c r="C2463" s="47"/>
      <c r="D2463" s="47"/>
      <c r="E2463" s="47"/>
      <c r="F2463" s="47"/>
      <c r="G2463" s="47"/>
      <c r="H2463" s="47"/>
      <c r="I2463" s="47"/>
      <c r="J2463" s="47"/>
      <c r="K2463" s="59"/>
      <c r="L2463" s="59"/>
      <c r="M2463" s="47"/>
    </row>
    <row r="2464" customHeight="1" spans="1:13">
      <c r="A2464" s="47"/>
      <c r="B2464" s="47"/>
      <c r="C2464" s="47"/>
      <c r="D2464" s="47"/>
      <c r="E2464" s="47"/>
      <c r="F2464" s="47"/>
      <c r="G2464" s="47"/>
      <c r="H2464" s="47"/>
      <c r="I2464" s="47"/>
      <c r="J2464" s="47"/>
      <c r="K2464" s="59"/>
      <c r="L2464" s="59"/>
      <c r="M2464" s="47"/>
    </row>
    <row r="2465" customHeight="1" spans="1:13">
      <c r="A2465" s="47"/>
      <c r="B2465" s="47"/>
      <c r="C2465" s="47"/>
      <c r="D2465" s="47"/>
      <c r="E2465" s="47"/>
      <c r="F2465" s="47"/>
      <c r="G2465" s="47"/>
      <c r="H2465" s="47"/>
      <c r="I2465" s="47"/>
      <c r="J2465" s="47"/>
      <c r="K2465" s="59"/>
      <c r="L2465" s="59"/>
      <c r="M2465" s="47"/>
    </row>
    <row r="2466" customHeight="1" spans="1:13">
      <c r="A2466" s="47"/>
      <c r="B2466" s="47"/>
      <c r="C2466" s="47"/>
      <c r="D2466" s="47"/>
      <c r="E2466" s="47"/>
      <c r="F2466" s="47"/>
      <c r="G2466" s="47"/>
      <c r="H2466" s="47"/>
      <c r="I2466" s="47"/>
      <c r="J2466" s="47"/>
      <c r="K2466" s="59"/>
      <c r="L2466" s="59"/>
      <c r="M2466" s="47"/>
    </row>
    <row r="2467" customHeight="1" spans="1:13">
      <c r="A2467" s="47"/>
      <c r="B2467" s="47"/>
      <c r="C2467" s="47"/>
      <c r="D2467" s="47"/>
      <c r="E2467" s="47"/>
      <c r="F2467" s="47"/>
      <c r="G2467" s="47"/>
      <c r="H2467" s="47"/>
      <c r="I2467" s="47"/>
      <c r="J2467" s="47"/>
      <c r="K2467" s="59"/>
      <c r="L2467" s="59"/>
      <c r="M2467" s="47"/>
    </row>
    <row r="2468" customHeight="1" spans="1:13">
      <c r="A2468" s="47"/>
      <c r="B2468" s="47"/>
      <c r="C2468" s="47"/>
      <c r="D2468" s="47"/>
      <c r="E2468" s="47"/>
      <c r="F2468" s="47"/>
      <c r="G2468" s="47"/>
      <c r="H2468" s="47"/>
      <c r="I2468" s="47"/>
      <c r="J2468" s="47"/>
      <c r="K2468" s="59"/>
      <c r="L2468" s="59"/>
      <c r="M2468" s="47"/>
    </row>
    <row r="2469" customHeight="1" spans="1:13">
      <c r="A2469" s="47"/>
      <c r="B2469" s="47"/>
      <c r="C2469" s="47"/>
      <c r="D2469" s="47"/>
      <c r="E2469" s="47"/>
      <c r="F2469" s="47"/>
      <c r="G2469" s="47"/>
      <c r="H2469" s="47"/>
      <c r="I2469" s="47"/>
      <c r="J2469" s="47"/>
      <c r="K2469" s="59"/>
      <c r="L2469" s="59"/>
      <c r="M2469" s="47"/>
    </row>
    <row r="2470" customHeight="1" spans="1:13">
      <c r="A2470" s="47"/>
      <c r="B2470" s="47"/>
      <c r="C2470" s="47"/>
      <c r="D2470" s="47"/>
      <c r="E2470" s="47"/>
      <c r="F2470" s="47"/>
      <c r="G2470" s="47"/>
      <c r="H2470" s="47"/>
      <c r="I2470" s="47"/>
      <c r="J2470" s="47"/>
      <c r="K2470" s="59"/>
      <c r="L2470" s="59"/>
      <c r="M2470" s="47"/>
    </row>
    <row r="2471" customHeight="1" spans="1:13">
      <c r="A2471" s="47"/>
      <c r="B2471" s="47"/>
      <c r="C2471" s="47"/>
      <c r="D2471" s="47"/>
      <c r="E2471" s="47"/>
      <c r="F2471" s="47"/>
      <c r="G2471" s="47"/>
      <c r="H2471" s="47"/>
      <c r="I2471" s="47"/>
      <c r="J2471" s="47"/>
      <c r="K2471" s="59"/>
      <c r="L2471" s="59"/>
      <c r="M2471" s="47"/>
    </row>
    <row r="2472" customHeight="1" spans="1:13">
      <c r="A2472" s="47"/>
      <c r="B2472" s="47"/>
      <c r="C2472" s="47"/>
      <c r="D2472" s="47"/>
      <c r="E2472" s="47"/>
      <c r="F2472" s="47"/>
      <c r="G2472" s="47"/>
      <c r="H2472" s="47"/>
      <c r="I2472" s="47"/>
      <c r="J2472" s="47"/>
      <c r="K2472" s="59"/>
      <c r="L2472" s="59"/>
      <c r="M2472" s="47"/>
    </row>
    <row r="2473" customHeight="1" spans="1:13">
      <c r="A2473" s="47"/>
      <c r="B2473" s="47"/>
      <c r="C2473" s="47"/>
      <c r="D2473" s="47"/>
      <c r="E2473" s="47"/>
      <c r="F2473" s="47"/>
      <c r="G2473" s="47"/>
      <c r="H2473" s="47"/>
      <c r="I2473" s="47"/>
      <c r="J2473" s="47"/>
      <c r="K2473" s="59"/>
      <c r="L2473" s="59"/>
      <c r="M2473" s="47"/>
    </row>
    <row r="2474" customHeight="1" spans="1:13">
      <c r="A2474" s="47"/>
      <c r="B2474" s="47"/>
      <c r="C2474" s="47"/>
      <c r="D2474" s="47"/>
      <c r="E2474" s="47"/>
      <c r="F2474" s="47"/>
      <c r="G2474" s="47"/>
      <c r="H2474" s="47"/>
      <c r="I2474" s="47"/>
      <c r="J2474" s="47"/>
      <c r="K2474" s="59"/>
      <c r="L2474" s="59"/>
      <c r="M2474" s="47"/>
    </row>
    <row r="2475" customHeight="1" spans="1:13">
      <c r="A2475" s="47"/>
      <c r="B2475" s="47"/>
      <c r="C2475" s="47"/>
      <c r="D2475" s="47"/>
      <c r="E2475" s="47"/>
      <c r="F2475" s="47"/>
      <c r="G2475" s="47"/>
      <c r="H2475" s="47"/>
      <c r="I2475" s="47"/>
      <c r="J2475" s="47"/>
      <c r="K2475" s="59"/>
      <c r="L2475" s="59"/>
      <c r="M2475" s="47"/>
    </row>
    <row r="2476" customHeight="1" spans="1:13">
      <c r="A2476" s="47"/>
      <c r="B2476" s="47"/>
      <c r="C2476" s="47"/>
      <c r="D2476" s="47"/>
      <c r="E2476" s="47"/>
      <c r="F2476" s="47"/>
      <c r="G2476" s="47"/>
      <c r="H2476" s="47"/>
      <c r="I2476" s="47"/>
      <c r="J2476" s="47"/>
      <c r="K2476" s="59"/>
      <c r="L2476" s="59"/>
      <c r="M2476" s="47"/>
    </row>
    <row r="2477" customHeight="1" spans="1:13">
      <c r="A2477" s="47"/>
      <c r="B2477" s="47"/>
      <c r="C2477" s="47"/>
      <c r="D2477" s="47"/>
      <c r="E2477" s="47"/>
      <c r="F2477" s="47"/>
      <c r="G2477" s="47"/>
      <c r="H2477" s="47"/>
      <c r="I2477" s="47"/>
      <c r="J2477" s="47"/>
      <c r="K2477" s="59"/>
      <c r="L2477" s="59"/>
      <c r="M2477" s="47"/>
    </row>
    <row r="2478" customHeight="1" spans="1:13">
      <c r="A2478" s="47"/>
      <c r="B2478" s="47"/>
      <c r="C2478" s="47"/>
      <c r="D2478" s="47"/>
      <c r="E2478" s="47"/>
      <c r="F2478" s="47"/>
      <c r="G2478" s="47"/>
      <c r="H2478" s="47"/>
      <c r="I2478" s="47"/>
      <c r="J2478" s="47"/>
      <c r="K2478" s="59"/>
      <c r="L2478" s="59"/>
      <c r="M2478" s="47"/>
    </row>
    <row r="2479" customHeight="1" spans="1:13">
      <c r="A2479" s="47"/>
      <c r="B2479" s="47"/>
      <c r="C2479" s="47"/>
      <c r="D2479" s="47"/>
      <c r="E2479" s="47"/>
      <c r="F2479" s="47"/>
      <c r="G2479" s="47"/>
      <c r="H2479" s="47"/>
      <c r="I2479" s="47"/>
      <c r="J2479" s="47"/>
      <c r="K2479" s="59"/>
      <c r="L2479" s="59"/>
      <c r="M2479" s="47"/>
    </row>
    <row r="2480" customHeight="1" spans="1:13">
      <c r="A2480" s="47"/>
      <c r="B2480" s="47"/>
      <c r="C2480" s="47"/>
      <c r="D2480" s="47"/>
      <c r="E2480" s="47"/>
      <c r="F2480" s="47"/>
      <c r="G2480" s="47"/>
      <c r="H2480" s="47"/>
      <c r="I2480" s="47"/>
      <c r="J2480" s="47"/>
      <c r="K2480" s="59"/>
      <c r="L2480" s="59"/>
      <c r="M2480" s="47"/>
    </row>
    <row r="2481" customHeight="1" spans="1:13">
      <c r="A2481" s="47"/>
      <c r="B2481" s="47"/>
      <c r="C2481" s="47"/>
      <c r="D2481" s="47"/>
      <c r="E2481" s="47"/>
      <c r="F2481" s="47"/>
      <c r="G2481" s="47"/>
      <c r="H2481" s="47"/>
      <c r="I2481" s="47"/>
      <c r="J2481" s="47"/>
      <c r="K2481" s="59"/>
      <c r="L2481" s="59"/>
      <c r="M2481" s="47"/>
    </row>
    <row r="2482" customHeight="1" spans="1:13">
      <c r="A2482" s="47"/>
      <c r="B2482" s="47"/>
      <c r="C2482" s="47"/>
      <c r="D2482" s="47"/>
      <c r="E2482" s="47"/>
      <c r="F2482" s="47"/>
      <c r="G2482" s="47"/>
      <c r="H2482" s="47"/>
      <c r="I2482" s="47"/>
      <c r="J2482" s="47"/>
      <c r="K2482" s="59"/>
      <c r="L2482" s="59"/>
      <c r="M2482" s="47"/>
    </row>
    <row r="2483" customHeight="1" spans="1:13">
      <c r="A2483" s="47"/>
      <c r="B2483" s="47"/>
      <c r="C2483" s="47"/>
      <c r="D2483" s="47"/>
      <c r="E2483" s="47"/>
      <c r="F2483" s="47"/>
      <c r="G2483" s="47"/>
      <c r="H2483" s="47"/>
      <c r="I2483" s="47"/>
      <c r="J2483" s="47"/>
      <c r="K2483" s="59"/>
      <c r="L2483" s="59"/>
      <c r="M2483" s="47"/>
    </row>
    <row r="2484" customHeight="1" spans="1:13">
      <c r="A2484" s="47"/>
      <c r="B2484" s="47"/>
      <c r="C2484" s="47"/>
      <c r="D2484" s="47"/>
      <c r="E2484" s="47"/>
      <c r="F2484" s="47"/>
      <c r="G2484" s="47"/>
      <c r="H2484" s="47"/>
      <c r="I2484" s="47"/>
      <c r="J2484" s="47"/>
      <c r="K2484" s="59"/>
      <c r="L2484" s="59"/>
      <c r="M2484" s="47"/>
    </row>
    <row r="2485" customHeight="1" spans="1:13">
      <c r="A2485" s="47"/>
      <c r="B2485" s="47"/>
      <c r="C2485" s="47"/>
      <c r="D2485" s="47"/>
      <c r="E2485" s="47"/>
      <c r="F2485" s="47"/>
      <c r="G2485" s="47"/>
      <c r="H2485" s="47"/>
      <c r="I2485" s="47"/>
      <c r="J2485" s="47"/>
      <c r="K2485" s="59"/>
      <c r="L2485" s="59"/>
      <c r="M2485" s="47"/>
    </row>
    <row r="2486" customHeight="1" spans="1:13">
      <c r="A2486" s="47"/>
      <c r="B2486" s="47"/>
      <c r="C2486" s="47"/>
      <c r="D2486" s="47"/>
      <c r="E2486" s="47"/>
      <c r="F2486" s="47"/>
      <c r="G2486" s="47"/>
      <c r="H2486" s="47"/>
      <c r="I2486" s="47"/>
      <c r="J2486" s="47"/>
      <c r="K2486" s="59"/>
      <c r="L2486" s="59"/>
      <c r="M2486" s="47"/>
    </row>
    <row r="2487" customHeight="1" spans="1:13">
      <c r="A2487" s="47"/>
      <c r="B2487" s="47"/>
      <c r="C2487" s="47"/>
      <c r="D2487" s="47"/>
      <c r="E2487" s="47"/>
      <c r="F2487" s="47"/>
      <c r="G2487" s="47"/>
      <c r="H2487" s="47"/>
      <c r="I2487" s="47"/>
      <c r="J2487" s="47"/>
      <c r="K2487" s="59"/>
      <c r="L2487" s="59"/>
      <c r="M2487" s="47"/>
    </row>
    <row r="2488" customHeight="1" spans="1:13">
      <c r="A2488" s="47"/>
      <c r="B2488" s="47"/>
      <c r="C2488" s="47"/>
      <c r="D2488" s="47"/>
      <c r="E2488" s="47"/>
      <c r="F2488" s="47"/>
      <c r="G2488" s="47"/>
      <c r="H2488" s="47"/>
      <c r="I2488" s="47"/>
      <c r="J2488" s="47"/>
      <c r="K2488" s="59"/>
      <c r="L2488" s="59"/>
      <c r="M2488" s="47"/>
    </row>
    <row r="2489" customHeight="1" spans="1:13">
      <c r="A2489" s="47"/>
      <c r="B2489" s="47"/>
      <c r="C2489" s="47"/>
      <c r="D2489" s="47"/>
      <c r="E2489" s="47"/>
      <c r="F2489" s="47"/>
      <c r="G2489" s="47"/>
      <c r="H2489" s="47"/>
      <c r="I2489" s="47"/>
      <c r="J2489" s="47"/>
      <c r="K2489" s="59"/>
      <c r="L2489" s="59"/>
      <c r="M2489" s="47"/>
    </row>
    <row r="2490" customHeight="1" spans="1:13">
      <c r="A2490" s="47"/>
      <c r="B2490" s="47"/>
      <c r="C2490" s="47"/>
      <c r="D2490" s="47"/>
      <c r="E2490" s="47"/>
      <c r="F2490" s="47"/>
      <c r="G2490" s="47"/>
      <c r="H2490" s="47"/>
      <c r="I2490" s="47"/>
      <c r="J2490" s="47"/>
      <c r="K2490" s="59"/>
      <c r="L2490" s="59"/>
      <c r="M2490" s="47"/>
    </row>
    <row r="2491" customHeight="1" spans="1:13">
      <c r="A2491" s="47"/>
      <c r="B2491" s="47"/>
      <c r="C2491" s="47"/>
      <c r="D2491" s="47"/>
      <c r="E2491" s="47"/>
      <c r="F2491" s="47"/>
      <c r="G2491" s="47"/>
      <c r="H2491" s="47"/>
      <c r="I2491" s="47"/>
      <c r="J2491" s="47"/>
      <c r="K2491" s="59"/>
      <c r="L2491" s="59"/>
      <c r="M2491" s="47"/>
    </row>
    <row r="2492" customHeight="1" spans="1:13">
      <c r="A2492" s="47"/>
      <c r="B2492" s="47"/>
      <c r="C2492" s="47"/>
      <c r="D2492" s="47"/>
      <c r="E2492" s="47"/>
      <c r="F2492" s="47"/>
      <c r="G2492" s="47"/>
      <c r="H2492" s="47"/>
      <c r="I2492" s="47"/>
      <c r="J2492" s="47"/>
      <c r="K2492" s="59"/>
      <c r="L2492" s="59"/>
      <c r="M2492" s="47"/>
    </row>
    <row r="2493" customHeight="1" spans="1:13">
      <c r="A2493" s="47"/>
      <c r="B2493" s="47"/>
      <c r="C2493" s="47"/>
      <c r="D2493" s="47"/>
      <c r="E2493" s="47"/>
      <c r="F2493" s="47"/>
      <c r="G2493" s="47"/>
      <c r="H2493" s="47"/>
      <c r="I2493" s="47"/>
      <c r="J2493" s="47"/>
      <c r="K2493" s="59"/>
      <c r="L2493" s="59"/>
      <c r="M2493" s="47"/>
    </row>
    <row r="2494" customHeight="1" spans="1:13">
      <c r="A2494" s="47"/>
      <c r="B2494" s="47"/>
      <c r="C2494" s="47"/>
      <c r="D2494" s="47"/>
      <c r="E2494" s="47"/>
      <c r="F2494" s="47"/>
      <c r="G2494" s="47"/>
      <c r="H2494" s="47"/>
      <c r="I2494" s="47"/>
      <c r="J2494" s="47"/>
      <c r="K2494" s="59"/>
      <c r="L2494" s="59"/>
      <c r="M2494" s="47"/>
    </row>
    <row r="2495" customHeight="1" spans="1:13">
      <c r="A2495" s="47"/>
      <c r="B2495" s="47"/>
      <c r="C2495" s="47"/>
      <c r="D2495" s="47"/>
      <c r="E2495" s="47"/>
      <c r="F2495" s="47"/>
      <c r="G2495" s="47"/>
      <c r="H2495" s="47"/>
      <c r="I2495" s="47"/>
      <c r="J2495" s="47"/>
      <c r="K2495" s="59"/>
      <c r="L2495" s="59"/>
      <c r="M2495" s="47"/>
    </row>
    <row r="2496" customHeight="1" spans="1:13">
      <c r="A2496" s="47"/>
      <c r="B2496" s="47"/>
      <c r="C2496" s="47"/>
      <c r="D2496" s="47"/>
      <c r="E2496" s="47"/>
      <c r="F2496" s="47"/>
      <c r="G2496" s="47"/>
      <c r="H2496" s="47"/>
      <c r="I2496" s="47"/>
      <c r="J2496" s="47"/>
      <c r="K2496" s="59"/>
      <c r="L2496" s="59"/>
      <c r="M2496" s="47"/>
    </row>
    <row r="2497" customHeight="1" spans="1:13">
      <c r="A2497" s="47"/>
      <c r="B2497" s="47"/>
      <c r="C2497" s="47"/>
      <c r="D2497" s="47"/>
      <c r="E2497" s="47"/>
      <c r="F2497" s="47"/>
      <c r="G2497" s="47"/>
      <c r="H2497" s="47"/>
      <c r="I2497" s="47"/>
      <c r="J2497" s="47"/>
      <c r="K2497" s="59"/>
      <c r="L2497" s="59"/>
      <c r="M2497" s="47"/>
    </row>
    <row r="2498" customHeight="1" spans="1:13">
      <c r="A2498" s="47"/>
      <c r="B2498" s="47"/>
      <c r="C2498" s="47"/>
      <c r="D2498" s="47"/>
      <c r="E2498" s="47"/>
      <c r="F2498" s="47"/>
      <c r="G2498" s="47"/>
      <c r="H2498" s="47"/>
      <c r="I2498" s="47"/>
      <c r="J2498" s="47"/>
      <c r="K2498" s="59"/>
      <c r="L2498" s="59"/>
      <c r="M2498" s="47"/>
    </row>
    <row r="2499" customHeight="1" spans="1:13">
      <c r="A2499" s="47"/>
      <c r="B2499" s="47"/>
      <c r="C2499" s="47"/>
      <c r="D2499" s="47"/>
      <c r="E2499" s="47"/>
      <c r="F2499" s="47"/>
      <c r="G2499" s="47"/>
      <c r="H2499" s="47"/>
      <c r="I2499" s="47"/>
      <c r="J2499" s="47"/>
      <c r="K2499" s="59"/>
      <c r="L2499" s="59"/>
      <c r="M2499" s="47"/>
    </row>
    <row r="2500" customHeight="1" spans="1:13">
      <c r="A2500" s="47"/>
      <c r="B2500" s="47"/>
      <c r="C2500" s="47"/>
      <c r="D2500" s="47"/>
      <c r="E2500" s="47"/>
      <c r="F2500" s="47"/>
      <c r="G2500" s="47"/>
      <c r="H2500" s="47"/>
      <c r="I2500" s="47"/>
      <c r="J2500" s="47"/>
      <c r="K2500" s="59"/>
      <c r="L2500" s="59"/>
      <c r="M2500" s="47"/>
    </row>
    <row r="2501" customHeight="1" spans="1:13">
      <c r="A2501" s="47"/>
      <c r="B2501" s="47"/>
      <c r="C2501" s="47"/>
      <c r="D2501" s="47"/>
      <c r="E2501" s="47"/>
      <c r="F2501" s="47"/>
      <c r="G2501" s="47"/>
      <c r="H2501" s="47"/>
      <c r="I2501" s="47"/>
      <c r="J2501" s="47"/>
      <c r="K2501" s="59"/>
      <c r="L2501" s="59"/>
      <c r="M2501" s="47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237"/>
  <sheetViews>
    <sheetView workbookViewId="0">
      <pane ySplit="1" topLeftCell="A2" activePane="bottomLeft" state="frozen"/>
      <selection/>
      <selection pane="bottomLeft" activeCell="B3" sqref="B3"/>
    </sheetView>
  </sheetViews>
  <sheetFormatPr defaultColWidth="12.6296296296296" defaultRowHeight="15.75" customHeight="1"/>
  <cols>
    <col min="1" max="1" width="11.3796296296296" customWidth="1"/>
    <col min="2" max="3" width="13.1296296296296" customWidth="1"/>
    <col min="4" max="4" width="10.75" customWidth="1"/>
    <col min="5" max="6" width="10.5" customWidth="1"/>
    <col min="7" max="7" width="19.5" customWidth="1"/>
    <col min="8" max="9" width="11.3796296296296" customWidth="1"/>
    <col min="10" max="10" width="13.1296296296296" customWidth="1"/>
    <col min="11" max="11" width="14" customWidth="1"/>
    <col min="12" max="12" width="16.6296296296296" customWidth="1"/>
    <col min="13" max="13" width="14.8796296296296" customWidth="1"/>
    <col min="14" max="14" width="17.5" customWidth="1"/>
    <col min="15" max="15" width="14" customWidth="1"/>
    <col min="16" max="28" width="7.87962962962963" customWidth="1"/>
  </cols>
  <sheetData>
    <row r="1" ht="14.25" customHeight="1" spans="1:15">
      <c r="A1" s="39" t="s">
        <v>0</v>
      </c>
      <c r="B1" s="40" t="s">
        <v>1</v>
      </c>
      <c r="C1" s="41" t="s">
        <v>2</v>
      </c>
      <c r="D1" s="39" t="s">
        <v>2685</v>
      </c>
      <c r="E1" s="39" t="s">
        <v>2686</v>
      </c>
      <c r="F1" s="39" t="s">
        <v>3</v>
      </c>
      <c r="G1" s="39" t="s">
        <v>4</v>
      </c>
      <c r="H1" s="39" t="s">
        <v>5</v>
      </c>
      <c r="I1" s="39" t="s">
        <v>6</v>
      </c>
      <c r="J1" s="42" t="s">
        <v>7</v>
      </c>
      <c r="K1" s="42" t="s">
        <v>8</v>
      </c>
      <c r="L1" s="39" t="s">
        <v>9</v>
      </c>
      <c r="M1" s="39" t="s">
        <v>10</v>
      </c>
      <c r="N1" s="39" t="s">
        <v>11</v>
      </c>
      <c r="O1" s="39" t="s">
        <v>12</v>
      </c>
    </row>
    <row r="2" ht="14.25" customHeight="1" spans="1:15">
      <c r="A2" s="43" t="s">
        <v>13</v>
      </c>
      <c r="B2" s="44">
        <v>46054</v>
      </c>
      <c r="C2" s="45">
        <v>0.621527777777778</v>
      </c>
      <c r="D2" s="46">
        <f t="shared" ref="D2:D1451" si="0">HOUR(C2)</f>
        <v>14</v>
      </c>
      <c r="E2" s="47" t="str">
        <f t="shared" ref="E2:E684" si="1">TEXT(B2,"dddd")</f>
        <v>Sunday</v>
      </c>
      <c r="F2" s="47" t="s">
        <v>16</v>
      </c>
      <c r="G2" s="47" t="s">
        <v>17</v>
      </c>
      <c r="H2" s="43" t="s">
        <v>18</v>
      </c>
      <c r="I2" s="48">
        <v>2</v>
      </c>
      <c r="J2" s="49">
        <v>1000</v>
      </c>
      <c r="K2" s="49">
        <v>2000</v>
      </c>
      <c r="L2" s="47" t="s">
        <v>22</v>
      </c>
      <c r="M2" s="46">
        <v>0</v>
      </c>
      <c r="N2" s="48" t="s">
        <v>23</v>
      </c>
      <c r="O2" s="47" t="s">
        <v>24</v>
      </c>
    </row>
    <row r="3" ht="14.25" customHeight="1" spans="1:15">
      <c r="A3" s="43" t="s">
        <v>25</v>
      </c>
      <c r="B3" s="44">
        <v>46054</v>
      </c>
      <c r="C3" s="45">
        <v>0.85</v>
      </c>
      <c r="D3" s="46">
        <f t="shared" si="0"/>
        <v>20</v>
      </c>
      <c r="E3" s="47" t="str">
        <f t="shared" si="1"/>
        <v>Sunday</v>
      </c>
      <c r="F3" s="47" t="s">
        <v>16</v>
      </c>
      <c r="G3" s="47" t="s">
        <v>27</v>
      </c>
      <c r="H3" s="43" t="s">
        <v>28</v>
      </c>
      <c r="I3" s="48">
        <v>3</v>
      </c>
      <c r="J3" s="49">
        <v>15000</v>
      </c>
      <c r="K3" s="49">
        <v>45000</v>
      </c>
      <c r="L3" s="47" t="s">
        <v>32</v>
      </c>
      <c r="M3" s="46">
        <v>0</v>
      </c>
      <c r="N3" s="48" t="s">
        <v>23</v>
      </c>
      <c r="O3" s="47" t="s">
        <v>33</v>
      </c>
    </row>
    <row r="4" ht="14.25" customHeight="1" spans="1:15">
      <c r="A4" s="43" t="s">
        <v>34</v>
      </c>
      <c r="B4" s="44">
        <v>46054</v>
      </c>
      <c r="C4" s="45">
        <v>0.851388888888889</v>
      </c>
      <c r="D4" s="46">
        <f t="shared" si="0"/>
        <v>20</v>
      </c>
      <c r="E4" s="47" t="str">
        <f t="shared" si="1"/>
        <v>Sunday</v>
      </c>
      <c r="F4" s="47" t="s">
        <v>16</v>
      </c>
      <c r="G4" s="43" t="s">
        <v>36</v>
      </c>
      <c r="H4" s="43" t="s">
        <v>37</v>
      </c>
      <c r="I4" s="48">
        <v>1</v>
      </c>
      <c r="J4" s="49">
        <v>3000</v>
      </c>
      <c r="K4" s="49">
        <v>3000</v>
      </c>
      <c r="L4" s="47" t="s">
        <v>22</v>
      </c>
      <c r="M4" s="46">
        <v>0</v>
      </c>
      <c r="N4" s="48" t="s">
        <v>23</v>
      </c>
      <c r="O4" s="47" t="s">
        <v>40</v>
      </c>
    </row>
    <row r="5" ht="14.25" customHeight="1" spans="1:15">
      <c r="A5" s="43" t="s">
        <v>41</v>
      </c>
      <c r="B5" s="44">
        <v>46054</v>
      </c>
      <c r="C5" s="45">
        <v>0.868055555555556</v>
      </c>
      <c r="D5" s="46">
        <f t="shared" si="0"/>
        <v>20</v>
      </c>
      <c r="E5" s="47" t="str">
        <f t="shared" si="1"/>
        <v>Sunday</v>
      </c>
      <c r="F5" s="47" t="s">
        <v>43</v>
      </c>
      <c r="G5" s="47" t="s">
        <v>44</v>
      </c>
      <c r="H5" s="43" t="s">
        <v>45</v>
      </c>
      <c r="I5" s="48">
        <v>1</v>
      </c>
      <c r="J5" s="49">
        <v>4000</v>
      </c>
      <c r="K5" s="49">
        <v>4000</v>
      </c>
      <c r="L5" s="47" t="s">
        <v>22</v>
      </c>
      <c r="M5" s="46">
        <v>0</v>
      </c>
      <c r="N5" s="48" t="s">
        <v>23</v>
      </c>
      <c r="O5" s="47" t="s">
        <v>47</v>
      </c>
    </row>
    <row r="6" ht="14.25" customHeight="1" spans="1:15">
      <c r="A6" s="43" t="s">
        <v>48</v>
      </c>
      <c r="B6" s="44">
        <v>46054</v>
      </c>
      <c r="C6" s="45">
        <v>0.919444444444444</v>
      </c>
      <c r="D6" s="46">
        <f t="shared" si="0"/>
        <v>22</v>
      </c>
      <c r="E6" s="47" t="str">
        <f t="shared" si="1"/>
        <v>Sunday</v>
      </c>
      <c r="F6" s="47" t="s">
        <v>43</v>
      </c>
      <c r="G6" s="47" t="s">
        <v>50</v>
      </c>
      <c r="H6" s="47" t="s">
        <v>28</v>
      </c>
      <c r="I6" s="48">
        <v>1</v>
      </c>
      <c r="J6" s="49">
        <v>25000</v>
      </c>
      <c r="K6" s="50">
        <v>22500</v>
      </c>
      <c r="L6" s="47" t="s">
        <v>32</v>
      </c>
      <c r="M6" s="51">
        <v>0.1</v>
      </c>
      <c r="N6" s="48">
        <v>5</v>
      </c>
      <c r="O6" s="47" t="s">
        <v>40</v>
      </c>
    </row>
    <row r="7" ht="14.25" customHeight="1" spans="1:15">
      <c r="A7" s="43" t="s">
        <v>55</v>
      </c>
      <c r="B7" s="44">
        <v>46054</v>
      </c>
      <c r="C7" s="45">
        <v>0.953472222222222</v>
      </c>
      <c r="D7" s="46">
        <f t="shared" si="0"/>
        <v>22</v>
      </c>
      <c r="E7" s="47" t="str">
        <f t="shared" si="1"/>
        <v>Sunday</v>
      </c>
      <c r="F7" s="47" t="s">
        <v>43</v>
      </c>
      <c r="G7" s="47" t="s">
        <v>57</v>
      </c>
      <c r="H7" s="43" t="s">
        <v>28</v>
      </c>
      <c r="I7" s="48">
        <v>1</v>
      </c>
      <c r="J7" s="49">
        <v>18000</v>
      </c>
      <c r="K7" s="49">
        <v>18000</v>
      </c>
      <c r="L7" s="47" t="s">
        <v>22</v>
      </c>
      <c r="M7" s="46">
        <v>0</v>
      </c>
      <c r="N7" s="48" t="s">
        <v>23</v>
      </c>
      <c r="O7" s="47" t="s">
        <v>33</v>
      </c>
    </row>
    <row r="8" ht="14.25" customHeight="1" spans="1:15">
      <c r="A8" s="43" t="s">
        <v>59</v>
      </c>
      <c r="B8" s="44">
        <v>46055</v>
      </c>
      <c r="C8" s="45">
        <v>0.84375</v>
      </c>
      <c r="D8" s="46">
        <f t="shared" si="0"/>
        <v>20</v>
      </c>
      <c r="E8" s="47" t="str">
        <f t="shared" si="1"/>
        <v>Monday</v>
      </c>
      <c r="F8" s="47" t="s">
        <v>16</v>
      </c>
      <c r="G8" s="47" t="s">
        <v>63</v>
      </c>
      <c r="H8" s="43" t="s">
        <v>18</v>
      </c>
      <c r="I8" s="48">
        <v>1</v>
      </c>
      <c r="J8" s="49">
        <v>1500</v>
      </c>
      <c r="K8" s="49">
        <v>1500</v>
      </c>
      <c r="L8" s="47" t="s">
        <v>22</v>
      </c>
      <c r="M8" s="46">
        <v>0</v>
      </c>
      <c r="N8" s="48">
        <v>4</v>
      </c>
      <c r="O8" s="47" t="s">
        <v>33</v>
      </c>
    </row>
    <row r="9" ht="14.25" customHeight="1" spans="1:15">
      <c r="A9" s="43" t="s">
        <v>66</v>
      </c>
      <c r="B9" s="44">
        <v>46055</v>
      </c>
      <c r="C9" s="45">
        <v>0.850694444444444</v>
      </c>
      <c r="D9" s="46">
        <f t="shared" si="0"/>
        <v>20</v>
      </c>
      <c r="E9" s="47" t="str">
        <f t="shared" si="1"/>
        <v>Monday</v>
      </c>
      <c r="F9" s="47" t="s">
        <v>16</v>
      </c>
      <c r="G9" s="47" t="s">
        <v>17</v>
      </c>
      <c r="H9" s="43" t="s">
        <v>18</v>
      </c>
      <c r="I9" s="48">
        <v>1</v>
      </c>
      <c r="J9" s="49">
        <v>1000</v>
      </c>
      <c r="K9" s="49">
        <v>1000</v>
      </c>
      <c r="L9" s="47" t="s">
        <v>22</v>
      </c>
      <c r="M9" s="46">
        <v>0</v>
      </c>
      <c r="N9" s="48">
        <v>3</v>
      </c>
      <c r="O9" s="47" t="s">
        <v>33</v>
      </c>
    </row>
    <row r="10" ht="14.25" customHeight="1" spans="1:15">
      <c r="A10" s="43" t="s">
        <v>69</v>
      </c>
      <c r="B10" s="44">
        <v>46055</v>
      </c>
      <c r="C10" s="45">
        <v>0.864583333333333</v>
      </c>
      <c r="D10" s="46">
        <f t="shared" si="0"/>
        <v>20</v>
      </c>
      <c r="E10" s="47" t="str">
        <f t="shared" si="1"/>
        <v>Monday</v>
      </c>
      <c r="F10" s="47" t="s">
        <v>107</v>
      </c>
      <c r="G10" s="47" t="s">
        <v>27</v>
      </c>
      <c r="H10" s="43" t="s">
        <v>28</v>
      </c>
      <c r="I10" s="48">
        <v>1</v>
      </c>
      <c r="J10" s="49">
        <v>15000</v>
      </c>
      <c r="K10" s="49">
        <v>15000</v>
      </c>
      <c r="L10" s="47" t="s">
        <v>32</v>
      </c>
      <c r="M10" s="46">
        <v>0</v>
      </c>
      <c r="N10" s="48" t="s">
        <v>23</v>
      </c>
      <c r="O10" s="47" t="s">
        <v>33</v>
      </c>
    </row>
    <row r="11" ht="14.25" customHeight="1" spans="1:15">
      <c r="A11" s="43" t="s">
        <v>72</v>
      </c>
      <c r="B11" s="44">
        <v>46055</v>
      </c>
      <c r="C11" s="45">
        <v>0.868055555555556</v>
      </c>
      <c r="D11" s="46">
        <f t="shared" si="0"/>
        <v>20</v>
      </c>
      <c r="E11" s="47" t="str">
        <f t="shared" si="1"/>
        <v>Monday</v>
      </c>
      <c r="F11" s="47" t="s">
        <v>16</v>
      </c>
      <c r="G11" s="47" t="s">
        <v>63</v>
      </c>
      <c r="H11" s="43" t="str">
        <f>VLOOKUP(G11,'02_Menu_Lookup'!$A$2:$C$16,2,FALSE)</f>
        <v>Beverages</v>
      </c>
      <c r="I11" s="48">
        <f>K11/J11</f>
        <v>1</v>
      </c>
      <c r="J11" s="49">
        <v>1500</v>
      </c>
      <c r="K11" s="49">
        <v>1500</v>
      </c>
      <c r="L11" s="47" t="s">
        <v>22</v>
      </c>
      <c r="M11" s="46">
        <v>0</v>
      </c>
      <c r="N11" s="48" t="s">
        <v>23</v>
      </c>
      <c r="O11" s="47" t="s">
        <v>73</v>
      </c>
    </row>
    <row r="12" ht="14.25" customHeight="1" spans="1:15">
      <c r="A12" s="43" t="s">
        <v>74</v>
      </c>
      <c r="B12" s="44">
        <v>46055</v>
      </c>
      <c r="C12" s="45">
        <v>0.893055555555556</v>
      </c>
      <c r="D12" s="46">
        <f t="shared" si="0"/>
        <v>21</v>
      </c>
      <c r="E12" s="47" t="str">
        <f t="shared" si="1"/>
        <v>Monday</v>
      </c>
      <c r="F12" s="47" t="s">
        <v>16</v>
      </c>
      <c r="G12" s="47" t="s">
        <v>103</v>
      </c>
      <c r="H12" s="43" t="s">
        <v>37</v>
      </c>
      <c r="I12" s="48">
        <v>1</v>
      </c>
      <c r="J12" s="49">
        <v>5000</v>
      </c>
      <c r="K12" s="49">
        <v>5000</v>
      </c>
      <c r="L12" s="47" t="s">
        <v>22</v>
      </c>
      <c r="M12" s="46">
        <v>0</v>
      </c>
      <c r="N12" s="48" t="s">
        <v>23</v>
      </c>
      <c r="O12" s="47" t="s">
        <v>47</v>
      </c>
    </row>
    <row r="13" ht="14.25" customHeight="1" spans="1:15">
      <c r="A13" s="43" t="s">
        <v>78</v>
      </c>
      <c r="B13" s="44">
        <v>46055</v>
      </c>
      <c r="C13" s="45">
        <v>0.992361111111111</v>
      </c>
      <c r="D13" s="46">
        <f t="shared" si="0"/>
        <v>23</v>
      </c>
      <c r="E13" s="47" t="str">
        <f t="shared" si="1"/>
        <v>Monday</v>
      </c>
      <c r="F13" s="47" t="s">
        <v>43</v>
      </c>
      <c r="G13" s="47" t="s">
        <v>81</v>
      </c>
      <c r="H13" s="43" t="s">
        <v>37</v>
      </c>
      <c r="I13" s="48">
        <v>1</v>
      </c>
      <c r="J13" s="49">
        <v>6000</v>
      </c>
      <c r="K13" s="49">
        <v>6000</v>
      </c>
      <c r="L13" s="47" t="s">
        <v>22</v>
      </c>
      <c r="M13" s="46">
        <v>0</v>
      </c>
      <c r="N13" s="48">
        <v>4</v>
      </c>
      <c r="O13" s="47" t="s">
        <v>40</v>
      </c>
    </row>
    <row r="14" ht="14.25" customHeight="1" spans="1:15">
      <c r="A14" s="43" t="s">
        <v>83</v>
      </c>
      <c r="B14" s="44">
        <v>46056</v>
      </c>
      <c r="C14" s="45">
        <v>0.806944444444444</v>
      </c>
      <c r="D14" s="46">
        <f t="shared" si="0"/>
        <v>19</v>
      </c>
      <c r="E14" s="47" t="str">
        <f t="shared" si="1"/>
        <v>Tuesday</v>
      </c>
      <c r="F14" s="47" t="s">
        <v>16</v>
      </c>
      <c r="G14" s="47" t="s">
        <v>17</v>
      </c>
      <c r="H14" s="43" t="s">
        <v>18</v>
      </c>
      <c r="I14" s="48">
        <v>1</v>
      </c>
      <c r="J14" s="49">
        <f>K14/I14</f>
        <v>1000</v>
      </c>
      <c r="K14" s="49">
        <v>1000</v>
      </c>
      <c r="L14" s="47" t="s">
        <v>22</v>
      </c>
      <c r="M14" s="46">
        <v>0</v>
      </c>
      <c r="N14" s="48">
        <v>4</v>
      </c>
      <c r="O14" s="47" t="s">
        <v>24</v>
      </c>
    </row>
    <row r="15" ht="14.25" customHeight="1" spans="1:15">
      <c r="A15" s="43" t="s">
        <v>87</v>
      </c>
      <c r="B15" s="44">
        <v>46056</v>
      </c>
      <c r="C15" s="45">
        <v>0.840972222222222</v>
      </c>
      <c r="D15" s="46">
        <f t="shared" si="0"/>
        <v>20</v>
      </c>
      <c r="E15" s="47" t="str">
        <f t="shared" si="1"/>
        <v>Tuesday</v>
      </c>
      <c r="F15" s="47" t="s">
        <v>16</v>
      </c>
      <c r="G15" s="47" t="s">
        <v>27</v>
      </c>
      <c r="H15" s="43" t="s">
        <v>28</v>
      </c>
      <c r="I15" s="48">
        <v>1</v>
      </c>
      <c r="J15" s="49">
        <v>13500</v>
      </c>
      <c r="K15" s="50">
        <v>12150</v>
      </c>
      <c r="L15" s="47" t="s">
        <v>22</v>
      </c>
      <c r="M15" s="51">
        <v>0.1</v>
      </c>
      <c r="N15" s="48" t="s">
        <v>23</v>
      </c>
      <c r="O15" s="47" t="s">
        <v>73</v>
      </c>
    </row>
    <row r="16" ht="14.25" customHeight="1" spans="1:15">
      <c r="A16" s="43" t="s">
        <v>91</v>
      </c>
      <c r="B16" s="44">
        <v>46056</v>
      </c>
      <c r="C16" s="45">
        <v>0.844444444444444</v>
      </c>
      <c r="D16" s="46">
        <f t="shared" si="0"/>
        <v>20</v>
      </c>
      <c r="E16" s="47" t="str">
        <f t="shared" si="1"/>
        <v>Tuesday</v>
      </c>
      <c r="F16" s="47" t="s">
        <v>43</v>
      </c>
      <c r="G16" s="43" t="s">
        <v>36</v>
      </c>
      <c r="H16" s="43" t="s">
        <v>37</v>
      </c>
      <c r="I16" s="48">
        <f>K16/J16</f>
        <v>1</v>
      </c>
      <c r="J16" s="49">
        <v>3000</v>
      </c>
      <c r="K16" s="49">
        <v>3000</v>
      </c>
      <c r="L16" s="47" t="s">
        <v>32</v>
      </c>
      <c r="M16" s="46">
        <v>0</v>
      </c>
      <c r="N16" s="48">
        <v>3</v>
      </c>
      <c r="O16" s="47" t="s">
        <v>47</v>
      </c>
    </row>
    <row r="17" ht="14.25" customHeight="1" spans="1:15">
      <c r="A17" s="43" t="s">
        <v>93</v>
      </c>
      <c r="B17" s="44">
        <v>46056</v>
      </c>
      <c r="C17" s="45">
        <v>0.928472222222222</v>
      </c>
      <c r="D17" s="46">
        <f t="shared" si="0"/>
        <v>22</v>
      </c>
      <c r="E17" s="47" t="str">
        <f t="shared" si="1"/>
        <v>Tuesday</v>
      </c>
      <c r="F17" s="47" t="s">
        <v>43</v>
      </c>
      <c r="G17" s="47" t="s">
        <v>95</v>
      </c>
      <c r="H17" s="43" t="s">
        <v>45</v>
      </c>
      <c r="I17" s="48">
        <v>2</v>
      </c>
      <c r="J17" s="49">
        <v>5000</v>
      </c>
      <c r="K17" s="49">
        <v>10000</v>
      </c>
      <c r="L17" s="47" t="s">
        <v>22</v>
      </c>
      <c r="M17" s="46">
        <v>0</v>
      </c>
      <c r="N17" s="48">
        <v>4</v>
      </c>
      <c r="O17" s="47" t="s">
        <v>33</v>
      </c>
    </row>
    <row r="18" ht="14.25" customHeight="1" spans="1:15">
      <c r="A18" s="43" t="s">
        <v>97</v>
      </c>
      <c r="B18" s="44">
        <v>46056</v>
      </c>
      <c r="C18" s="45">
        <v>0.933333333333333</v>
      </c>
      <c r="D18" s="46">
        <f t="shared" si="0"/>
        <v>22</v>
      </c>
      <c r="E18" s="47" t="str">
        <f t="shared" si="1"/>
        <v>Tuesday</v>
      </c>
      <c r="F18" s="47" t="s">
        <v>43</v>
      </c>
      <c r="G18" s="47" t="s">
        <v>17</v>
      </c>
      <c r="H18" s="43" t="str">
        <f>VLOOKUP(G18,'02_Menu_Lookup'!$A$2:$C$16,2,FALSE)</f>
        <v>Beverages</v>
      </c>
      <c r="I18" s="48">
        <v>1</v>
      </c>
      <c r="J18" s="49">
        <v>1000</v>
      </c>
      <c r="K18" s="49">
        <v>1000</v>
      </c>
      <c r="L18" s="47" t="s">
        <v>22</v>
      </c>
      <c r="M18" s="46">
        <v>0</v>
      </c>
      <c r="N18" s="48" t="s">
        <v>23</v>
      </c>
      <c r="O18" s="47" t="s">
        <v>24</v>
      </c>
    </row>
    <row r="19" ht="14.25" customHeight="1" spans="1:15">
      <c r="A19" s="43" t="s">
        <v>100</v>
      </c>
      <c r="B19" s="44">
        <v>46057</v>
      </c>
      <c r="C19" s="45">
        <v>0.748611111111111</v>
      </c>
      <c r="D19" s="46">
        <f t="shared" si="0"/>
        <v>17</v>
      </c>
      <c r="E19" s="47" t="str">
        <f t="shared" si="1"/>
        <v>Wednesday</v>
      </c>
      <c r="F19" s="47" t="s">
        <v>16</v>
      </c>
      <c r="G19" s="47" t="s">
        <v>103</v>
      </c>
      <c r="H19" s="43" t="str">
        <f>VLOOKUP(G19,'02_Menu_Lookup'!$A$2:$C$16,2,FALSE)</f>
        <v>Sandwiches</v>
      </c>
      <c r="I19" s="48">
        <v>1</v>
      </c>
      <c r="J19" s="50">
        <v>5000</v>
      </c>
      <c r="K19" s="49">
        <v>5000</v>
      </c>
      <c r="L19" s="47" t="s">
        <v>22</v>
      </c>
      <c r="M19" s="46">
        <v>0</v>
      </c>
      <c r="N19" s="48" t="s">
        <v>23</v>
      </c>
      <c r="O19" s="47" t="s">
        <v>33</v>
      </c>
    </row>
    <row r="20" ht="14.25" customHeight="1" spans="1:15">
      <c r="A20" s="43" t="s">
        <v>105</v>
      </c>
      <c r="B20" s="44">
        <v>46057</v>
      </c>
      <c r="C20" s="45">
        <v>0.832638888888889</v>
      </c>
      <c r="D20" s="46">
        <f t="shared" si="0"/>
        <v>19</v>
      </c>
      <c r="E20" s="47" t="str">
        <f t="shared" si="1"/>
        <v>Wednesday</v>
      </c>
      <c r="F20" s="47" t="s">
        <v>107</v>
      </c>
      <c r="G20" s="47" t="s">
        <v>367</v>
      </c>
      <c r="H20" s="43" t="s">
        <v>109</v>
      </c>
      <c r="I20" s="48">
        <v>1</v>
      </c>
      <c r="J20" s="49">
        <v>7000</v>
      </c>
      <c r="K20" s="50">
        <v>7000</v>
      </c>
      <c r="L20" s="47" t="s">
        <v>32</v>
      </c>
      <c r="M20" s="46">
        <v>0</v>
      </c>
      <c r="N20" s="48" t="s">
        <v>23</v>
      </c>
      <c r="O20" s="47" t="s">
        <v>40</v>
      </c>
    </row>
    <row r="21" ht="14.25" customHeight="1" spans="1:15">
      <c r="A21" s="43" t="s">
        <v>112</v>
      </c>
      <c r="B21" s="44">
        <v>46057</v>
      </c>
      <c r="C21" s="45">
        <v>0.849305555555556</v>
      </c>
      <c r="D21" s="46">
        <f t="shared" si="0"/>
        <v>20</v>
      </c>
      <c r="E21" s="47" t="str">
        <f t="shared" si="1"/>
        <v>Wednesday</v>
      </c>
      <c r="F21" s="47" t="s">
        <v>16</v>
      </c>
      <c r="G21" s="47" t="s">
        <v>44</v>
      </c>
      <c r="H21" s="43" t="s">
        <v>45</v>
      </c>
      <c r="I21" s="48">
        <v>2</v>
      </c>
      <c r="J21" s="49">
        <v>4000</v>
      </c>
      <c r="K21" s="49">
        <v>8000</v>
      </c>
      <c r="L21" s="47" t="s">
        <v>22</v>
      </c>
      <c r="M21" s="46">
        <v>0</v>
      </c>
      <c r="N21" s="48" t="s">
        <v>23</v>
      </c>
      <c r="O21" s="47" t="s">
        <v>73</v>
      </c>
    </row>
    <row r="22" ht="14.25" customHeight="1" spans="1:15">
      <c r="A22" s="43" t="s">
        <v>115</v>
      </c>
      <c r="B22" s="44">
        <v>46057</v>
      </c>
      <c r="C22" s="45">
        <v>0.872222222222222</v>
      </c>
      <c r="D22" s="46">
        <f t="shared" si="0"/>
        <v>20</v>
      </c>
      <c r="E22" s="47" t="str">
        <f t="shared" si="1"/>
        <v>Wednesday</v>
      </c>
      <c r="F22" s="47" t="s">
        <v>16</v>
      </c>
      <c r="G22" s="47" t="s">
        <v>50</v>
      </c>
      <c r="H22" s="43" t="s">
        <v>28</v>
      </c>
      <c r="I22" s="48">
        <v>1</v>
      </c>
      <c r="J22" s="49">
        <v>25000</v>
      </c>
      <c r="K22" s="49">
        <v>25000</v>
      </c>
      <c r="L22" s="47" t="s">
        <v>22</v>
      </c>
      <c r="M22" s="46">
        <v>0</v>
      </c>
      <c r="N22" s="48" t="s">
        <v>23</v>
      </c>
      <c r="O22" s="47" t="s">
        <v>33</v>
      </c>
    </row>
    <row r="23" ht="14.25" customHeight="1" spans="1:15">
      <c r="A23" s="43" t="s">
        <v>117</v>
      </c>
      <c r="B23" s="44">
        <v>46057</v>
      </c>
      <c r="C23" s="45">
        <v>0.95</v>
      </c>
      <c r="D23" s="46">
        <f t="shared" si="0"/>
        <v>22</v>
      </c>
      <c r="E23" s="47" t="str">
        <f t="shared" si="1"/>
        <v>Wednesday</v>
      </c>
      <c r="F23" s="47" t="s">
        <v>43</v>
      </c>
      <c r="G23" s="47" t="s">
        <v>95</v>
      </c>
      <c r="H23" s="43" t="s">
        <v>45</v>
      </c>
      <c r="I23" s="48">
        <v>1</v>
      </c>
      <c r="J23" s="49">
        <v>5000</v>
      </c>
      <c r="K23" s="50">
        <v>4000</v>
      </c>
      <c r="L23" s="47" t="s">
        <v>22</v>
      </c>
      <c r="M23" s="51">
        <v>0.2</v>
      </c>
      <c r="N23" s="48" t="s">
        <v>23</v>
      </c>
      <c r="O23" s="47" t="s">
        <v>47</v>
      </c>
    </row>
    <row r="24" ht="14.25" customHeight="1" spans="1:15">
      <c r="A24" s="43" t="s">
        <v>120</v>
      </c>
      <c r="B24" s="44">
        <v>46058</v>
      </c>
      <c r="C24" s="45">
        <v>0.58125</v>
      </c>
      <c r="D24" s="46">
        <f t="shared" si="0"/>
        <v>13</v>
      </c>
      <c r="E24" s="47" t="str">
        <f t="shared" si="1"/>
        <v>Thursday</v>
      </c>
      <c r="F24" s="47" t="s">
        <v>16</v>
      </c>
      <c r="G24" s="47" t="s">
        <v>17</v>
      </c>
      <c r="H24" s="43" t="s">
        <v>18</v>
      </c>
      <c r="I24" s="48">
        <v>1</v>
      </c>
      <c r="J24" s="49">
        <v>1000</v>
      </c>
      <c r="K24" s="49">
        <v>1000</v>
      </c>
      <c r="L24" s="47" t="s">
        <v>22</v>
      </c>
      <c r="M24" s="46">
        <v>0</v>
      </c>
      <c r="N24" s="48" t="s">
        <v>23</v>
      </c>
      <c r="O24" s="47" t="s">
        <v>24</v>
      </c>
    </row>
    <row r="25" ht="14.25" customHeight="1" spans="1:15">
      <c r="A25" s="43" t="s">
        <v>123</v>
      </c>
      <c r="B25" s="44">
        <v>46058</v>
      </c>
      <c r="C25" s="45">
        <v>0.73125</v>
      </c>
      <c r="D25" s="46">
        <f t="shared" si="0"/>
        <v>17</v>
      </c>
      <c r="E25" s="47" t="str">
        <f t="shared" si="1"/>
        <v>Thursday</v>
      </c>
      <c r="F25" s="47" t="s">
        <v>107</v>
      </c>
      <c r="G25" s="47" t="s">
        <v>27</v>
      </c>
      <c r="H25" s="43" t="s">
        <v>28</v>
      </c>
      <c r="I25" s="48">
        <v>2</v>
      </c>
      <c r="J25" s="49">
        <v>15000</v>
      </c>
      <c r="K25" s="50">
        <v>30000</v>
      </c>
      <c r="L25" s="47" t="s">
        <v>22</v>
      </c>
      <c r="M25" s="46">
        <v>0</v>
      </c>
      <c r="N25" s="48">
        <v>5</v>
      </c>
      <c r="O25" s="47" t="s">
        <v>40</v>
      </c>
    </row>
    <row r="26" ht="14.25" customHeight="1" spans="1:15">
      <c r="A26" s="43" t="s">
        <v>128</v>
      </c>
      <c r="B26" s="44">
        <v>46058</v>
      </c>
      <c r="C26" s="45">
        <v>0.7375</v>
      </c>
      <c r="D26" s="46">
        <f t="shared" si="0"/>
        <v>17</v>
      </c>
      <c r="E26" s="47" t="str">
        <f t="shared" si="1"/>
        <v>Thursday</v>
      </c>
      <c r="F26" s="47" t="s">
        <v>16</v>
      </c>
      <c r="G26" s="43" t="s">
        <v>36</v>
      </c>
      <c r="H26" s="43" t="s">
        <v>37</v>
      </c>
      <c r="I26" s="48">
        <v>1</v>
      </c>
      <c r="J26" s="49">
        <v>3000</v>
      </c>
      <c r="K26" s="49">
        <v>3000</v>
      </c>
      <c r="L26" s="47" t="s">
        <v>22</v>
      </c>
      <c r="M26" s="46">
        <v>0</v>
      </c>
      <c r="N26" s="48" t="s">
        <v>23</v>
      </c>
      <c r="O26" s="47" t="s">
        <v>40</v>
      </c>
    </row>
    <row r="27" ht="14.25" customHeight="1" spans="1:15">
      <c r="A27" s="43" t="s">
        <v>132</v>
      </c>
      <c r="B27" s="44">
        <v>46058</v>
      </c>
      <c r="C27" s="45">
        <v>0.771527777777778</v>
      </c>
      <c r="D27" s="46">
        <f t="shared" si="0"/>
        <v>18</v>
      </c>
      <c r="E27" s="47" t="str">
        <f t="shared" si="1"/>
        <v>Thursday</v>
      </c>
      <c r="F27" s="47" t="s">
        <v>16</v>
      </c>
      <c r="G27" s="47" t="s">
        <v>63</v>
      </c>
      <c r="H27" s="43" t="s">
        <v>18</v>
      </c>
      <c r="I27" s="48">
        <v>1</v>
      </c>
      <c r="J27" s="49">
        <v>1500</v>
      </c>
      <c r="K27" s="49">
        <v>1500</v>
      </c>
      <c r="L27" s="47" t="s">
        <v>22</v>
      </c>
      <c r="M27" s="46">
        <v>0</v>
      </c>
      <c r="N27" s="48" t="s">
        <v>23</v>
      </c>
      <c r="O27" s="47" t="s">
        <v>73</v>
      </c>
    </row>
    <row r="28" ht="14.25" customHeight="1" spans="1:15">
      <c r="A28" s="43" t="s">
        <v>135</v>
      </c>
      <c r="B28" s="44">
        <v>46058</v>
      </c>
      <c r="C28" s="45">
        <v>0.780555555555556</v>
      </c>
      <c r="D28" s="46">
        <f t="shared" si="0"/>
        <v>18</v>
      </c>
      <c r="E28" s="47" t="str">
        <f t="shared" si="1"/>
        <v>Thursday</v>
      </c>
      <c r="F28" s="47" t="s">
        <v>107</v>
      </c>
      <c r="G28" s="47" t="s">
        <v>81</v>
      </c>
      <c r="H28" s="43" t="str">
        <f>VLOOKUP(G28,'02_Menu_Lookup'!$A$2:$C$16,2,FALSE)</f>
        <v>Sandwiches</v>
      </c>
      <c r="I28" s="48">
        <v>1</v>
      </c>
      <c r="J28" s="49">
        <v>6000</v>
      </c>
      <c r="K28" s="49">
        <v>6000</v>
      </c>
      <c r="L28" s="47" t="s">
        <v>22</v>
      </c>
      <c r="M28" s="46">
        <v>0</v>
      </c>
      <c r="N28" s="48" t="s">
        <v>23</v>
      </c>
      <c r="O28" s="47" t="s">
        <v>33</v>
      </c>
    </row>
    <row r="29" ht="14.25" customHeight="1" spans="1:15">
      <c r="A29" s="43" t="s">
        <v>138</v>
      </c>
      <c r="B29" s="44">
        <v>46058</v>
      </c>
      <c r="C29" s="45">
        <v>0.792361111111111</v>
      </c>
      <c r="D29" s="46">
        <f t="shared" si="0"/>
        <v>19</v>
      </c>
      <c r="E29" s="47" t="str">
        <f t="shared" si="1"/>
        <v>Thursday</v>
      </c>
      <c r="F29" s="47" t="s">
        <v>16</v>
      </c>
      <c r="G29" s="47" t="s">
        <v>57</v>
      </c>
      <c r="H29" s="43" t="s">
        <v>28</v>
      </c>
      <c r="I29" s="48">
        <v>2</v>
      </c>
      <c r="J29" s="49">
        <v>18000</v>
      </c>
      <c r="K29" s="49">
        <v>36000</v>
      </c>
      <c r="L29" s="47" t="s">
        <v>22</v>
      </c>
      <c r="M29" s="46">
        <v>0</v>
      </c>
      <c r="N29" s="48" t="s">
        <v>23</v>
      </c>
      <c r="O29" s="47" t="s">
        <v>47</v>
      </c>
    </row>
    <row r="30" ht="14.25" customHeight="1" spans="1:15">
      <c r="A30" s="43" t="s">
        <v>141</v>
      </c>
      <c r="B30" s="44">
        <v>46058</v>
      </c>
      <c r="C30" s="45">
        <v>0.803472222222222</v>
      </c>
      <c r="D30" s="46">
        <f t="shared" si="0"/>
        <v>19</v>
      </c>
      <c r="E30" s="47" t="str">
        <f t="shared" si="1"/>
        <v>Thursday</v>
      </c>
      <c r="F30" s="47" t="s">
        <v>43</v>
      </c>
      <c r="G30" s="47" t="s">
        <v>57</v>
      </c>
      <c r="H30" s="43" t="s">
        <v>28</v>
      </c>
      <c r="I30" s="48">
        <v>1</v>
      </c>
      <c r="J30" s="49">
        <v>18000</v>
      </c>
      <c r="K30" s="50">
        <v>15300</v>
      </c>
      <c r="L30" s="47" t="s">
        <v>22</v>
      </c>
      <c r="M30" s="51">
        <v>0.15</v>
      </c>
      <c r="N30" s="48" t="s">
        <v>23</v>
      </c>
      <c r="O30" s="47" t="s">
        <v>47</v>
      </c>
    </row>
    <row r="31" ht="14.25" customHeight="1" spans="1:15">
      <c r="A31" s="43" t="s">
        <v>144</v>
      </c>
      <c r="B31" s="44">
        <v>46058</v>
      </c>
      <c r="C31" s="45">
        <v>0.833333333333333</v>
      </c>
      <c r="D31" s="46">
        <f t="shared" si="0"/>
        <v>20</v>
      </c>
      <c r="E31" s="47" t="str">
        <f t="shared" si="1"/>
        <v>Thursday</v>
      </c>
      <c r="F31" s="47" t="s">
        <v>43</v>
      </c>
      <c r="G31" s="47" t="s">
        <v>146</v>
      </c>
      <c r="H31" s="43" t="s">
        <v>28</v>
      </c>
      <c r="I31" s="48">
        <v>3</v>
      </c>
      <c r="J31" s="49">
        <v>16000</v>
      </c>
      <c r="K31" s="49">
        <v>48000</v>
      </c>
      <c r="L31" s="47" t="s">
        <v>32</v>
      </c>
      <c r="M31" s="46">
        <v>0</v>
      </c>
      <c r="N31" s="48" t="s">
        <v>23</v>
      </c>
      <c r="O31" s="47" t="s">
        <v>33</v>
      </c>
    </row>
    <row r="32" ht="14.25" customHeight="1" spans="1:15">
      <c r="A32" s="43" t="s">
        <v>149</v>
      </c>
      <c r="B32" s="44">
        <v>46058</v>
      </c>
      <c r="C32" s="45">
        <v>0.888194444444444</v>
      </c>
      <c r="D32" s="46">
        <f t="shared" si="0"/>
        <v>21</v>
      </c>
      <c r="E32" s="47" t="str">
        <f t="shared" si="1"/>
        <v>Thursday</v>
      </c>
      <c r="F32" s="47" t="s">
        <v>16</v>
      </c>
      <c r="G32" s="47" t="s">
        <v>81</v>
      </c>
      <c r="H32" s="43" t="s">
        <v>37</v>
      </c>
      <c r="I32" s="48">
        <v>1</v>
      </c>
      <c r="J32" s="49">
        <v>6000</v>
      </c>
      <c r="K32" s="49">
        <v>6000</v>
      </c>
      <c r="L32" s="47" t="s">
        <v>22</v>
      </c>
      <c r="M32" s="46">
        <v>0</v>
      </c>
      <c r="N32" s="48" t="s">
        <v>23</v>
      </c>
      <c r="O32" s="47" t="s">
        <v>73</v>
      </c>
    </row>
    <row r="33" ht="14.25" customHeight="1" spans="1:15">
      <c r="A33" s="43" t="s">
        <v>152</v>
      </c>
      <c r="B33" s="44">
        <v>46058</v>
      </c>
      <c r="C33" s="45">
        <v>0.892361111111111</v>
      </c>
      <c r="D33" s="46">
        <f t="shared" si="0"/>
        <v>21</v>
      </c>
      <c r="E33" s="47" t="str">
        <f t="shared" si="1"/>
        <v>Thursday</v>
      </c>
      <c r="F33" s="47" t="s">
        <v>16</v>
      </c>
      <c r="G33" s="47" t="s">
        <v>103</v>
      </c>
      <c r="H33" s="43" t="s">
        <v>37</v>
      </c>
      <c r="I33" s="48">
        <v>1</v>
      </c>
      <c r="J33" s="49">
        <v>5000</v>
      </c>
      <c r="K33" s="49">
        <v>5000</v>
      </c>
      <c r="L33" s="47" t="s">
        <v>22</v>
      </c>
      <c r="M33" s="46">
        <v>0</v>
      </c>
      <c r="N33" s="48" t="s">
        <v>23</v>
      </c>
      <c r="O33" s="47" t="s">
        <v>24</v>
      </c>
    </row>
    <row r="34" ht="14.25" customHeight="1" spans="1:15">
      <c r="A34" s="43" t="s">
        <v>154</v>
      </c>
      <c r="B34" s="44">
        <v>46058</v>
      </c>
      <c r="C34" s="45">
        <v>0.913194444444444</v>
      </c>
      <c r="D34" s="46">
        <f t="shared" si="0"/>
        <v>21</v>
      </c>
      <c r="E34" s="47" t="str">
        <f t="shared" si="1"/>
        <v>Thursday</v>
      </c>
      <c r="F34" s="47" t="s">
        <v>16</v>
      </c>
      <c r="G34" s="47" t="s">
        <v>17</v>
      </c>
      <c r="H34" s="43" t="str">
        <f>VLOOKUP(G34,'02_Menu_Lookup'!$A$2:$C$16,2,FALSE)</f>
        <v>Beverages</v>
      </c>
      <c r="I34" s="48">
        <v>2</v>
      </c>
      <c r="J34" s="49">
        <v>1000</v>
      </c>
      <c r="K34" s="49">
        <v>2000</v>
      </c>
      <c r="L34" s="47" t="s">
        <v>22</v>
      </c>
      <c r="M34" s="46">
        <v>0</v>
      </c>
      <c r="N34" s="48" t="s">
        <v>23</v>
      </c>
      <c r="O34" s="47" t="s">
        <v>73</v>
      </c>
    </row>
    <row r="35" ht="14.25" customHeight="1" spans="1:15">
      <c r="A35" s="43" t="s">
        <v>158</v>
      </c>
      <c r="B35" s="44">
        <v>46058</v>
      </c>
      <c r="C35" s="45">
        <v>0.919444444444444</v>
      </c>
      <c r="D35" s="46">
        <f t="shared" si="0"/>
        <v>22</v>
      </c>
      <c r="E35" s="47" t="str">
        <f t="shared" si="1"/>
        <v>Thursday</v>
      </c>
      <c r="F35" s="47" t="s">
        <v>43</v>
      </c>
      <c r="G35" s="47" t="s">
        <v>57</v>
      </c>
      <c r="H35" s="43" t="s">
        <v>28</v>
      </c>
      <c r="I35" s="48">
        <v>1</v>
      </c>
      <c r="J35" s="49">
        <v>18000</v>
      </c>
      <c r="K35" s="49">
        <v>18000</v>
      </c>
      <c r="L35" s="47" t="s">
        <v>22</v>
      </c>
      <c r="M35" s="46">
        <v>0</v>
      </c>
      <c r="N35" s="48" t="s">
        <v>23</v>
      </c>
      <c r="O35" s="47" t="s">
        <v>33</v>
      </c>
    </row>
    <row r="36" ht="14.25" customHeight="1" spans="1:15">
      <c r="A36" s="43" t="s">
        <v>159</v>
      </c>
      <c r="B36" s="44">
        <v>46058</v>
      </c>
      <c r="C36" s="45">
        <v>0.9375</v>
      </c>
      <c r="D36" s="46">
        <f t="shared" si="0"/>
        <v>22</v>
      </c>
      <c r="E36" s="47" t="str">
        <f t="shared" si="1"/>
        <v>Thursday</v>
      </c>
      <c r="F36" s="47" t="s">
        <v>16</v>
      </c>
      <c r="G36" s="47" t="s">
        <v>63</v>
      </c>
      <c r="H36" s="43" t="s">
        <v>18</v>
      </c>
      <c r="I36" s="48">
        <v>1</v>
      </c>
      <c r="J36" s="49">
        <v>1350</v>
      </c>
      <c r="K36" s="50">
        <v>1215</v>
      </c>
      <c r="L36" s="47" t="s">
        <v>22</v>
      </c>
      <c r="M36" s="51">
        <v>0.1</v>
      </c>
      <c r="N36" s="48" t="s">
        <v>23</v>
      </c>
      <c r="O36" s="47" t="s">
        <v>73</v>
      </c>
    </row>
    <row r="37" ht="14.25" customHeight="1" spans="1:15">
      <c r="A37" s="43" t="s">
        <v>163</v>
      </c>
      <c r="B37" s="44">
        <v>46058</v>
      </c>
      <c r="C37" s="45">
        <v>0.942361111111111</v>
      </c>
      <c r="D37" s="46">
        <f t="shared" si="0"/>
        <v>22</v>
      </c>
      <c r="E37" s="47" t="str">
        <f t="shared" si="1"/>
        <v>Thursday</v>
      </c>
      <c r="F37" s="47" t="s">
        <v>16</v>
      </c>
      <c r="G37" s="43" t="s">
        <v>165</v>
      </c>
      <c r="H37" s="43" t="s">
        <v>109</v>
      </c>
      <c r="I37" s="48">
        <v>1</v>
      </c>
      <c r="J37" s="49">
        <v>6000</v>
      </c>
      <c r="K37" s="49">
        <v>6000</v>
      </c>
      <c r="L37" s="47" t="s">
        <v>22</v>
      </c>
      <c r="M37" s="46">
        <v>0</v>
      </c>
      <c r="N37" s="48" t="s">
        <v>23</v>
      </c>
      <c r="O37" s="47" t="s">
        <v>24</v>
      </c>
    </row>
    <row r="38" ht="14.25" customHeight="1" spans="1:15">
      <c r="A38" s="43" t="s">
        <v>166</v>
      </c>
      <c r="B38" s="44">
        <v>46058</v>
      </c>
      <c r="C38" s="45">
        <v>0.968055555555556</v>
      </c>
      <c r="D38" s="46">
        <f t="shared" si="0"/>
        <v>23</v>
      </c>
      <c r="E38" s="47" t="str">
        <f t="shared" si="1"/>
        <v>Thursday</v>
      </c>
      <c r="F38" s="47" t="s">
        <v>16</v>
      </c>
      <c r="G38" s="47" t="s">
        <v>17</v>
      </c>
      <c r="H38" s="43" t="s">
        <v>18</v>
      </c>
      <c r="I38" s="48">
        <v>1</v>
      </c>
      <c r="J38" s="49">
        <v>1000</v>
      </c>
      <c r="K38" s="49">
        <v>1000</v>
      </c>
      <c r="L38" s="47" t="s">
        <v>22</v>
      </c>
      <c r="M38" s="46">
        <v>0</v>
      </c>
      <c r="N38" s="48">
        <v>5</v>
      </c>
      <c r="O38" s="47" t="s">
        <v>47</v>
      </c>
    </row>
    <row r="39" ht="14.25" customHeight="1" spans="1:15">
      <c r="A39" s="43" t="s">
        <v>168</v>
      </c>
      <c r="B39" s="44">
        <v>46059</v>
      </c>
      <c r="C39" s="45">
        <v>0.477083333333333</v>
      </c>
      <c r="D39" s="46">
        <f t="shared" si="0"/>
        <v>11</v>
      </c>
      <c r="E39" s="47" t="str">
        <f t="shared" si="1"/>
        <v>Friday</v>
      </c>
      <c r="F39" s="47" t="s">
        <v>16</v>
      </c>
      <c r="G39" s="47" t="s">
        <v>57</v>
      </c>
      <c r="H39" s="43" t="s">
        <v>28</v>
      </c>
      <c r="I39" s="48">
        <v>1</v>
      </c>
      <c r="J39" s="49">
        <v>18000</v>
      </c>
      <c r="K39" s="49">
        <v>18000</v>
      </c>
      <c r="L39" s="47" t="s">
        <v>22</v>
      </c>
      <c r="M39" s="46">
        <v>0</v>
      </c>
      <c r="N39" s="48" t="s">
        <v>23</v>
      </c>
      <c r="O39" s="47" t="s">
        <v>73</v>
      </c>
    </row>
    <row r="40" ht="14.25" customHeight="1" spans="1:15">
      <c r="A40" s="43" t="s">
        <v>171</v>
      </c>
      <c r="B40" s="44">
        <v>46175</v>
      </c>
      <c r="C40" s="45">
        <v>0.508333333333333</v>
      </c>
      <c r="D40" s="46">
        <f t="shared" si="0"/>
        <v>12</v>
      </c>
      <c r="E40" s="47" t="str">
        <f t="shared" si="1"/>
        <v>Tuesday</v>
      </c>
      <c r="F40" s="47" t="s">
        <v>16</v>
      </c>
      <c r="G40" s="47" t="s">
        <v>17</v>
      </c>
      <c r="H40" s="43" t="s">
        <v>18</v>
      </c>
      <c r="I40" s="48">
        <v>1</v>
      </c>
      <c r="J40" s="49">
        <v>1000</v>
      </c>
      <c r="K40" s="49">
        <v>1000</v>
      </c>
      <c r="L40" s="47" t="s">
        <v>32</v>
      </c>
      <c r="M40" s="46">
        <v>0</v>
      </c>
      <c r="N40" s="48">
        <v>4</v>
      </c>
      <c r="O40" s="47" t="s">
        <v>24</v>
      </c>
    </row>
    <row r="41" ht="14.25" customHeight="1" spans="1:15">
      <c r="A41" s="43" t="s">
        <v>174</v>
      </c>
      <c r="B41" s="44">
        <v>46059</v>
      </c>
      <c r="C41" s="45">
        <v>0.595138888888889</v>
      </c>
      <c r="D41" s="46">
        <f t="shared" si="0"/>
        <v>14</v>
      </c>
      <c r="E41" s="47" t="str">
        <f t="shared" si="1"/>
        <v>Friday</v>
      </c>
      <c r="F41" s="47" t="s">
        <v>107</v>
      </c>
      <c r="G41" s="43" t="s">
        <v>165</v>
      </c>
      <c r="H41" s="43" t="s">
        <v>109</v>
      </c>
      <c r="I41" s="48">
        <v>1</v>
      </c>
      <c r="J41" s="49">
        <v>6000</v>
      </c>
      <c r="K41" s="49">
        <v>6000</v>
      </c>
      <c r="L41" s="47" t="s">
        <v>22</v>
      </c>
      <c r="M41" s="46">
        <v>0</v>
      </c>
      <c r="N41" s="48">
        <v>3</v>
      </c>
      <c r="O41" s="47" t="s">
        <v>47</v>
      </c>
    </row>
    <row r="42" ht="14.25" customHeight="1" spans="1:15">
      <c r="A42" s="43" t="s">
        <v>176</v>
      </c>
      <c r="B42" s="44">
        <v>46059</v>
      </c>
      <c r="C42" s="45">
        <v>0.6125</v>
      </c>
      <c r="D42" s="46">
        <f t="shared" si="0"/>
        <v>14</v>
      </c>
      <c r="E42" s="47" t="str">
        <f t="shared" si="1"/>
        <v>Friday</v>
      </c>
      <c r="F42" s="47" t="s">
        <v>16</v>
      </c>
      <c r="G42" s="47" t="s">
        <v>63</v>
      </c>
      <c r="H42" s="43" t="s">
        <v>18</v>
      </c>
      <c r="I42" s="48">
        <v>1</v>
      </c>
      <c r="J42" s="49">
        <f>K42/I42</f>
        <v>1500</v>
      </c>
      <c r="K42" s="49">
        <v>1500</v>
      </c>
      <c r="L42" s="47" t="s">
        <v>22</v>
      </c>
      <c r="M42" s="46">
        <v>0</v>
      </c>
      <c r="N42" s="48">
        <v>5</v>
      </c>
      <c r="O42" s="47" t="s">
        <v>24</v>
      </c>
    </row>
    <row r="43" ht="14.25" customHeight="1" spans="1:15">
      <c r="A43" s="43" t="s">
        <v>178</v>
      </c>
      <c r="B43" s="44">
        <v>46059</v>
      </c>
      <c r="C43" s="45">
        <v>0.691666666666667</v>
      </c>
      <c r="D43" s="46">
        <f t="shared" si="0"/>
        <v>16</v>
      </c>
      <c r="E43" s="47" t="str">
        <f t="shared" si="1"/>
        <v>Friday</v>
      </c>
      <c r="F43" s="47" t="s">
        <v>43</v>
      </c>
      <c r="G43" s="43" t="s">
        <v>165</v>
      </c>
      <c r="H43" s="43" t="s">
        <v>109</v>
      </c>
      <c r="I43" s="48">
        <v>1</v>
      </c>
      <c r="J43" s="49">
        <v>6000</v>
      </c>
      <c r="K43" s="49">
        <v>6000</v>
      </c>
      <c r="L43" s="47" t="s">
        <v>32</v>
      </c>
      <c r="M43" s="46">
        <v>0</v>
      </c>
      <c r="N43" s="48">
        <v>4</v>
      </c>
      <c r="O43" s="47" t="s">
        <v>33</v>
      </c>
    </row>
    <row r="44" ht="14.25" customHeight="1" spans="1:15">
      <c r="A44" s="43" t="s">
        <v>182</v>
      </c>
      <c r="B44" s="44">
        <v>46059</v>
      </c>
      <c r="C44" s="45">
        <v>0.807638888888889</v>
      </c>
      <c r="D44" s="46">
        <f t="shared" si="0"/>
        <v>19</v>
      </c>
      <c r="E44" s="47" t="str">
        <f t="shared" si="1"/>
        <v>Friday</v>
      </c>
      <c r="F44" s="47" t="s">
        <v>16</v>
      </c>
      <c r="G44" s="47" t="s">
        <v>81</v>
      </c>
      <c r="H44" s="43" t="s">
        <v>37</v>
      </c>
      <c r="I44" s="48">
        <v>2</v>
      </c>
      <c r="J44" s="49">
        <v>6000</v>
      </c>
      <c r="K44" s="49">
        <v>12000</v>
      </c>
      <c r="L44" s="47" t="s">
        <v>22</v>
      </c>
      <c r="M44" s="46">
        <v>0</v>
      </c>
      <c r="N44" s="48" t="s">
        <v>23</v>
      </c>
      <c r="O44" s="47" t="s">
        <v>73</v>
      </c>
    </row>
    <row r="45" ht="14.25" customHeight="1" spans="1:15">
      <c r="A45" s="43" t="s">
        <v>185</v>
      </c>
      <c r="B45" s="44">
        <v>46059</v>
      </c>
      <c r="C45" s="45">
        <v>0.872222222222222</v>
      </c>
      <c r="D45" s="46">
        <f t="shared" si="0"/>
        <v>20</v>
      </c>
      <c r="E45" s="47" t="str">
        <f t="shared" si="1"/>
        <v>Friday</v>
      </c>
      <c r="F45" s="47" t="s">
        <v>16</v>
      </c>
      <c r="G45" s="47" t="s">
        <v>103</v>
      </c>
      <c r="H45" s="43" t="s">
        <v>37</v>
      </c>
      <c r="I45" s="48">
        <v>1</v>
      </c>
      <c r="J45" s="49">
        <v>5000</v>
      </c>
      <c r="K45" s="49">
        <v>5000</v>
      </c>
      <c r="L45" s="47" t="s">
        <v>32</v>
      </c>
      <c r="M45" s="46">
        <v>0</v>
      </c>
      <c r="N45" s="48" t="s">
        <v>23</v>
      </c>
      <c r="O45" s="47" t="s">
        <v>40</v>
      </c>
    </row>
    <row r="46" ht="14.25" customHeight="1" spans="1:15">
      <c r="A46" s="43" t="s">
        <v>186</v>
      </c>
      <c r="B46" s="44">
        <v>46059</v>
      </c>
      <c r="C46" s="45">
        <v>0.907638888888889</v>
      </c>
      <c r="D46" s="46">
        <f t="shared" si="0"/>
        <v>21</v>
      </c>
      <c r="E46" s="47" t="str">
        <f t="shared" si="1"/>
        <v>Friday</v>
      </c>
      <c r="F46" s="47" t="s">
        <v>16</v>
      </c>
      <c r="G46" s="47" t="s">
        <v>103</v>
      </c>
      <c r="H46" s="43" t="s">
        <v>37</v>
      </c>
      <c r="I46" s="48">
        <v>2</v>
      </c>
      <c r="J46" s="49">
        <v>5000</v>
      </c>
      <c r="K46" s="50">
        <v>8500</v>
      </c>
      <c r="L46" s="47" t="s">
        <v>22</v>
      </c>
      <c r="M46" s="51">
        <v>0.15</v>
      </c>
      <c r="N46" s="48" t="s">
        <v>23</v>
      </c>
      <c r="O46" s="47" t="s">
        <v>33</v>
      </c>
    </row>
    <row r="47" ht="14.25" customHeight="1" spans="1:15">
      <c r="A47" s="43" t="s">
        <v>190</v>
      </c>
      <c r="B47" s="44">
        <v>46059</v>
      </c>
      <c r="C47" s="45">
        <v>0.995138888888889</v>
      </c>
      <c r="D47" s="46">
        <f t="shared" si="0"/>
        <v>23</v>
      </c>
      <c r="E47" s="47" t="str">
        <f t="shared" si="1"/>
        <v>Friday</v>
      </c>
      <c r="F47" s="47" t="s">
        <v>16</v>
      </c>
      <c r="G47" s="47" t="s">
        <v>103</v>
      </c>
      <c r="H47" s="43" t="s">
        <v>37</v>
      </c>
      <c r="I47" s="48">
        <v>1</v>
      </c>
      <c r="J47" s="49">
        <v>5000</v>
      </c>
      <c r="K47" s="49">
        <v>5000</v>
      </c>
      <c r="L47" s="47" t="s">
        <v>32</v>
      </c>
      <c r="M47" s="46">
        <v>0</v>
      </c>
      <c r="N47" s="48">
        <v>5</v>
      </c>
      <c r="O47" s="47" t="s">
        <v>33</v>
      </c>
    </row>
    <row r="48" ht="14.25" customHeight="1" spans="1:15">
      <c r="A48" s="43" t="s">
        <v>192</v>
      </c>
      <c r="B48" s="44">
        <v>46060</v>
      </c>
      <c r="C48" s="45">
        <v>0.482638888888889</v>
      </c>
      <c r="D48" s="46">
        <f t="shared" si="0"/>
        <v>11</v>
      </c>
      <c r="E48" s="47" t="str">
        <f t="shared" si="1"/>
        <v>Saturday</v>
      </c>
      <c r="F48" s="47" t="s">
        <v>16</v>
      </c>
      <c r="G48" s="47" t="s">
        <v>17</v>
      </c>
      <c r="H48" s="43" t="s">
        <v>18</v>
      </c>
      <c r="I48" s="48">
        <v>3</v>
      </c>
      <c r="J48" s="49">
        <v>1000</v>
      </c>
      <c r="K48" s="49">
        <v>3000</v>
      </c>
      <c r="L48" s="47" t="s">
        <v>32</v>
      </c>
      <c r="M48" s="46">
        <v>0</v>
      </c>
      <c r="N48" s="48">
        <v>4</v>
      </c>
      <c r="O48" s="47" t="s">
        <v>40</v>
      </c>
    </row>
    <row r="49" ht="14.25" customHeight="1" spans="1:15">
      <c r="A49" s="43" t="s">
        <v>195</v>
      </c>
      <c r="B49" s="44">
        <v>46060</v>
      </c>
      <c r="C49" s="45">
        <v>0.797916666666667</v>
      </c>
      <c r="D49" s="46">
        <f t="shared" si="0"/>
        <v>19</v>
      </c>
      <c r="E49" s="47" t="str">
        <f t="shared" si="1"/>
        <v>Saturday</v>
      </c>
      <c r="F49" s="47" t="s">
        <v>107</v>
      </c>
      <c r="G49" s="47" t="s">
        <v>81</v>
      </c>
      <c r="H49" s="43" t="s">
        <v>37</v>
      </c>
      <c r="I49" s="48">
        <v>1</v>
      </c>
      <c r="J49" s="49">
        <v>6000</v>
      </c>
      <c r="K49" s="49">
        <v>6000</v>
      </c>
      <c r="L49" s="47" t="s">
        <v>22</v>
      </c>
      <c r="M49" s="46">
        <v>0</v>
      </c>
      <c r="N49" s="48">
        <v>4</v>
      </c>
      <c r="O49" s="47" t="s">
        <v>47</v>
      </c>
    </row>
    <row r="50" ht="14.25" customHeight="1" spans="1:15">
      <c r="A50" s="43" t="s">
        <v>197</v>
      </c>
      <c r="B50" s="44">
        <v>46060</v>
      </c>
      <c r="C50" s="45">
        <v>0.877777777777778</v>
      </c>
      <c r="D50" s="46">
        <f t="shared" si="0"/>
        <v>21</v>
      </c>
      <c r="E50" s="47" t="str">
        <f t="shared" si="1"/>
        <v>Saturday</v>
      </c>
      <c r="F50" s="47" t="s">
        <v>107</v>
      </c>
      <c r="G50" s="43" t="s">
        <v>199</v>
      </c>
      <c r="H50" s="43" t="s">
        <v>18</v>
      </c>
      <c r="I50" s="48">
        <v>1</v>
      </c>
      <c r="J50" s="49">
        <v>3000</v>
      </c>
      <c r="K50" s="49">
        <v>3000</v>
      </c>
      <c r="L50" s="47" t="s">
        <v>22</v>
      </c>
      <c r="M50" s="46">
        <v>0</v>
      </c>
      <c r="N50" s="48" t="s">
        <v>23</v>
      </c>
      <c r="O50" s="47" t="s">
        <v>73</v>
      </c>
    </row>
    <row r="51" ht="14.25" customHeight="1" spans="1:15">
      <c r="A51" s="43" t="s">
        <v>200</v>
      </c>
      <c r="B51" s="44">
        <v>46060</v>
      </c>
      <c r="C51" s="45">
        <v>0.903472222222222</v>
      </c>
      <c r="D51" s="46">
        <f t="shared" si="0"/>
        <v>21</v>
      </c>
      <c r="E51" s="47" t="str">
        <f t="shared" si="1"/>
        <v>Saturday</v>
      </c>
      <c r="F51" s="47" t="s">
        <v>16</v>
      </c>
      <c r="G51" s="47" t="s">
        <v>63</v>
      </c>
      <c r="H51" s="43" t="s">
        <v>18</v>
      </c>
      <c r="I51" s="48">
        <f>K51/J51</f>
        <v>1</v>
      </c>
      <c r="J51" s="49">
        <v>1500</v>
      </c>
      <c r="K51" s="49">
        <v>1500</v>
      </c>
      <c r="L51" s="47" t="s">
        <v>32</v>
      </c>
      <c r="M51" s="46">
        <v>0</v>
      </c>
      <c r="N51" s="48" t="s">
        <v>23</v>
      </c>
      <c r="O51" s="47" t="s">
        <v>24</v>
      </c>
    </row>
    <row r="52" ht="14.25" customHeight="1" spans="1:15">
      <c r="A52" s="43" t="s">
        <v>202</v>
      </c>
      <c r="B52" s="44">
        <v>46060</v>
      </c>
      <c r="C52" s="45">
        <v>0.904861111111111</v>
      </c>
      <c r="D52" s="46">
        <f t="shared" si="0"/>
        <v>21</v>
      </c>
      <c r="E52" s="47" t="str">
        <f t="shared" si="1"/>
        <v>Saturday</v>
      </c>
      <c r="F52" s="47" t="s">
        <v>16</v>
      </c>
      <c r="G52" s="47" t="s">
        <v>44</v>
      </c>
      <c r="H52" s="43" t="s">
        <v>45</v>
      </c>
      <c r="I52" s="48">
        <v>1</v>
      </c>
      <c r="J52" s="49">
        <v>4000</v>
      </c>
      <c r="K52" s="49">
        <f>I52*J52</f>
        <v>4000</v>
      </c>
      <c r="L52" s="47" t="s">
        <v>22</v>
      </c>
      <c r="M52" s="46">
        <v>0</v>
      </c>
      <c r="N52" s="48" t="s">
        <v>23</v>
      </c>
      <c r="O52" s="47" t="s">
        <v>33</v>
      </c>
    </row>
    <row r="53" ht="14.25" customHeight="1" spans="1:15">
      <c r="A53" s="43" t="s">
        <v>204</v>
      </c>
      <c r="B53" s="44">
        <v>46060</v>
      </c>
      <c r="C53" s="45">
        <v>0.921527777777778</v>
      </c>
      <c r="D53" s="46">
        <f t="shared" si="0"/>
        <v>22</v>
      </c>
      <c r="E53" s="47" t="str">
        <f t="shared" si="1"/>
        <v>Saturday</v>
      </c>
      <c r="F53" s="47" t="s">
        <v>43</v>
      </c>
      <c r="G53" s="47" t="s">
        <v>81</v>
      </c>
      <c r="H53" s="43" t="s">
        <v>37</v>
      </c>
      <c r="I53" s="48">
        <v>1</v>
      </c>
      <c r="J53" s="49">
        <v>6000</v>
      </c>
      <c r="K53" s="49">
        <v>6000</v>
      </c>
      <c r="L53" s="47" t="s">
        <v>22</v>
      </c>
      <c r="M53" s="46">
        <v>0</v>
      </c>
      <c r="N53" s="48" t="s">
        <v>23</v>
      </c>
      <c r="O53" s="47" t="s">
        <v>24</v>
      </c>
    </row>
    <row r="54" ht="14.25" customHeight="1" spans="1:15">
      <c r="A54" s="43" t="s">
        <v>208</v>
      </c>
      <c r="B54" s="44">
        <v>46060</v>
      </c>
      <c r="C54" s="45">
        <v>0.944444444444444</v>
      </c>
      <c r="D54" s="46">
        <f t="shared" si="0"/>
        <v>22</v>
      </c>
      <c r="E54" s="47" t="str">
        <f t="shared" si="1"/>
        <v>Saturday</v>
      </c>
      <c r="F54" s="47" t="s">
        <v>43</v>
      </c>
      <c r="G54" s="47" t="s">
        <v>103</v>
      </c>
      <c r="H54" s="43" t="s">
        <v>37</v>
      </c>
      <c r="I54" s="48">
        <v>2</v>
      </c>
      <c r="J54" s="49">
        <v>5000</v>
      </c>
      <c r="K54" s="49">
        <v>10000</v>
      </c>
      <c r="L54" s="47" t="s">
        <v>22</v>
      </c>
      <c r="M54" s="46">
        <v>0</v>
      </c>
      <c r="N54" s="48" t="s">
        <v>23</v>
      </c>
      <c r="O54" s="47" t="s">
        <v>40</v>
      </c>
    </row>
    <row r="55" ht="14.25" customHeight="1" spans="1:15">
      <c r="A55" s="43" t="s">
        <v>210</v>
      </c>
      <c r="B55" s="44">
        <v>46061</v>
      </c>
      <c r="C55" s="45">
        <v>0.804166666666667</v>
      </c>
      <c r="D55" s="46">
        <f t="shared" si="0"/>
        <v>19</v>
      </c>
      <c r="E55" s="47" t="str">
        <f t="shared" si="1"/>
        <v>Sunday</v>
      </c>
      <c r="F55" s="47" t="s">
        <v>16</v>
      </c>
      <c r="G55" s="47" t="s">
        <v>44</v>
      </c>
      <c r="H55" s="43" t="s">
        <v>45</v>
      </c>
      <c r="I55" s="46">
        <v>1</v>
      </c>
      <c r="J55" s="49">
        <v>4000</v>
      </c>
      <c r="K55" s="50">
        <v>3600</v>
      </c>
      <c r="L55" s="47" t="s">
        <v>22</v>
      </c>
      <c r="M55" s="51">
        <v>0.1</v>
      </c>
      <c r="N55" s="48">
        <v>3</v>
      </c>
      <c r="O55" s="47" t="s">
        <v>47</v>
      </c>
    </row>
    <row r="56" ht="14.25" customHeight="1" spans="1:15">
      <c r="A56" s="43" t="s">
        <v>215</v>
      </c>
      <c r="B56" s="44">
        <v>46061</v>
      </c>
      <c r="C56" s="45">
        <v>0.817361111111111</v>
      </c>
      <c r="D56" s="46">
        <f t="shared" si="0"/>
        <v>19</v>
      </c>
      <c r="E56" s="47" t="str">
        <f t="shared" si="1"/>
        <v>Sunday</v>
      </c>
      <c r="F56" s="47" t="s">
        <v>16</v>
      </c>
      <c r="G56" s="47" t="s">
        <v>146</v>
      </c>
      <c r="H56" s="43" t="s">
        <v>28</v>
      </c>
      <c r="I56" s="48">
        <v>1</v>
      </c>
      <c r="J56" s="49">
        <v>16000</v>
      </c>
      <c r="K56" s="50">
        <v>16000</v>
      </c>
      <c r="L56" s="47" t="s">
        <v>22</v>
      </c>
      <c r="M56" s="46">
        <v>0</v>
      </c>
      <c r="N56" s="48" t="s">
        <v>23</v>
      </c>
      <c r="O56" s="47" t="s">
        <v>73</v>
      </c>
    </row>
    <row r="57" ht="14.25" customHeight="1" spans="1:15">
      <c r="A57" s="43" t="s">
        <v>219</v>
      </c>
      <c r="B57" s="44">
        <v>46061</v>
      </c>
      <c r="C57" s="45">
        <v>0.849305555555556</v>
      </c>
      <c r="D57" s="46">
        <f t="shared" si="0"/>
        <v>20</v>
      </c>
      <c r="E57" s="47" t="str">
        <f t="shared" si="1"/>
        <v>Sunday</v>
      </c>
      <c r="F57" s="47" t="s">
        <v>16</v>
      </c>
      <c r="G57" s="43" t="s">
        <v>199</v>
      </c>
      <c r="H57" s="43" t="s">
        <v>18</v>
      </c>
      <c r="I57" s="48">
        <v>2</v>
      </c>
      <c r="J57" s="49">
        <v>3000</v>
      </c>
      <c r="K57" s="49">
        <v>6000</v>
      </c>
      <c r="L57" s="47" t="s">
        <v>22</v>
      </c>
      <c r="M57" s="46">
        <v>0</v>
      </c>
      <c r="N57" s="48">
        <v>4</v>
      </c>
      <c r="O57" s="47" t="s">
        <v>40</v>
      </c>
    </row>
    <row r="58" ht="14.25" customHeight="1" spans="1:15">
      <c r="A58" s="43" t="s">
        <v>221</v>
      </c>
      <c r="B58" s="44">
        <v>46061</v>
      </c>
      <c r="C58" s="45">
        <v>0.886805555555556</v>
      </c>
      <c r="D58" s="46">
        <f t="shared" si="0"/>
        <v>21</v>
      </c>
      <c r="E58" s="47" t="str">
        <f t="shared" si="1"/>
        <v>Sunday</v>
      </c>
      <c r="F58" s="47" t="s">
        <v>107</v>
      </c>
      <c r="G58" s="47" t="s">
        <v>17</v>
      </c>
      <c r="H58" s="43" t="s">
        <v>18</v>
      </c>
      <c r="I58" s="48">
        <v>2</v>
      </c>
      <c r="J58" s="49">
        <v>1000</v>
      </c>
      <c r="K58" s="49">
        <v>2000</v>
      </c>
      <c r="L58" s="47" t="s">
        <v>22</v>
      </c>
      <c r="M58" s="46">
        <v>0</v>
      </c>
      <c r="N58" s="48">
        <v>4</v>
      </c>
      <c r="O58" s="47" t="s">
        <v>73</v>
      </c>
    </row>
    <row r="59" ht="14.25" customHeight="1" spans="1:15">
      <c r="A59" s="43" t="s">
        <v>223</v>
      </c>
      <c r="B59" s="44">
        <v>46061</v>
      </c>
      <c r="C59" s="45">
        <v>0.903472222222222</v>
      </c>
      <c r="D59" s="46">
        <f t="shared" si="0"/>
        <v>21</v>
      </c>
      <c r="E59" s="47" t="str">
        <f t="shared" si="1"/>
        <v>Sunday</v>
      </c>
      <c r="F59" s="47" t="s">
        <v>16</v>
      </c>
      <c r="G59" s="43" t="s">
        <v>36</v>
      </c>
      <c r="H59" s="43" t="s">
        <v>37</v>
      </c>
      <c r="I59" s="48">
        <v>1</v>
      </c>
      <c r="J59" s="49">
        <v>3000</v>
      </c>
      <c r="K59" s="49">
        <v>3000</v>
      </c>
      <c r="L59" s="47" t="s">
        <v>22</v>
      </c>
      <c r="M59" s="46">
        <v>0</v>
      </c>
      <c r="N59" s="48" t="s">
        <v>23</v>
      </c>
      <c r="O59" s="47" t="s">
        <v>33</v>
      </c>
    </row>
    <row r="60" ht="14.25" customHeight="1" spans="1:15">
      <c r="A60" s="43" t="s">
        <v>224</v>
      </c>
      <c r="B60" s="44">
        <v>46062</v>
      </c>
      <c r="C60" s="45">
        <v>0.603472222222222</v>
      </c>
      <c r="D60" s="46">
        <f t="shared" si="0"/>
        <v>14</v>
      </c>
      <c r="E60" s="47" t="str">
        <f t="shared" si="1"/>
        <v>Monday</v>
      </c>
      <c r="F60" s="47" t="s">
        <v>16</v>
      </c>
      <c r="G60" s="47" t="s">
        <v>103</v>
      </c>
      <c r="H60" s="43" t="s">
        <v>37</v>
      </c>
      <c r="I60" s="48">
        <v>1</v>
      </c>
      <c r="J60" s="49">
        <v>5000</v>
      </c>
      <c r="K60" s="50">
        <v>4500</v>
      </c>
      <c r="L60" s="47" t="s">
        <v>22</v>
      </c>
      <c r="M60" s="51">
        <v>0.1</v>
      </c>
      <c r="N60" s="48" t="s">
        <v>23</v>
      </c>
      <c r="O60" s="47" t="s">
        <v>24</v>
      </c>
    </row>
    <row r="61" ht="14.25" customHeight="1" spans="1:15">
      <c r="A61" s="43" t="s">
        <v>228</v>
      </c>
      <c r="B61" s="44">
        <v>46062</v>
      </c>
      <c r="C61" s="45">
        <v>0.834027777777778</v>
      </c>
      <c r="D61" s="46">
        <f t="shared" si="0"/>
        <v>20</v>
      </c>
      <c r="E61" s="47" t="str">
        <f t="shared" si="1"/>
        <v>Monday</v>
      </c>
      <c r="F61" s="47" t="s">
        <v>16</v>
      </c>
      <c r="G61" s="47" t="s">
        <v>95</v>
      </c>
      <c r="H61" s="43" t="s">
        <v>45</v>
      </c>
      <c r="I61" s="48">
        <v>3</v>
      </c>
      <c r="J61" s="49">
        <v>5000</v>
      </c>
      <c r="K61" s="49">
        <v>15000</v>
      </c>
      <c r="L61" s="47" t="s">
        <v>22</v>
      </c>
      <c r="M61" s="46">
        <v>0</v>
      </c>
      <c r="N61" s="48">
        <v>4</v>
      </c>
      <c r="O61" s="47" t="s">
        <v>24</v>
      </c>
    </row>
    <row r="62" ht="14.25" customHeight="1" spans="1:15">
      <c r="A62" s="43" t="s">
        <v>230</v>
      </c>
      <c r="B62" s="44">
        <v>46062</v>
      </c>
      <c r="C62" s="45">
        <v>0.879166666666667</v>
      </c>
      <c r="D62" s="46">
        <f t="shared" si="0"/>
        <v>21</v>
      </c>
      <c r="E62" s="47" t="str">
        <f t="shared" si="1"/>
        <v>Monday</v>
      </c>
      <c r="F62" s="47" t="s">
        <v>16</v>
      </c>
      <c r="G62" s="47" t="s">
        <v>63</v>
      </c>
      <c r="H62" s="43" t="s">
        <v>18</v>
      </c>
      <c r="I62" s="48">
        <v>1</v>
      </c>
      <c r="J62" s="49">
        <v>1500</v>
      </c>
      <c r="K62" s="49">
        <v>1500</v>
      </c>
      <c r="L62" s="47" t="s">
        <v>22</v>
      </c>
      <c r="M62" s="46">
        <v>0</v>
      </c>
      <c r="N62" s="48" t="s">
        <v>23</v>
      </c>
      <c r="O62" s="47" t="s">
        <v>47</v>
      </c>
    </row>
    <row r="63" ht="14.25" customHeight="1" spans="1:15">
      <c r="A63" s="43" t="s">
        <v>232</v>
      </c>
      <c r="B63" s="44">
        <v>46062</v>
      </c>
      <c r="C63" s="45">
        <v>0.904166666666667</v>
      </c>
      <c r="D63" s="46">
        <f t="shared" si="0"/>
        <v>21</v>
      </c>
      <c r="E63" s="47" t="str">
        <f t="shared" si="1"/>
        <v>Monday</v>
      </c>
      <c r="F63" s="47" t="s">
        <v>43</v>
      </c>
      <c r="G63" s="47" t="s">
        <v>44</v>
      </c>
      <c r="H63" s="43" t="s">
        <v>45</v>
      </c>
      <c r="I63" s="48">
        <v>1</v>
      </c>
      <c r="J63" s="49">
        <v>4000</v>
      </c>
      <c r="K63" s="49">
        <v>4000</v>
      </c>
      <c r="L63" s="47" t="s">
        <v>22</v>
      </c>
      <c r="M63" s="46">
        <v>0</v>
      </c>
      <c r="N63" s="48">
        <v>4</v>
      </c>
      <c r="O63" s="47" t="s">
        <v>73</v>
      </c>
    </row>
    <row r="64" ht="14.25" customHeight="1" spans="1:15">
      <c r="A64" s="43" t="s">
        <v>237</v>
      </c>
      <c r="B64" s="44">
        <v>46062</v>
      </c>
      <c r="C64" s="45">
        <v>0.920138888888889</v>
      </c>
      <c r="D64" s="46">
        <f t="shared" si="0"/>
        <v>22</v>
      </c>
      <c r="E64" s="47" t="str">
        <f t="shared" si="1"/>
        <v>Monday</v>
      </c>
      <c r="F64" s="47" t="s">
        <v>43</v>
      </c>
      <c r="G64" s="47" t="s">
        <v>103</v>
      </c>
      <c r="H64" s="43" t="s">
        <v>37</v>
      </c>
      <c r="I64" s="48">
        <v>1</v>
      </c>
      <c r="J64" s="49">
        <v>5000</v>
      </c>
      <c r="K64" s="49">
        <v>5000</v>
      </c>
      <c r="L64" s="47" t="s">
        <v>22</v>
      </c>
      <c r="M64" s="46">
        <v>0</v>
      </c>
      <c r="N64" s="48" t="s">
        <v>23</v>
      </c>
      <c r="O64" s="47" t="s">
        <v>33</v>
      </c>
    </row>
    <row r="65" ht="14.25" customHeight="1" spans="1:15">
      <c r="A65" s="43" t="s">
        <v>239</v>
      </c>
      <c r="B65" s="44">
        <v>46267</v>
      </c>
      <c r="C65" s="45">
        <v>0.956944444444444</v>
      </c>
      <c r="D65" s="46">
        <f t="shared" si="0"/>
        <v>22</v>
      </c>
      <c r="E65" s="47" t="str">
        <f t="shared" si="1"/>
        <v>Wednesday</v>
      </c>
      <c r="F65" s="47" t="s">
        <v>16</v>
      </c>
      <c r="G65" s="47" t="s">
        <v>17</v>
      </c>
      <c r="H65" s="43" t="s">
        <v>18</v>
      </c>
      <c r="I65" s="48">
        <v>1</v>
      </c>
      <c r="J65" s="49">
        <v>1000</v>
      </c>
      <c r="K65" s="49">
        <v>1000</v>
      </c>
      <c r="L65" s="47" t="s">
        <v>22</v>
      </c>
      <c r="M65" s="46">
        <v>0</v>
      </c>
      <c r="N65" s="48" t="s">
        <v>23</v>
      </c>
      <c r="O65" s="47" t="s">
        <v>40</v>
      </c>
    </row>
    <row r="66" ht="14.25" customHeight="1" spans="1:15">
      <c r="A66" s="43" t="s">
        <v>242</v>
      </c>
      <c r="B66" s="44">
        <v>46063</v>
      </c>
      <c r="C66" s="45">
        <v>0.777083333333333</v>
      </c>
      <c r="D66" s="46">
        <f t="shared" si="0"/>
        <v>18</v>
      </c>
      <c r="E66" s="47" t="str">
        <f t="shared" si="1"/>
        <v>Tuesday</v>
      </c>
      <c r="F66" s="47" t="s">
        <v>16</v>
      </c>
      <c r="G66" s="43" t="s">
        <v>199</v>
      </c>
      <c r="H66" s="43" t="s">
        <v>18</v>
      </c>
      <c r="I66" s="48">
        <v>1</v>
      </c>
      <c r="J66" s="49">
        <v>3000</v>
      </c>
      <c r="K66" s="49">
        <v>3000</v>
      </c>
      <c r="L66" s="47" t="s">
        <v>22</v>
      </c>
      <c r="M66" s="46">
        <v>0</v>
      </c>
      <c r="N66" s="48" t="s">
        <v>23</v>
      </c>
      <c r="O66" s="47" t="s">
        <v>24</v>
      </c>
    </row>
    <row r="67" ht="14.25" customHeight="1" spans="1:15">
      <c r="A67" s="43" t="s">
        <v>245</v>
      </c>
      <c r="B67" s="44">
        <v>46297</v>
      </c>
      <c r="C67" s="45">
        <v>0.836111111111111</v>
      </c>
      <c r="D67" s="46">
        <f t="shared" si="0"/>
        <v>20</v>
      </c>
      <c r="E67" s="47" t="str">
        <f t="shared" si="1"/>
        <v>Friday</v>
      </c>
      <c r="F67" s="47" t="s">
        <v>16</v>
      </c>
      <c r="G67" s="47" t="s">
        <v>63</v>
      </c>
      <c r="H67" s="43" t="s">
        <v>18</v>
      </c>
      <c r="I67" s="48">
        <v>1</v>
      </c>
      <c r="J67" s="49">
        <v>1350</v>
      </c>
      <c r="K67" s="50">
        <v>1215</v>
      </c>
      <c r="L67" s="47" t="s">
        <v>22</v>
      </c>
      <c r="M67" s="51">
        <v>0.1</v>
      </c>
      <c r="N67" s="48">
        <v>4</v>
      </c>
      <c r="O67" s="47" t="s">
        <v>40</v>
      </c>
    </row>
    <row r="68" ht="14.25" customHeight="1" spans="1:15">
      <c r="A68" s="43" t="s">
        <v>248</v>
      </c>
      <c r="B68" s="44">
        <v>46063</v>
      </c>
      <c r="C68" s="45">
        <v>0.864583333333333</v>
      </c>
      <c r="D68" s="46">
        <f t="shared" si="0"/>
        <v>20</v>
      </c>
      <c r="E68" s="47" t="str">
        <f t="shared" si="1"/>
        <v>Tuesday</v>
      </c>
      <c r="F68" s="47" t="s">
        <v>16</v>
      </c>
      <c r="G68" s="47" t="s">
        <v>57</v>
      </c>
      <c r="H68" s="43" t="s">
        <v>28</v>
      </c>
      <c r="I68" s="48">
        <v>1</v>
      </c>
      <c r="J68" s="49">
        <v>18000</v>
      </c>
      <c r="K68" s="49">
        <v>18000</v>
      </c>
      <c r="L68" s="47" t="s">
        <v>22</v>
      </c>
      <c r="M68" s="46">
        <v>0</v>
      </c>
      <c r="N68" s="48">
        <v>4</v>
      </c>
      <c r="O68" s="47" t="s">
        <v>40</v>
      </c>
    </row>
    <row r="69" ht="14.25" customHeight="1" spans="1:15">
      <c r="A69" s="43" t="s">
        <v>249</v>
      </c>
      <c r="B69" s="44">
        <v>46063</v>
      </c>
      <c r="C69" s="45">
        <v>0.86875</v>
      </c>
      <c r="D69" s="46">
        <f t="shared" si="0"/>
        <v>20</v>
      </c>
      <c r="E69" s="47" t="str">
        <f t="shared" si="1"/>
        <v>Tuesday</v>
      </c>
      <c r="F69" s="47" t="s">
        <v>16</v>
      </c>
      <c r="G69" s="47" t="s">
        <v>63</v>
      </c>
      <c r="H69" s="43" t="s">
        <v>18</v>
      </c>
      <c r="I69" s="48">
        <v>1</v>
      </c>
      <c r="J69" s="49">
        <v>1200</v>
      </c>
      <c r="K69" s="50">
        <v>960</v>
      </c>
      <c r="L69" s="47" t="s">
        <v>22</v>
      </c>
      <c r="M69" s="51">
        <v>0.2</v>
      </c>
      <c r="N69" s="48" t="s">
        <v>23</v>
      </c>
      <c r="O69" s="47" t="s">
        <v>73</v>
      </c>
    </row>
    <row r="70" ht="14.25" customHeight="1" spans="1:15">
      <c r="A70" s="43" t="s">
        <v>252</v>
      </c>
      <c r="B70" s="44">
        <v>46063</v>
      </c>
      <c r="C70" s="45">
        <v>0.944444444444444</v>
      </c>
      <c r="D70" s="46">
        <f t="shared" si="0"/>
        <v>22</v>
      </c>
      <c r="E70" s="47" t="str">
        <f t="shared" si="1"/>
        <v>Tuesday</v>
      </c>
      <c r="F70" s="47" t="s">
        <v>16</v>
      </c>
      <c r="G70" s="47" t="s">
        <v>63</v>
      </c>
      <c r="H70" s="43" t="s">
        <v>18</v>
      </c>
      <c r="I70" s="48">
        <v>2</v>
      </c>
      <c r="J70" s="49">
        <v>1500</v>
      </c>
      <c r="K70" s="49">
        <f>I70*J70</f>
        <v>3000</v>
      </c>
      <c r="L70" s="47" t="s">
        <v>22</v>
      </c>
      <c r="M70" s="46">
        <v>0</v>
      </c>
      <c r="N70" s="48" t="s">
        <v>23</v>
      </c>
      <c r="O70" s="47" t="s">
        <v>24</v>
      </c>
    </row>
    <row r="71" ht="14.25" customHeight="1" spans="1:15">
      <c r="A71" s="43" t="s">
        <v>254</v>
      </c>
      <c r="B71" s="44">
        <v>46063</v>
      </c>
      <c r="C71" s="45">
        <v>0.947222222222222</v>
      </c>
      <c r="D71" s="46">
        <f t="shared" si="0"/>
        <v>22</v>
      </c>
      <c r="E71" s="47" t="str">
        <f t="shared" si="1"/>
        <v>Tuesday</v>
      </c>
      <c r="F71" s="47" t="s">
        <v>107</v>
      </c>
      <c r="G71" s="47" t="s">
        <v>17</v>
      </c>
      <c r="H71" s="43" t="s">
        <v>18</v>
      </c>
      <c r="I71" s="48">
        <v>2</v>
      </c>
      <c r="J71" s="49">
        <v>1000</v>
      </c>
      <c r="K71" s="49">
        <v>2000</v>
      </c>
      <c r="L71" s="47" t="s">
        <v>32</v>
      </c>
      <c r="M71" s="46">
        <v>0</v>
      </c>
      <c r="N71" s="48" t="s">
        <v>23</v>
      </c>
      <c r="O71" s="47" t="s">
        <v>24</v>
      </c>
    </row>
    <row r="72" ht="14.25" customHeight="1" spans="1:15">
      <c r="A72" s="43" t="s">
        <v>256</v>
      </c>
      <c r="B72" s="44">
        <v>46063</v>
      </c>
      <c r="C72" s="45">
        <v>0.979166666666667</v>
      </c>
      <c r="D72" s="46">
        <f t="shared" si="0"/>
        <v>23</v>
      </c>
      <c r="E72" s="47" t="str">
        <f t="shared" si="1"/>
        <v>Tuesday</v>
      </c>
      <c r="F72" s="47" t="s">
        <v>107</v>
      </c>
      <c r="G72" s="47" t="s">
        <v>27</v>
      </c>
      <c r="H72" s="43" t="s">
        <v>28</v>
      </c>
      <c r="I72" s="48">
        <v>2</v>
      </c>
      <c r="J72" s="49">
        <f t="shared" ref="J72:J73" si="2">K72/I72</f>
        <v>15000</v>
      </c>
      <c r="K72" s="49">
        <v>30000</v>
      </c>
      <c r="L72" s="47" t="s">
        <v>22</v>
      </c>
      <c r="M72" s="46">
        <v>0</v>
      </c>
      <c r="N72" s="48">
        <v>4</v>
      </c>
      <c r="O72" s="47" t="s">
        <v>24</v>
      </c>
    </row>
    <row r="73" ht="14.25" customHeight="1" spans="1:15">
      <c r="A73" s="43" t="s">
        <v>259</v>
      </c>
      <c r="B73" s="44">
        <v>46064</v>
      </c>
      <c r="C73" s="45">
        <v>0.567361111111111</v>
      </c>
      <c r="D73" s="46">
        <f t="shared" si="0"/>
        <v>13</v>
      </c>
      <c r="E73" s="47" t="str">
        <f t="shared" si="1"/>
        <v>Wednesday</v>
      </c>
      <c r="F73" s="47" t="s">
        <v>16</v>
      </c>
      <c r="G73" s="47" t="s">
        <v>44</v>
      </c>
      <c r="H73" s="47" t="s">
        <v>45</v>
      </c>
      <c r="I73" s="48">
        <v>1</v>
      </c>
      <c r="J73" s="49">
        <f t="shared" si="2"/>
        <v>4000</v>
      </c>
      <c r="K73" s="49">
        <v>4000</v>
      </c>
      <c r="L73" s="47" t="s">
        <v>22</v>
      </c>
      <c r="M73" s="46">
        <v>0</v>
      </c>
      <c r="N73" s="48" t="s">
        <v>23</v>
      </c>
      <c r="O73" s="47" t="s">
        <v>33</v>
      </c>
    </row>
    <row r="74" ht="14.25" customHeight="1" spans="1:15">
      <c r="A74" s="43" t="s">
        <v>264</v>
      </c>
      <c r="B74" s="44">
        <v>46328</v>
      </c>
      <c r="C74" s="45">
        <v>0.795833333333333</v>
      </c>
      <c r="D74" s="46">
        <f t="shared" si="0"/>
        <v>19</v>
      </c>
      <c r="E74" s="47" t="str">
        <f t="shared" si="1"/>
        <v>Monday</v>
      </c>
      <c r="F74" s="47" t="s">
        <v>16</v>
      </c>
      <c r="G74" s="47" t="s">
        <v>63</v>
      </c>
      <c r="H74" s="43" t="str">
        <f>VLOOKUP(G74,'02_Menu_Lookup'!$A$2:$C$16,2,FALSE)</f>
        <v>Beverages</v>
      </c>
      <c r="I74" s="48">
        <v>1</v>
      </c>
      <c r="J74" s="49">
        <v>1500</v>
      </c>
      <c r="K74" s="49">
        <v>1500</v>
      </c>
      <c r="L74" s="47" t="s">
        <v>22</v>
      </c>
      <c r="M74" s="46">
        <v>0</v>
      </c>
      <c r="N74" s="48">
        <v>4</v>
      </c>
      <c r="O74" s="47" t="s">
        <v>40</v>
      </c>
    </row>
    <row r="75" ht="14.25" customHeight="1" spans="1:15">
      <c r="A75" s="43" t="s">
        <v>268</v>
      </c>
      <c r="B75" s="44">
        <v>46064</v>
      </c>
      <c r="C75" s="45">
        <v>0.834027777777778</v>
      </c>
      <c r="D75" s="46">
        <f t="shared" si="0"/>
        <v>20</v>
      </c>
      <c r="E75" s="47" t="str">
        <f t="shared" si="1"/>
        <v>Wednesday</v>
      </c>
      <c r="F75" s="47" t="s">
        <v>16</v>
      </c>
      <c r="G75" s="47" t="s">
        <v>57</v>
      </c>
      <c r="H75" s="43" t="s">
        <v>28</v>
      </c>
      <c r="I75" s="48">
        <v>1</v>
      </c>
      <c r="J75" s="49">
        <f>K75/I75</f>
        <v>18000</v>
      </c>
      <c r="K75" s="49">
        <v>18000</v>
      </c>
      <c r="L75" s="47" t="s">
        <v>22</v>
      </c>
      <c r="M75" s="46">
        <v>0</v>
      </c>
      <c r="N75" s="48" t="s">
        <v>23</v>
      </c>
      <c r="O75" s="47" t="s">
        <v>73</v>
      </c>
    </row>
    <row r="76" ht="14.25" customHeight="1" spans="1:15">
      <c r="A76" s="43" t="s">
        <v>270</v>
      </c>
      <c r="B76" s="44">
        <v>46064</v>
      </c>
      <c r="C76" s="45">
        <v>0.853472222222222</v>
      </c>
      <c r="D76" s="46">
        <f t="shared" si="0"/>
        <v>20</v>
      </c>
      <c r="E76" s="47" t="str">
        <f t="shared" si="1"/>
        <v>Wednesday</v>
      </c>
      <c r="F76" s="47" t="s">
        <v>16</v>
      </c>
      <c r="G76" s="47" t="s">
        <v>81</v>
      </c>
      <c r="H76" s="43" t="s">
        <v>37</v>
      </c>
      <c r="I76" s="48">
        <v>2</v>
      </c>
      <c r="J76" s="49">
        <v>6000</v>
      </c>
      <c r="K76" s="49">
        <v>12000</v>
      </c>
      <c r="L76" s="47" t="s">
        <v>22</v>
      </c>
      <c r="M76" s="46">
        <v>0</v>
      </c>
      <c r="N76" s="48">
        <v>4</v>
      </c>
      <c r="O76" s="47" t="s">
        <v>47</v>
      </c>
    </row>
    <row r="77" ht="14.25" customHeight="1" spans="1:15">
      <c r="A77" s="43" t="s">
        <v>272</v>
      </c>
      <c r="B77" s="44">
        <v>46064</v>
      </c>
      <c r="C77" s="45">
        <v>0.879861111111111</v>
      </c>
      <c r="D77" s="46">
        <f t="shared" si="0"/>
        <v>21</v>
      </c>
      <c r="E77" s="47" t="str">
        <f t="shared" si="1"/>
        <v>Wednesday</v>
      </c>
      <c r="F77" s="47" t="s">
        <v>16</v>
      </c>
      <c r="G77" s="47" t="s">
        <v>50</v>
      </c>
      <c r="H77" s="43" t="s">
        <v>28</v>
      </c>
      <c r="I77" s="48">
        <v>1</v>
      </c>
      <c r="J77" s="49">
        <v>25000</v>
      </c>
      <c r="K77" s="49">
        <v>25000</v>
      </c>
      <c r="L77" s="47" t="s">
        <v>32</v>
      </c>
      <c r="M77" s="46">
        <v>0</v>
      </c>
      <c r="N77" s="48" t="s">
        <v>23</v>
      </c>
      <c r="O77" s="47" t="s">
        <v>24</v>
      </c>
    </row>
    <row r="78" ht="14.25" customHeight="1" spans="1:15">
      <c r="A78" s="43" t="s">
        <v>274</v>
      </c>
      <c r="B78" s="44">
        <v>46065</v>
      </c>
      <c r="C78" s="45">
        <v>0.502777777777778</v>
      </c>
      <c r="D78" s="46">
        <f t="shared" si="0"/>
        <v>12</v>
      </c>
      <c r="E78" s="47" t="str">
        <f t="shared" si="1"/>
        <v>Thursday</v>
      </c>
      <c r="F78" s="47" t="s">
        <v>107</v>
      </c>
      <c r="G78" s="47" t="s">
        <v>17</v>
      </c>
      <c r="H78" s="43" t="s">
        <v>18</v>
      </c>
      <c r="I78" s="48">
        <v>1</v>
      </c>
      <c r="J78" s="49">
        <v>1000</v>
      </c>
      <c r="K78" s="49">
        <v>1000</v>
      </c>
      <c r="L78" s="47" t="s">
        <v>22</v>
      </c>
      <c r="M78" s="46">
        <v>0</v>
      </c>
      <c r="N78" s="48" t="s">
        <v>23</v>
      </c>
      <c r="O78" s="47" t="s">
        <v>24</v>
      </c>
    </row>
    <row r="79" ht="14.25" customHeight="1" spans="1:15">
      <c r="A79" s="43" t="s">
        <v>277</v>
      </c>
      <c r="B79" s="44">
        <v>46065</v>
      </c>
      <c r="C79" s="45">
        <v>0.807638888888889</v>
      </c>
      <c r="D79" s="46">
        <f t="shared" si="0"/>
        <v>19</v>
      </c>
      <c r="E79" s="47" t="str">
        <f t="shared" si="1"/>
        <v>Thursday</v>
      </c>
      <c r="F79" s="47" t="s">
        <v>16</v>
      </c>
      <c r="G79" s="47" t="s">
        <v>146</v>
      </c>
      <c r="H79" s="43" t="s">
        <v>28</v>
      </c>
      <c r="I79" s="48">
        <v>1</v>
      </c>
      <c r="J79" s="49">
        <v>16000</v>
      </c>
      <c r="K79" s="49">
        <v>16000</v>
      </c>
      <c r="L79" s="47" t="s">
        <v>32</v>
      </c>
      <c r="M79" s="46">
        <v>0</v>
      </c>
      <c r="N79" s="48" t="s">
        <v>23</v>
      </c>
      <c r="O79" s="47" t="s">
        <v>40</v>
      </c>
    </row>
    <row r="80" ht="14.25" customHeight="1" spans="1:15">
      <c r="A80" s="43" t="s">
        <v>278</v>
      </c>
      <c r="B80" s="44">
        <v>46065</v>
      </c>
      <c r="C80" s="45">
        <v>0.833333333333333</v>
      </c>
      <c r="D80" s="46">
        <f t="shared" si="0"/>
        <v>20</v>
      </c>
      <c r="E80" s="47" t="str">
        <f t="shared" si="1"/>
        <v>Thursday</v>
      </c>
      <c r="F80" s="47" t="s">
        <v>107</v>
      </c>
      <c r="G80" s="47" t="s">
        <v>81</v>
      </c>
      <c r="H80" s="43" t="s">
        <v>37</v>
      </c>
      <c r="I80" s="48">
        <v>1</v>
      </c>
      <c r="J80" s="49">
        <v>6000</v>
      </c>
      <c r="K80" s="49">
        <v>6000</v>
      </c>
      <c r="L80" s="47" t="s">
        <v>22</v>
      </c>
      <c r="M80" s="46">
        <v>0</v>
      </c>
      <c r="N80" s="48" t="s">
        <v>23</v>
      </c>
      <c r="O80" s="47" t="s">
        <v>24</v>
      </c>
    </row>
    <row r="81" ht="14.25" customHeight="1" spans="1:15">
      <c r="A81" s="43" t="s">
        <v>279</v>
      </c>
      <c r="B81" s="44">
        <v>46065</v>
      </c>
      <c r="C81" s="45">
        <v>0.854861111111111</v>
      </c>
      <c r="D81" s="46">
        <f t="shared" si="0"/>
        <v>20</v>
      </c>
      <c r="E81" s="47" t="str">
        <f t="shared" si="1"/>
        <v>Thursday</v>
      </c>
      <c r="F81" s="47" t="s">
        <v>16</v>
      </c>
      <c r="G81" s="47" t="s">
        <v>50</v>
      </c>
      <c r="H81" s="43" t="s">
        <v>28</v>
      </c>
      <c r="I81" s="48">
        <v>1</v>
      </c>
      <c r="J81" s="49">
        <v>25000</v>
      </c>
      <c r="K81" s="50">
        <v>22500</v>
      </c>
      <c r="L81" s="47" t="s">
        <v>22</v>
      </c>
      <c r="M81" s="51">
        <v>0.1</v>
      </c>
      <c r="N81" s="48">
        <v>4</v>
      </c>
      <c r="O81" s="47" t="s">
        <v>47</v>
      </c>
    </row>
    <row r="82" ht="14.25" customHeight="1" spans="1:15">
      <c r="A82" s="43" t="s">
        <v>282</v>
      </c>
      <c r="B82" s="44">
        <v>46065</v>
      </c>
      <c r="C82" s="45">
        <v>0.857638888888889</v>
      </c>
      <c r="D82" s="46">
        <f t="shared" si="0"/>
        <v>20</v>
      </c>
      <c r="E82" s="47" t="str">
        <f t="shared" si="1"/>
        <v>Thursday</v>
      </c>
      <c r="F82" s="47" t="s">
        <v>16</v>
      </c>
      <c r="G82" s="43" t="s">
        <v>36</v>
      </c>
      <c r="H82" s="43" t="s">
        <v>37</v>
      </c>
      <c r="I82" s="48">
        <v>1</v>
      </c>
      <c r="J82" s="49">
        <v>3000</v>
      </c>
      <c r="K82" s="49">
        <v>3000</v>
      </c>
      <c r="L82" s="47" t="s">
        <v>22</v>
      </c>
      <c r="M82" s="46">
        <v>0</v>
      </c>
      <c r="N82" s="48">
        <v>4</v>
      </c>
      <c r="O82" s="47" t="s">
        <v>33</v>
      </c>
    </row>
    <row r="83" ht="14.25" customHeight="1" spans="1:15">
      <c r="A83" s="43" t="s">
        <v>284</v>
      </c>
      <c r="B83" s="44">
        <v>46065</v>
      </c>
      <c r="C83" s="45">
        <v>0.886111111111111</v>
      </c>
      <c r="D83" s="46">
        <f t="shared" si="0"/>
        <v>21</v>
      </c>
      <c r="E83" s="47" t="str">
        <f t="shared" si="1"/>
        <v>Thursday</v>
      </c>
      <c r="F83" s="47" t="s">
        <v>107</v>
      </c>
      <c r="G83" s="47" t="s">
        <v>103</v>
      </c>
      <c r="H83" s="43" t="s">
        <v>37</v>
      </c>
      <c r="I83" s="48">
        <v>1</v>
      </c>
      <c r="J83" s="49">
        <v>5000</v>
      </c>
      <c r="K83" s="49">
        <v>5000</v>
      </c>
      <c r="L83" s="47" t="s">
        <v>22</v>
      </c>
      <c r="M83" s="46">
        <v>0</v>
      </c>
      <c r="N83" s="48" t="s">
        <v>23</v>
      </c>
      <c r="O83" s="47" t="s">
        <v>33</v>
      </c>
    </row>
    <row r="84" ht="14.25" customHeight="1" spans="1:15">
      <c r="A84" s="43" t="s">
        <v>286</v>
      </c>
      <c r="B84" s="44">
        <v>46065</v>
      </c>
      <c r="C84" s="45">
        <v>0.911111111111111</v>
      </c>
      <c r="D84" s="46">
        <f t="shared" si="0"/>
        <v>21</v>
      </c>
      <c r="E84" s="47" t="str">
        <f t="shared" si="1"/>
        <v>Thursday</v>
      </c>
      <c r="F84" s="47" t="s">
        <v>16</v>
      </c>
      <c r="G84" s="43" t="s">
        <v>36</v>
      </c>
      <c r="H84" s="43" t="s">
        <v>37</v>
      </c>
      <c r="I84" s="48">
        <v>1</v>
      </c>
      <c r="J84" s="49">
        <v>3000</v>
      </c>
      <c r="K84" s="49">
        <v>3000</v>
      </c>
      <c r="L84" s="47" t="s">
        <v>22</v>
      </c>
      <c r="M84" s="46">
        <v>0</v>
      </c>
      <c r="N84" s="48">
        <v>3</v>
      </c>
      <c r="O84" s="47" t="s">
        <v>33</v>
      </c>
    </row>
    <row r="85" ht="14.25" customHeight="1" spans="1:15">
      <c r="A85" s="43" t="s">
        <v>288</v>
      </c>
      <c r="B85" s="44">
        <v>46065</v>
      </c>
      <c r="C85" s="45">
        <v>0.963194444444444</v>
      </c>
      <c r="D85" s="46">
        <f t="shared" si="0"/>
        <v>23</v>
      </c>
      <c r="E85" s="47" t="str">
        <f t="shared" si="1"/>
        <v>Thursday</v>
      </c>
      <c r="F85" s="47" t="s">
        <v>16</v>
      </c>
      <c r="G85" s="47" t="s">
        <v>146</v>
      </c>
      <c r="H85" s="43" t="s">
        <v>28</v>
      </c>
      <c r="I85" s="48">
        <v>3</v>
      </c>
      <c r="J85" s="49">
        <v>16000</v>
      </c>
      <c r="K85" s="50">
        <v>43200</v>
      </c>
      <c r="L85" s="47" t="s">
        <v>22</v>
      </c>
      <c r="M85" s="51">
        <v>0.1</v>
      </c>
      <c r="N85" s="48" t="s">
        <v>23</v>
      </c>
      <c r="O85" s="47" t="s">
        <v>73</v>
      </c>
    </row>
    <row r="86" ht="14.25" customHeight="1" spans="1:15">
      <c r="A86" s="43" t="s">
        <v>290</v>
      </c>
      <c r="B86" s="44">
        <v>46065</v>
      </c>
      <c r="C86" s="45">
        <v>0.977083333333333</v>
      </c>
      <c r="D86" s="46">
        <f t="shared" si="0"/>
        <v>23</v>
      </c>
      <c r="E86" s="47" t="str">
        <f t="shared" si="1"/>
        <v>Thursday</v>
      </c>
      <c r="F86" s="47" t="s">
        <v>16</v>
      </c>
      <c r="G86" s="47" t="s">
        <v>103</v>
      </c>
      <c r="H86" s="43" t="s">
        <v>37</v>
      </c>
      <c r="I86" s="48">
        <v>2</v>
      </c>
      <c r="J86" s="49">
        <v>5000</v>
      </c>
      <c r="K86" s="49">
        <v>10000</v>
      </c>
      <c r="L86" s="47" t="s">
        <v>32</v>
      </c>
      <c r="M86" s="46">
        <v>0</v>
      </c>
      <c r="N86" s="48" t="s">
        <v>23</v>
      </c>
      <c r="O86" s="47" t="s">
        <v>24</v>
      </c>
    </row>
    <row r="87" ht="14.25" customHeight="1" spans="1:15">
      <c r="A87" s="43" t="s">
        <v>293</v>
      </c>
      <c r="B87" s="44">
        <v>46065</v>
      </c>
      <c r="C87" s="45">
        <v>0.988194444444444</v>
      </c>
      <c r="D87" s="46">
        <f t="shared" si="0"/>
        <v>23</v>
      </c>
      <c r="E87" s="47" t="str">
        <f t="shared" si="1"/>
        <v>Thursday</v>
      </c>
      <c r="F87" s="47" t="s">
        <v>16</v>
      </c>
      <c r="G87" s="47" t="s">
        <v>57</v>
      </c>
      <c r="H87" s="43" t="s">
        <v>28</v>
      </c>
      <c r="I87" s="48">
        <v>3</v>
      </c>
      <c r="J87" s="49">
        <v>18000</v>
      </c>
      <c r="K87" s="49">
        <v>54000</v>
      </c>
      <c r="L87" s="47" t="s">
        <v>22</v>
      </c>
      <c r="M87" s="46">
        <v>0</v>
      </c>
      <c r="N87" s="48" t="s">
        <v>23</v>
      </c>
      <c r="O87" s="47" t="s">
        <v>24</v>
      </c>
    </row>
    <row r="88" ht="14.25" customHeight="1" spans="1:15">
      <c r="A88" s="43" t="s">
        <v>296</v>
      </c>
      <c r="B88" s="44">
        <v>46065</v>
      </c>
      <c r="C88" s="45">
        <v>0.993055555555556</v>
      </c>
      <c r="D88" s="46">
        <f t="shared" si="0"/>
        <v>23</v>
      </c>
      <c r="E88" s="47" t="str">
        <f t="shared" si="1"/>
        <v>Thursday</v>
      </c>
      <c r="F88" s="47" t="s">
        <v>16</v>
      </c>
      <c r="G88" s="43" t="s">
        <v>199</v>
      </c>
      <c r="H88" s="43" t="s">
        <v>18</v>
      </c>
      <c r="I88" s="48">
        <v>1</v>
      </c>
      <c r="J88" s="49">
        <v>3000</v>
      </c>
      <c r="K88" s="49">
        <v>3000</v>
      </c>
      <c r="L88" s="47" t="s">
        <v>22</v>
      </c>
      <c r="M88" s="46">
        <v>0</v>
      </c>
      <c r="N88" s="48">
        <v>4</v>
      </c>
      <c r="O88" s="47" t="s">
        <v>40</v>
      </c>
    </row>
    <row r="89" ht="14.25" customHeight="1" spans="1:15">
      <c r="A89" s="43" t="s">
        <v>298</v>
      </c>
      <c r="B89" s="44">
        <v>46066</v>
      </c>
      <c r="C89" s="45">
        <v>0.579861111111111</v>
      </c>
      <c r="D89" s="46">
        <f t="shared" si="0"/>
        <v>13</v>
      </c>
      <c r="E89" s="47" t="str">
        <f t="shared" si="1"/>
        <v>Friday</v>
      </c>
      <c r="F89" s="47" t="s">
        <v>107</v>
      </c>
      <c r="G89" s="47" t="s">
        <v>50</v>
      </c>
      <c r="H89" s="43" t="s">
        <v>28</v>
      </c>
      <c r="I89" s="48">
        <v>1</v>
      </c>
      <c r="J89" s="49">
        <v>25000</v>
      </c>
      <c r="K89" s="49">
        <v>25000</v>
      </c>
      <c r="L89" s="47" t="s">
        <v>22</v>
      </c>
      <c r="M89" s="46">
        <v>0</v>
      </c>
      <c r="N89" s="48" t="s">
        <v>23</v>
      </c>
      <c r="O89" s="47" t="s">
        <v>40</v>
      </c>
    </row>
    <row r="90" ht="14.25" customHeight="1" spans="1:15">
      <c r="A90" s="43" t="s">
        <v>302</v>
      </c>
      <c r="B90" s="44">
        <v>46066</v>
      </c>
      <c r="C90" s="45">
        <v>0.6125</v>
      </c>
      <c r="D90" s="46">
        <f t="shared" si="0"/>
        <v>14</v>
      </c>
      <c r="E90" s="47" t="str">
        <f t="shared" si="1"/>
        <v>Friday</v>
      </c>
      <c r="F90" s="47" t="s">
        <v>16</v>
      </c>
      <c r="G90" s="43" t="s">
        <v>165</v>
      </c>
      <c r="H90" s="43" t="str">
        <f>VLOOKUP(G90,'02_Menu_Lookup'!$A$2:$C$16,2,FALSE)</f>
        <v>Desserts</v>
      </c>
      <c r="I90" s="48">
        <v>1</v>
      </c>
      <c r="J90" s="49">
        <v>6000</v>
      </c>
      <c r="K90" s="49">
        <v>6000</v>
      </c>
      <c r="L90" s="47" t="s">
        <v>22</v>
      </c>
      <c r="M90" s="46">
        <v>0</v>
      </c>
      <c r="N90" s="48" t="s">
        <v>23</v>
      </c>
      <c r="O90" s="47" t="s">
        <v>24</v>
      </c>
    </row>
    <row r="91" ht="14.25" customHeight="1" spans="1:15">
      <c r="A91" s="43" t="s">
        <v>304</v>
      </c>
      <c r="B91" s="44">
        <v>46066</v>
      </c>
      <c r="C91" s="45">
        <v>0.742361111111111</v>
      </c>
      <c r="D91" s="46">
        <f t="shared" si="0"/>
        <v>17</v>
      </c>
      <c r="E91" s="47" t="str">
        <f t="shared" si="1"/>
        <v>Friday</v>
      </c>
      <c r="F91" s="47" t="s">
        <v>16</v>
      </c>
      <c r="G91" s="47" t="s">
        <v>50</v>
      </c>
      <c r="H91" s="43" t="s">
        <v>28</v>
      </c>
      <c r="I91" s="48">
        <v>1</v>
      </c>
      <c r="J91" s="49">
        <v>25000</v>
      </c>
      <c r="K91" s="50">
        <v>20000</v>
      </c>
      <c r="L91" s="47" t="s">
        <v>22</v>
      </c>
      <c r="M91" s="51">
        <v>0.2</v>
      </c>
      <c r="N91" s="48" t="s">
        <v>23</v>
      </c>
      <c r="O91" s="47" t="s">
        <v>73</v>
      </c>
    </row>
    <row r="92" ht="14.25" customHeight="1" spans="1:15">
      <c r="A92" s="43" t="s">
        <v>307</v>
      </c>
      <c r="B92" s="44">
        <v>46066</v>
      </c>
      <c r="C92" s="45">
        <v>0.753472222222222</v>
      </c>
      <c r="D92" s="46">
        <f t="shared" si="0"/>
        <v>18</v>
      </c>
      <c r="E92" s="47" t="str">
        <f t="shared" si="1"/>
        <v>Friday</v>
      </c>
      <c r="F92" s="47" t="s">
        <v>16</v>
      </c>
      <c r="G92" s="43" t="s">
        <v>199</v>
      </c>
      <c r="H92" s="47" t="s">
        <v>18</v>
      </c>
      <c r="I92" s="48">
        <v>1</v>
      </c>
      <c r="J92" s="49">
        <v>3000</v>
      </c>
      <c r="K92" s="49">
        <v>3000</v>
      </c>
      <c r="L92" s="47" t="s">
        <v>22</v>
      </c>
      <c r="M92" s="46">
        <v>0</v>
      </c>
      <c r="N92" s="48" t="s">
        <v>23</v>
      </c>
      <c r="O92" s="47" t="s">
        <v>73</v>
      </c>
    </row>
    <row r="93" ht="14.25" customHeight="1" spans="1:15">
      <c r="A93" s="43" t="s">
        <v>310</v>
      </c>
      <c r="B93" s="44">
        <v>46066</v>
      </c>
      <c r="C93" s="45">
        <v>0.764583333333333</v>
      </c>
      <c r="D93" s="46">
        <f t="shared" si="0"/>
        <v>18</v>
      </c>
      <c r="E93" s="47" t="str">
        <f t="shared" si="1"/>
        <v>Friday</v>
      </c>
      <c r="F93" s="47" t="s">
        <v>16</v>
      </c>
      <c r="G93" s="43" t="s">
        <v>36</v>
      </c>
      <c r="H93" s="43" t="s">
        <v>37</v>
      </c>
      <c r="I93" s="48">
        <v>2</v>
      </c>
      <c r="J93" s="49">
        <v>3000</v>
      </c>
      <c r="K93" s="50">
        <v>6000</v>
      </c>
      <c r="L93" s="47" t="s">
        <v>22</v>
      </c>
      <c r="M93" s="46">
        <v>0</v>
      </c>
      <c r="N93" s="48" t="s">
        <v>23</v>
      </c>
      <c r="O93" s="47" t="s">
        <v>40</v>
      </c>
    </row>
    <row r="94" ht="14.25" customHeight="1" spans="1:15">
      <c r="A94" s="43" t="s">
        <v>313</v>
      </c>
      <c r="B94" s="44">
        <v>46066</v>
      </c>
      <c r="C94" s="45">
        <v>0.800694444444444</v>
      </c>
      <c r="D94" s="46">
        <f t="shared" si="0"/>
        <v>19</v>
      </c>
      <c r="E94" s="47" t="str">
        <f t="shared" si="1"/>
        <v>Friday</v>
      </c>
      <c r="F94" s="47" t="s">
        <v>16</v>
      </c>
      <c r="G94" s="47" t="s">
        <v>17</v>
      </c>
      <c r="H94" s="43" t="s">
        <v>18</v>
      </c>
      <c r="I94" s="48">
        <v>2</v>
      </c>
      <c r="J94" s="49">
        <v>1000</v>
      </c>
      <c r="K94" s="49">
        <v>2000</v>
      </c>
      <c r="L94" s="47" t="s">
        <v>22</v>
      </c>
      <c r="M94" s="46">
        <v>0</v>
      </c>
      <c r="N94" s="48" t="s">
        <v>23</v>
      </c>
      <c r="O94" s="47" t="s">
        <v>24</v>
      </c>
    </row>
    <row r="95" ht="14.25" customHeight="1" spans="1:15">
      <c r="A95" s="43" t="s">
        <v>316</v>
      </c>
      <c r="B95" s="44">
        <v>46066</v>
      </c>
      <c r="C95" s="45">
        <v>0.840277777777778</v>
      </c>
      <c r="D95" s="46">
        <f t="shared" si="0"/>
        <v>20</v>
      </c>
      <c r="E95" s="47" t="str">
        <f t="shared" si="1"/>
        <v>Friday</v>
      </c>
      <c r="F95" s="47" t="s">
        <v>16</v>
      </c>
      <c r="G95" s="43" t="s">
        <v>165</v>
      </c>
      <c r="H95" s="43" t="s">
        <v>109</v>
      </c>
      <c r="I95" s="48">
        <v>1</v>
      </c>
      <c r="J95" s="49">
        <v>6000</v>
      </c>
      <c r="K95" s="49">
        <v>6000</v>
      </c>
      <c r="L95" s="47" t="s">
        <v>22</v>
      </c>
      <c r="M95" s="46">
        <v>0</v>
      </c>
      <c r="N95" s="48">
        <v>4</v>
      </c>
      <c r="O95" s="47" t="s">
        <v>73</v>
      </c>
    </row>
    <row r="96" ht="14.25" customHeight="1" spans="1:15">
      <c r="A96" s="43" t="s">
        <v>318</v>
      </c>
      <c r="B96" s="44">
        <v>46066</v>
      </c>
      <c r="C96" s="45">
        <v>0.843055555555556</v>
      </c>
      <c r="D96" s="46">
        <f t="shared" si="0"/>
        <v>20</v>
      </c>
      <c r="E96" s="47" t="str">
        <f t="shared" si="1"/>
        <v>Friday</v>
      </c>
      <c r="F96" s="47" t="s">
        <v>16</v>
      </c>
      <c r="G96" s="43" t="s">
        <v>36</v>
      </c>
      <c r="H96" s="43" t="s">
        <v>37</v>
      </c>
      <c r="I96" s="48">
        <v>1</v>
      </c>
      <c r="J96" s="49">
        <v>3000</v>
      </c>
      <c r="K96" s="49">
        <v>3000</v>
      </c>
      <c r="L96" s="47" t="s">
        <v>32</v>
      </c>
      <c r="M96" s="46">
        <v>0</v>
      </c>
      <c r="N96" s="48" t="s">
        <v>23</v>
      </c>
      <c r="O96" s="47" t="s">
        <v>33</v>
      </c>
    </row>
    <row r="97" ht="14.25" customHeight="1" spans="1:15">
      <c r="A97" s="43" t="s">
        <v>321</v>
      </c>
      <c r="B97" s="44">
        <v>46066</v>
      </c>
      <c r="C97" s="45">
        <v>0.853472222222222</v>
      </c>
      <c r="D97" s="46">
        <f t="shared" si="0"/>
        <v>20</v>
      </c>
      <c r="E97" s="47" t="str">
        <f t="shared" si="1"/>
        <v>Friday</v>
      </c>
      <c r="F97" s="47" t="s">
        <v>16</v>
      </c>
      <c r="G97" s="43" t="s">
        <v>36</v>
      </c>
      <c r="H97" s="43" t="s">
        <v>37</v>
      </c>
      <c r="I97" s="48">
        <v>1</v>
      </c>
      <c r="J97" s="49">
        <v>3000</v>
      </c>
      <c r="K97" s="49">
        <v>3000</v>
      </c>
      <c r="L97" s="47" t="s">
        <v>22</v>
      </c>
      <c r="M97" s="46">
        <v>0</v>
      </c>
      <c r="N97" s="48" t="s">
        <v>23</v>
      </c>
      <c r="O97" s="47" t="s">
        <v>33</v>
      </c>
    </row>
    <row r="98" ht="14.25" customHeight="1" spans="1:15">
      <c r="A98" s="43" t="s">
        <v>323</v>
      </c>
      <c r="B98" s="44">
        <v>46066</v>
      </c>
      <c r="C98" s="45">
        <v>0.864583333333333</v>
      </c>
      <c r="D98" s="46">
        <f t="shared" si="0"/>
        <v>20</v>
      </c>
      <c r="E98" s="47" t="str">
        <f t="shared" si="1"/>
        <v>Friday</v>
      </c>
      <c r="F98" s="47" t="s">
        <v>16</v>
      </c>
      <c r="G98" s="43" t="s">
        <v>36</v>
      </c>
      <c r="H98" s="43" t="s">
        <v>37</v>
      </c>
      <c r="I98" s="48">
        <v>1</v>
      </c>
      <c r="J98" s="49">
        <v>3000</v>
      </c>
      <c r="K98" s="49">
        <v>3000</v>
      </c>
      <c r="L98" s="47" t="s">
        <v>22</v>
      </c>
      <c r="M98" s="46">
        <v>0</v>
      </c>
      <c r="N98" s="48" t="s">
        <v>23</v>
      </c>
      <c r="O98" s="47" t="s">
        <v>24</v>
      </c>
    </row>
    <row r="99" ht="14.25" customHeight="1" spans="1:15">
      <c r="A99" s="43" t="s">
        <v>324</v>
      </c>
      <c r="B99" s="44">
        <v>46066</v>
      </c>
      <c r="C99" s="45">
        <v>0.879166666666667</v>
      </c>
      <c r="D99" s="46">
        <f t="shared" si="0"/>
        <v>21</v>
      </c>
      <c r="E99" s="47" t="str">
        <f t="shared" si="1"/>
        <v>Friday</v>
      </c>
      <c r="F99" s="47" t="s">
        <v>43</v>
      </c>
      <c r="G99" s="47" t="s">
        <v>57</v>
      </c>
      <c r="H99" s="43" t="s">
        <v>28</v>
      </c>
      <c r="I99" s="48">
        <v>1</v>
      </c>
      <c r="J99" s="49">
        <v>18000</v>
      </c>
      <c r="K99" s="49">
        <v>18000</v>
      </c>
      <c r="L99" s="47" t="s">
        <v>22</v>
      </c>
      <c r="M99" s="46">
        <v>0</v>
      </c>
      <c r="N99" s="48">
        <v>4</v>
      </c>
      <c r="O99" s="47" t="s">
        <v>24</v>
      </c>
    </row>
    <row r="100" ht="14.25" customHeight="1" spans="1:15">
      <c r="A100" s="43" t="s">
        <v>325</v>
      </c>
      <c r="B100" s="44">
        <v>46066</v>
      </c>
      <c r="C100" s="45">
        <v>0.879861111111111</v>
      </c>
      <c r="D100" s="46">
        <f t="shared" si="0"/>
        <v>21</v>
      </c>
      <c r="E100" s="47" t="str">
        <f t="shared" si="1"/>
        <v>Friday</v>
      </c>
      <c r="F100" s="47" t="s">
        <v>16</v>
      </c>
      <c r="G100" s="47" t="s">
        <v>81</v>
      </c>
      <c r="H100" s="43" t="s">
        <v>37</v>
      </c>
      <c r="I100" s="48">
        <v>2</v>
      </c>
      <c r="J100" s="49">
        <v>6000</v>
      </c>
      <c r="K100" s="49">
        <v>12000</v>
      </c>
      <c r="L100" s="47" t="s">
        <v>22</v>
      </c>
      <c r="M100" s="46">
        <v>0</v>
      </c>
      <c r="N100" s="48" t="s">
        <v>23</v>
      </c>
      <c r="O100" s="47" t="s">
        <v>40</v>
      </c>
    </row>
    <row r="101" ht="14.25" customHeight="1" spans="1:15">
      <c r="A101" s="43" t="s">
        <v>328</v>
      </c>
      <c r="B101" s="44">
        <v>46066</v>
      </c>
      <c r="C101" s="45">
        <v>0.900694444444444</v>
      </c>
      <c r="D101" s="46">
        <f t="shared" si="0"/>
        <v>21</v>
      </c>
      <c r="E101" s="47" t="str">
        <f t="shared" si="1"/>
        <v>Friday</v>
      </c>
      <c r="F101" s="47" t="s">
        <v>16</v>
      </c>
      <c r="G101" s="47" t="s">
        <v>57</v>
      </c>
      <c r="H101" s="43" t="s">
        <v>28</v>
      </c>
      <c r="I101" s="48">
        <v>1</v>
      </c>
      <c r="J101" s="49">
        <v>18000</v>
      </c>
      <c r="K101" s="49">
        <v>18000</v>
      </c>
      <c r="L101" s="47" t="s">
        <v>22</v>
      </c>
      <c r="M101" s="46">
        <v>0</v>
      </c>
      <c r="N101" s="48">
        <v>4</v>
      </c>
      <c r="O101" s="47" t="s">
        <v>24</v>
      </c>
    </row>
    <row r="102" ht="14.25" customHeight="1" spans="1:15">
      <c r="A102" s="43" t="s">
        <v>330</v>
      </c>
      <c r="B102" s="44">
        <v>46066</v>
      </c>
      <c r="C102" s="45">
        <v>0.9125</v>
      </c>
      <c r="D102" s="46">
        <f t="shared" si="0"/>
        <v>21</v>
      </c>
      <c r="E102" s="47" t="str">
        <f t="shared" si="1"/>
        <v>Friday</v>
      </c>
      <c r="F102" s="47" t="s">
        <v>16</v>
      </c>
      <c r="G102" s="47" t="s">
        <v>63</v>
      </c>
      <c r="H102" s="43" t="s">
        <v>18</v>
      </c>
      <c r="I102" s="48">
        <v>2</v>
      </c>
      <c r="J102" s="49">
        <v>1500</v>
      </c>
      <c r="K102" s="50">
        <v>2700</v>
      </c>
      <c r="L102" s="47" t="s">
        <v>22</v>
      </c>
      <c r="M102" s="51">
        <v>0.1</v>
      </c>
      <c r="N102" s="48">
        <v>3</v>
      </c>
      <c r="O102" s="47" t="s">
        <v>47</v>
      </c>
    </row>
    <row r="103" ht="14.25" customHeight="1" spans="1:15">
      <c r="A103" s="43" t="s">
        <v>334</v>
      </c>
      <c r="B103" s="44">
        <v>46066</v>
      </c>
      <c r="C103" s="45">
        <v>0.938194444444444</v>
      </c>
      <c r="D103" s="46">
        <f t="shared" si="0"/>
        <v>22</v>
      </c>
      <c r="E103" s="47" t="str">
        <f t="shared" si="1"/>
        <v>Friday</v>
      </c>
      <c r="F103" s="47" t="s">
        <v>43</v>
      </c>
      <c r="G103" s="47" t="s">
        <v>27</v>
      </c>
      <c r="H103" s="43" t="s">
        <v>28</v>
      </c>
      <c r="I103" s="48">
        <v>1</v>
      </c>
      <c r="J103" s="49">
        <v>15000</v>
      </c>
      <c r="K103" s="49">
        <v>15000</v>
      </c>
      <c r="L103" s="47" t="s">
        <v>22</v>
      </c>
      <c r="M103" s="46">
        <v>0</v>
      </c>
      <c r="N103" s="48" t="s">
        <v>23</v>
      </c>
      <c r="O103" s="47" t="s">
        <v>33</v>
      </c>
    </row>
    <row r="104" ht="14.25" customHeight="1" spans="1:15">
      <c r="A104" s="43" t="s">
        <v>336</v>
      </c>
      <c r="B104" s="44">
        <v>46067</v>
      </c>
      <c r="C104" s="45">
        <v>0.525</v>
      </c>
      <c r="D104" s="46">
        <f t="shared" si="0"/>
        <v>12</v>
      </c>
      <c r="E104" s="47" t="str">
        <f t="shared" si="1"/>
        <v>Saturday</v>
      </c>
      <c r="F104" s="47" t="s">
        <v>16</v>
      </c>
      <c r="G104" s="47" t="s">
        <v>103</v>
      </c>
      <c r="H104" s="43" t="s">
        <v>37</v>
      </c>
      <c r="I104" s="48">
        <v>1</v>
      </c>
      <c r="J104" s="49">
        <v>5000</v>
      </c>
      <c r="K104" s="49">
        <v>5000</v>
      </c>
      <c r="L104" s="47" t="s">
        <v>22</v>
      </c>
      <c r="M104" s="46">
        <v>0</v>
      </c>
      <c r="N104" s="48" t="s">
        <v>23</v>
      </c>
      <c r="O104" s="47" t="s">
        <v>40</v>
      </c>
    </row>
    <row r="105" ht="14.25" customHeight="1" spans="1:15">
      <c r="A105" s="43" t="s">
        <v>339</v>
      </c>
      <c r="B105" s="44">
        <v>46067</v>
      </c>
      <c r="C105" s="45">
        <v>0.564583333333333</v>
      </c>
      <c r="D105" s="46">
        <f t="shared" si="0"/>
        <v>13</v>
      </c>
      <c r="E105" s="47" t="str">
        <f t="shared" si="1"/>
        <v>Saturday</v>
      </c>
      <c r="F105" s="47" t="s">
        <v>107</v>
      </c>
      <c r="G105" s="47" t="s">
        <v>146</v>
      </c>
      <c r="H105" s="43" t="s">
        <v>28</v>
      </c>
      <c r="I105" s="48">
        <v>1</v>
      </c>
      <c r="J105" s="49">
        <v>16000</v>
      </c>
      <c r="K105" s="49">
        <v>16000</v>
      </c>
      <c r="L105" s="47" t="s">
        <v>22</v>
      </c>
      <c r="M105" s="46">
        <v>0</v>
      </c>
      <c r="N105" s="48">
        <v>5</v>
      </c>
      <c r="O105" s="47" t="s">
        <v>40</v>
      </c>
    </row>
    <row r="106" ht="14.25" customHeight="1" spans="1:15">
      <c r="A106" s="43" t="s">
        <v>342</v>
      </c>
      <c r="B106" s="44">
        <v>46067</v>
      </c>
      <c r="C106" s="45">
        <v>0.729861111111111</v>
      </c>
      <c r="D106" s="46">
        <f t="shared" si="0"/>
        <v>17</v>
      </c>
      <c r="E106" s="47" t="str">
        <f t="shared" si="1"/>
        <v>Saturday</v>
      </c>
      <c r="F106" s="47" t="s">
        <v>43</v>
      </c>
      <c r="G106" s="47" t="s">
        <v>81</v>
      </c>
      <c r="H106" s="43" t="s">
        <v>37</v>
      </c>
      <c r="I106" s="48">
        <v>1</v>
      </c>
      <c r="J106" s="49">
        <v>6000</v>
      </c>
      <c r="K106" s="49">
        <f>I106*J106</f>
        <v>6000</v>
      </c>
      <c r="L106" s="47" t="s">
        <v>32</v>
      </c>
      <c r="M106" s="46">
        <v>0</v>
      </c>
      <c r="N106" s="48" t="s">
        <v>23</v>
      </c>
      <c r="O106" s="47" t="s">
        <v>73</v>
      </c>
    </row>
    <row r="107" ht="14.25" customHeight="1" spans="1:15">
      <c r="A107" s="43" t="s">
        <v>344</v>
      </c>
      <c r="B107" s="44">
        <v>46067</v>
      </c>
      <c r="C107" s="45">
        <v>0.851388888888889</v>
      </c>
      <c r="D107" s="46">
        <f t="shared" si="0"/>
        <v>20</v>
      </c>
      <c r="E107" s="47" t="str">
        <f t="shared" si="1"/>
        <v>Saturday</v>
      </c>
      <c r="F107" s="47" t="s">
        <v>16</v>
      </c>
      <c r="G107" s="47" t="s">
        <v>17</v>
      </c>
      <c r="H107" s="43" t="s">
        <v>18</v>
      </c>
      <c r="I107" s="48">
        <v>1</v>
      </c>
      <c r="J107" s="49">
        <v>1000</v>
      </c>
      <c r="K107" s="49">
        <v>1000</v>
      </c>
      <c r="L107" s="47" t="s">
        <v>22</v>
      </c>
      <c r="M107" s="46">
        <v>0</v>
      </c>
      <c r="N107" s="48">
        <v>4</v>
      </c>
      <c r="O107" s="47" t="s">
        <v>24</v>
      </c>
    </row>
    <row r="108" ht="14.25" customHeight="1" spans="1:15">
      <c r="A108" s="43" t="s">
        <v>345</v>
      </c>
      <c r="B108" s="44">
        <v>46067</v>
      </c>
      <c r="C108" s="45">
        <v>0.882638888888889</v>
      </c>
      <c r="D108" s="46">
        <f t="shared" si="0"/>
        <v>21</v>
      </c>
      <c r="E108" s="47" t="str">
        <f t="shared" si="1"/>
        <v>Saturday</v>
      </c>
      <c r="F108" s="47" t="s">
        <v>107</v>
      </c>
      <c r="G108" s="47" t="s">
        <v>50</v>
      </c>
      <c r="H108" s="43" t="s">
        <v>28</v>
      </c>
      <c r="I108" s="48">
        <v>1</v>
      </c>
      <c r="J108" s="50">
        <v>25000</v>
      </c>
      <c r="K108" s="49">
        <v>25000</v>
      </c>
      <c r="L108" s="47" t="s">
        <v>22</v>
      </c>
      <c r="M108" s="46">
        <v>0</v>
      </c>
      <c r="N108" s="48" t="s">
        <v>23</v>
      </c>
      <c r="O108" s="47" t="s">
        <v>24</v>
      </c>
    </row>
    <row r="109" ht="14.25" customHeight="1" spans="1:15">
      <c r="A109" s="43" t="s">
        <v>348</v>
      </c>
      <c r="B109" s="44">
        <v>46067</v>
      </c>
      <c r="C109" s="45">
        <v>0.888888888888889</v>
      </c>
      <c r="D109" s="46">
        <f t="shared" si="0"/>
        <v>21</v>
      </c>
      <c r="E109" s="47" t="str">
        <f t="shared" si="1"/>
        <v>Saturday</v>
      </c>
      <c r="F109" s="47" t="s">
        <v>43</v>
      </c>
      <c r="G109" s="47" t="s">
        <v>17</v>
      </c>
      <c r="H109" s="43" t="s">
        <v>18</v>
      </c>
      <c r="I109" s="48">
        <v>2</v>
      </c>
      <c r="J109" s="49">
        <v>1000</v>
      </c>
      <c r="K109" s="49">
        <v>2000</v>
      </c>
      <c r="L109" s="47" t="s">
        <v>22</v>
      </c>
      <c r="M109" s="46">
        <v>0</v>
      </c>
      <c r="N109" s="48" t="s">
        <v>23</v>
      </c>
      <c r="O109" s="47" t="s">
        <v>47</v>
      </c>
    </row>
    <row r="110" ht="14.25" customHeight="1" spans="1:15">
      <c r="A110" s="43" t="s">
        <v>350</v>
      </c>
      <c r="B110" s="44">
        <v>46067</v>
      </c>
      <c r="C110" s="45">
        <v>0.904166666666667</v>
      </c>
      <c r="D110" s="46">
        <f t="shared" si="0"/>
        <v>21</v>
      </c>
      <c r="E110" s="47" t="str">
        <f t="shared" si="1"/>
        <v>Saturday</v>
      </c>
      <c r="F110" s="47" t="s">
        <v>16</v>
      </c>
      <c r="G110" s="47" t="s">
        <v>17</v>
      </c>
      <c r="H110" s="43" t="s">
        <v>18</v>
      </c>
      <c r="I110" s="48">
        <v>1</v>
      </c>
      <c r="J110" s="49">
        <v>1000</v>
      </c>
      <c r="K110" s="49">
        <v>1000</v>
      </c>
      <c r="L110" s="47" t="s">
        <v>22</v>
      </c>
      <c r="M110" s="46">
        <v>0</v>
      </c>
      <c r="N110" s="48">
        <v>5</v>
      </c>
      <c r="O110" s="47" t="s">
        <v>33</v>
      </c>
    </row>
    <row r="111" ht="14.25" customHeight="1" spans="1:15">
      <c r="A111" s="43" t="s">
        <v>351</v>
      </c>
      <c r="B111" s="44">
        <v>46067</v>
      </c>
      <c r="C111" s="45">
        <v>0.904166666666667</v>
      </c>
      <c r="D111" s="46">
        <f t="shared" si="0"/>
        <v>21</v>
      </c>
      <c r="E111" s="47" t="str">
        <f t="shared" si="1"/>
        <v>Saturday</v>
      </c>
      <c r="F111" s="47" t="s">
        <v>43</v>
      </c>
      <c r="G111" s="47" t="s">
        <v>17</v>
      </c>
      <c r="H111" s="43" t="s">
        <v>18</v>
      </c>
      <c r="I111" s="48">
        <v>1</v>
      </c>
      <c r="J111" s="49">
        <v>1000</v>
      </c>
      <c r="K111" s="50">
        <v>800</v>
      </c>
      <c r="L111" s="47" t="s">
        <v>32</v>
      </c>
      <c r="M111" s="51">
        <v>0.2</v>
      </c>
      <c r="N111" s="48" t="s">
        <v>23</v>
      </c>
      <c r="O111" s="47" t="s">
        <v>47</v>
      </c>
    </row>
    <row r="112" ht="14.25" customHeight="1" spans="1:15">
      <c r="A112" s="43" t="s">
        <v>353</v>
      </c>
      <c r="B112" s="44">
        <v>46067</v>
      </c>
      <c r="C112" s="45">
        <v>0.929861111111111</v>
      </c>
      <c r="D112" s="46">
        <f t="shared" si="0"/>
        <v>22</v>
      </c>
      <c r="E112" s="47" t="str">
        <f t="shared" si="1"/>
        <v>Saturday</v>
      </c>
      <c r="F112" s="47" t="s">
        <v>43</v>
      </c>
      <c r="G112" s="47" t="s">
        <v>50</v>
      </c>
      <c r="H112" s="43" t="s">
        <v>28</v>
      </c>
      <c r="I112" s="48">
        <v>1</v>
      </c>
      <c r="J112" s="49">
        <v>25000</v>
      </c>
      <c r="K112" s="49">
        <v>25000</v>
      </c>
      <c r="L112" s="47" t="s">
        <v>22</v>
      </c>
      <c r="M112" s="46">
        <v>0</v>
      </c>
      <c r="N112" s="48" t="s">
        <v>23</v>
      </c>
      <c r="O112" s="47" t="s">
        <v>73</v>
      </c>
    </row>
    <row r="113" ht="14.25" customHeight="1" spans="1:15">
      <c r="A113" s="43" t="s">
        <v>355</v>
      </c>
      <c r="B113" s="44">
        <v>46067</v>
      </c>
      <c r="C113" s="45">
        <v>0.954166666666667</v>
      </c>
      <c r="D113" s="46">
        <f t="shared" si="0"/>
        <v>22</v>
      </c>
      <c r="E113" s="47" t="str">
        <f t="shared" si="1"/>
        <v>Saturday</v>
      </c>
      <c r="F113" s="47" t="s">
        <v>43</v>
      </c>
      <c r="G113" s="47" t="s">
        <v>367</v>
      </c>
      <c r="H113" s="43" t="s">
        <v>109</v>
      </c>
      <c r="I113" s="48">
        <v>2</v>
      </c>
      <c r="J113" s="49">
        <v>7000</v>
      </c>
      <c r="K113" s="49">
        <v>14000</v>
      </c>
      <c r="L113" s="47" t="s">
        <v>22</v>
      </c>
      <c r="M113" s="46">
        <v>0</v>
      </c>
      <c r="N113" s="48" t="s">
        <v>23</v>
      </c>
      <c r="O113" s="47" t="s">
        <v>47</v>
      </c>
    </row>
    <row r="114" ht="14.25" customHeight="1" spans="1:15">
      <c r="A114" s="43" t="s">
        <v>359</v>
      </c>
      <c r="B114" s="44">
        <v>46068</v>
      </c>
      <c r="C114" s="45">
        <v>0.616666666666667</v>
      </c>
      <c r="D114" s="46">
        <f t="shared" si="0"/>
        <v>14</v>
      </c>
      <c r="E114" s="47" t="str">
        <f t="shared" si="1"/>
        <v>Sunday</v>
      </c>
      <c r="F114" s="47" t="s">
        <v>16</v>
      </c>
      <c r="G114" s="47" t="s">
        <v>17</v>
      </c>
      <c r="H114" s="43" t="s">
        <v>18</v>
      </c>
      <c r="I114" s="48">
        <v>2</v>
      </c>
      <c r="J114" s="49">
        <v>1000</v>
      </c>
      <c r="K114" s="49">
        <v>2000</v>
      </c>
      <c r="L114" s="47" t="s">
        <v>32</v>
      </c>
      <c r="M114" s="46">
        <v>0</v>
      </c>
      <c r="N114" s="48">
        <v>5</v>
      </c>
      <c r="O114" s="47" t="s">
        <v>73</v>
      </c>
    </row>
    <row r="115" ht="14.25" customHeight="1" spans="1:15">
      <c r="A115" s="43" t="s">
        <v>362</v>
      </c>
      <c r="B115" s="44">
        <v>46068</v>
      </c>
      <c r="C115" s="45">
        <v>0.890277777777778</v>
      </c>
      <c r="D115" s="46">
        <f t="shared" si="0"/>
        <v>21</v>
      </c>
      <c r="E115" s="47" t="str">
        <f t="shared" si="1"/>
        <v>Sunday</v>
      </c>
      <c r="F115" s="47" t="s">
        <v>16</v>
      </c>
      <c r="G115" s="47" t="s">
        <v>17</v>
      </c>
      <c r="H115" s="43" t="s">
        <v>18</v>
      </c>
      <c r="I115" s="48">
        <v>1</v>
      </c>
      <c r="J115" s="49">
        <v>1000</v>
      </c>
      <c r="K115" s="49">
        <v>1000</v>
      </c>
      <c r="L115" s="47" t="s">
        <v>22</v>
      </c>
      <c r="M115" s="46">
        <v>0</v>
      </c>
      <c r="N115" s="48" t="s">
        <v>23</v>
      </c>
      <c r="O115" s="47" t="s">
        <v>73</v>
      </c>
    </row>
    <row r="116" ht="14.25" customHeight="1" spans="1:15">
      <c r="A116" s="43" t="s">
        <v>365</v>
      </c>
      <c r="B116" s="44">
        <v>46068</v>
      </c>
      <c r="C116" s="45">
        <v>0.923611111111111</v>
      </c>
      <c r="D116" s="46">
        <f t="shared" si="0"/>
        <v>22</v>
      </c>
      <c r="E116" s="47" t="str">
        <f t="shared" si="1"/>
        <v>Sunday</v>
      </c>
      <c r="F116" s="47" t="s">
        <v>16</v>
      </c>
      <c r="G116" s="47" t="s">
        <v>367</v>
      </c>
      <c r="H116" s="47" t="s">
        <v>109</v>
      </c>
      <c r="I116" s="48">
        <v>1</v>
      </c>
      <c r="J116" s="49">
        <v>7000</v>
      </c>
      <c r="K116" s="49">
        <v>7000</v>
      </c>
      <c r="L116" s="47" t="s">
        <v>22</v>
      </c>
      <c r="M116" s="46">
        <v>0</v>
      </c>
      <c r="N116" s="48" t="s">
        <v>23</v>
      </c>
      <c r="O116" s="47" t="s">
        <v>40</v>
      </c>
    </row>
    <row r="117" ht="14.25" customHeight="1" spans="1:15">
      <c r="A117" s="43" t="s">
        <v>369</v>
      </c>
      <c r="B117" s="44">
        <v>46069</v>
      </c>
      <c r="C117" s="45">
        <v>0.567361111111111</v>
      </c>
      <c r="D117" s="46">
        <f t="shared" si="0"/>
        <v>13</v>
      </c>
      <c r="E117" s="47" t="str">
        <f t="shared" si="1"/>
        <v>Monday</v>
      </c>
      <c r="F117" s="47" t="s">
        <v>16</v>
      </c>
      <c r="G117" s="47" t="s">
        <v>146</v>
      </c>
      <c r="H117" s="43" t="s">
        <v>28</v>
      </c>
      <c r="I117" s="48">
        <v>1</v>
      </c>
      <c r="J117" s="49">
        <v>16000</v>
      </c>
      <c r="K117" s="49">
        <v>16000</v>
      </c>
      <c r="L117" s="47" t="s">
        <v>22</v>
      </c>
      <c r="M117" s="46">
        <v>0</v>
      </c>
      <c r="N117" s="48" t="s">
        <v>23</v>
      </c>
      <c r="O117" s="47" t="s">
        <v>40</v>
      </c>
    </row>
    <row r="118" ht="14.25" customHeight="1" spans="1:15">
      <c r="A118" s="43" t="s">
        <v>371</v>
      </c>
      <c r="B118" s="44">
        <v>46069</v>
      </c>
      <c r="C118" s="45">
        <v>0.840277777777778</v>
      </c>
      <c r="D118" s="46">
        <f t="shared" si="0"/>
        <v>20</v>
      </c>
      <c r="E118" s="47" t="str">
        <f t="shared" si="1"/>
        <v>Monday</v>
      </c>
      <c r="F118" s="47" t="s">
        <v>107</v>
      </c>
      <c r="G118" s="47" t="s">
        <v>367</v>
      </c>
      <c r="H118" s="43" t="s">
        <v>109</v>
      </c>
      <c r="I118" s="48">
        <v>1</v>
      </c>
      <c r="J118" s="49">
        <v>7000</v>
      </c>
      <c r="K118" s="49">
        <v>7000</v>
      </c>
      <c r="L118" s="47" t="s">
        <v>22</v>
      </c>
      <c r="M118" s="46">
        <v>0</v>
      </c>
      <c r="N118" s="48">
        <v>4</v>
      </c>
      <c r="O118" s="47" t="s">
        <v>47</v>
      </c>
    </row>
    <row r="119" ht="14.25" customHeight="1" spans="1:15">
      <c r="A119" s="43" t="s">
        <v>372</v>
      </c>
      <c r="B119" s="44">
        <v>46069</v>
      </c>
      <c r="C119" s="45">
        <v>0.995833333333333</v>
      </c>
      <c r="D119" s="46">
        <f t="shared" si="0"/>
        <v>23</v>
      </c>
      <c r="E119" s="47" t="str">
        <f t="shared" si="1"/>
        <v>Monday</v>
      </c>
      <c r="F119" s="47" t="s">
        <v>43</v>
      </c>
      <c r="G119" s="47" t="s">
        <v>103</v>
      </c>
      <c r="H119" s="43" t="s">
        <v>37</v>
      </c>
      <c r="I119" s="48">
        <v>2</v>
      </c>
      <c r="J119" s="49">
        <v>5000</v>
      </c>
      <c r="K119" s="49">
        <f>I119*J119</f>
        <v>10000</v>
      </c>
      <c r="L119" s="47" t="s">
        <v>22</v>
      </c>
      <c r="M119" s="46">
        <v>0</v>
      </c>
      <c r="N119" s="48" t="s">
        <v>23</v>
      </c>
      <c r="O119" s="47" t="s">
        <v>24</v>
      </c>
    </row>
    <row r="120" ht="14.25" customHeight="1" spans="1:15">
      <c r="A120" s="43" t="s">
        <v>375</v>
      </c>
      <c r="B120" s="44">
        <v>46070</v>
      </c>
      <c r="C120" s="45">
        <v>0.552083333333333</v>
      </c>
      <c r="D120" s="46">
        <f t="shared" si="0"/>
        <v>13</v>
      </c>
      <c r="E120" s="47" t="str">
        <f t="shared" si="1"/>
        <v>Tuesday</v>
      </c>
      <c r="F120" s="47" t="s">
        <v>16</v>
      </c>
      <c r="G120" s="47" t="s">
        <v>367</v>
      </c>
      <c r="H120" s="43" t="s">
        <v>109</v>
      </c>
      <c r="I120" s="48">
        <v>2</v>
      </c>
      <c r="J120" s="49">
        <v>7000</v>
      </c>
      <c r="K120" s="49">
        <v>14000</v>
      </c>
      <c r="L120" s="47" t="s">
        <v>22</v>
      </c>
      <c r="M120" s="46">
        <v>0</v>
      </c>
      <c r="N120" s="48" t="s">
        <v>23</v>
      </c>
      <c r="O120" s="47" t="s">
        <v>47</v>
      </c>
    </row>
    <row r="121" ht="14.25" customHeight="1" spans="1:15">
      <c r="A121" s="43" t="s">
        <v>378</v>
      </c>
      <c r="B121" s="44">
        <v>46070</v>
      </c>
      <c r="C121" s="45">
        <v>0.866666666666667</v>
      </c>
      <c r="D121" s="46">
        <f t="shared" si="0"/>
        <v>20</v>
      </c>
      <c r="E121" s="47" t="str">
        <f t="shared" si="1"/>
        <v>Tuesday</v>
      </c>
      <c r="F121" s="47" t="s">
        <v>107</v>
      </c>
      <c r="G121" s="47" t="s">
        <v>63</v>
      </c>
      <c r="H121" s="43" t="s">
        <v>18</v>
      </c>
      <c r="I121" s="48">
        <v>1</v>
      </c>
      <c r="J121" s="49">
        <v>1500</v>
      </c>
      <c r="K121" s="49">
        <v>1500</v>
      </c>
      <c r="L121" s="47" t="s">
        <v>32</v>
      </c>
      <c r="M121" s="46">
        <v>0</v>
      </c>
      <c r="N121" s="48">
        <v>4</v>
      </c>
      <c r="O121" s="47" t="s">
        <v>73</v>
      </c>
    </row>
    <row r="122" ht="14.25" customHeight="1" spans="1:15">
      <c r="A122" s="43" t="s">
        <v>381</v>
      </c>
      <c r="B122" s="44">
        <v>46070</v>
      </c>
      <c r="C122" s="45">
        <v>0.877777777777778</v>
      </c>
      <c r="D122" s="46">
        <f t="shared" si="0"/>
        <v>21</v>
      </c>
      <c r="E122" s="47" t="str">
        <f t="shared" si="1"/>
        <v>Tuesday</v>
      </c>
      <c r="F122" s="47" t="s">
        <v>16</v>
      </c>
      <c r="G122" s="47" t="s">
        <v>367</v>
      </c>
      <c r="H122" s="43" t="s">
        <v>109</v>
      </c>
      <c r="I122" s="48">
        <v>2</v>
      </c>
      <c r="J122" s="49">
        <v>7000</v>
      </c>
      <c r="K122" s="49">
        <v>14000</v>
      </c>
      <c r="L122" s="47" t="s">
        <v>22</v>
      </c>
      <c r="M122" s="46">
        <v>0</v>
      </c>
      <c r="N122" s="48" t="s">
        <v>23</v>
      </c>
      <c r="O122" s="47" t="s">
        <v>73</v>
      </c>
    </row>
    <row r="123" ht="14.25" customHeight="1" spans="1:15">
      <c r="A123" s="43" t="s">
        <v>383</v>
      </c>
      <c r="B123" s="44">
        <v>46070</v>
      </c>
      <c r="C123" s="45">
        <v>0.879861111111111</v>
      </c>
      <c r="D123" s="46">
        <f t="shared" si="0"/>
        <v>21</v>
      </c>
      <c r="E123" s="47" t="str">
        <f t="shared" si="1"/>
        <v>Tuesday</v>
      </c>
      <c r="F123" s="47" t="s">
        <v>43</v>
      </c>
      <c r="G123" s="43" t="s">
        <v>165</v>
      </c>
      <c r="H123" s="43" t="s">
        <v>109</v>
      </c>
      <c r="I123" s="48">
        <v>2</v>
      </c>
      <c r="J123" s="49">
        <v>6000</v>
      </c>
      <c r="K123" s="49">
        <v>12000</v>
      </c>
      <c r="L123" s="47" t="s">
        <v>22</v>
      </c>
      <c r="M123" s="46">
        <v>0</v>
      </c>
      <c r="N123" s="48" t="s">
        <v>23</v>
      </c>
      <c r="O123" s="47" t="s">
        <v>40</v>
      </c>
    </row>
    <row r="124" ht="14.25" customHeight="1" spans="1:15">
      <c r="A124" s="43" t="s">
        <v>384</v>
      </c>
      <c r="B124" s="44">
        <v>46070</v>
      </c>
      <c r="C124" s="45">
        <v>0.883333333333333</v>
      </c>
      <c r="D124" s="46">
        <f t="shared" si="0"/>
        <v>21</v>
      </c>
      <c r="E124" s="47" t="str">
        <f t="shared" si="1"/>
        <v>Tuesday</v>
      </c>
      <c r="F124" s="47" t="s">
        <v>16</v>
      </c>
      <c r="G124" s="47" t="s">
        <v>57</v>
      </c>
      <c r="H124" s="43" t="s">
        <v>28</v>
      </c>
      <c r="I124" s="48">
        <v>1</v>
      </c>
      <c r="J124" s="49">
        <v>18000</v>
      </c>
      <c r="K124" s="49">
        <v>18000</v>
      </c>
      <c r="L124" s="47" t="s">
        <v>32</v>
      </c>
      <c r="M124" s="46">
        <v>0</v>
      </c>
      <c r="N124" s="48">
        <v>4</v>
      </c>
      <c r="O124" s="47" t="s">
        <v>40</v>
      </c>
    </row>
    <row r="125" ht="14.25" customHeight="1" spans="1:15">
      <c r="A125" s="43" t="s">
        <v>386</v>
      </c>
      <c r="B125" s="44">
        <v>46070</v>
      </c>
      <c r="C125" s="45">
        <v>0.890277777777778</v>
      </c>
      <c r="D125" s="46">
        <f t="shared" si="0"/>
        <v>21</v>
      </c>
      <c r="E125" s="47" t="str">
        <f t="shared" si="1"/>
        <v>Tuesday</v>
      </c>
      <c r="F125" s="47" t="s">
        <v>16</v>
      </c>
      <c r="G125" s="47" t="s">
        <v>103</v>
      </c>
      <c r="H125" s="47" t="s">
        <v>37</v>
      </c>
      <c r="I125" s="48">
        <v>1</v>
      </c>
      <c r="J125" s="49">
        <v>5000</v>
      </c>
      <c r="K125" s="50">
        <v>4500</v>
      </c>
      <c r="L125" s="47" t="s">
        <v>22</v>
      </c>
      <c r="M125" s="51">
        <v>0.1</v>
      </c>
      <c r="N125" s="48">
        <v>4</v>
      </c>
      <c r="O125" s="47" t="s">
        <v>40</v>
      </c>
    </row>
    <row r="126" ht="14.25" customHeight="1" spans="1:15">
      <c r="A126" s="43" t="s">
        <v>388</v>
      </c>
      <c r="B126" s="44">
        <v>46070</v>
      </c>
      <c r="C126" s="45">
        <v>0.951388888888889</v>
      </c>
      <c r="D126" s="46">
        <f t="shared" si="0"/>
        <v>22</v>
      </c>
      <c r="E126" s="47" t="str">
        <f t="shared" si="1"/>
        <v>Tuesday</v>
      </c>
      <c r="F126" s="47" t="s">
        <v>16</v>
      </c>
      <c r="G126" s="47" t="s">
        <v>63</v>
      </c>
      <c r="H126" s="43" t="s">
        <v>18</v>
      </c>
      <c r="I126" s="48">
        <v>1</v>
      </c>
      <c r="J126" s="49">
        <v>1500</v>
      </c>
      <c r="K126" s="49">
        <v>1500</v>
      </c>
      <c r="L126" s="47" t="s">
        <v>22</v>
      </c>
      <c r="M126" s="46">
        <v>0</v>
      </c>
      <c r="N126" s="48">
        <v>4</v>
      </c>
      <c r="O126" s="47" t="s">
        <v>33</v>
      </c>
    </row>
    <row r="127" ht="14.25" customHeight="1" spans="1:15">
      <c r="A127" s="43" t="s">
        <v>390</v>
      </c>
      <c r="B127" s="44">
        <v>46071</v>
      </c>
      <c r="C127" s="45">
        <v>0.506944444444444</v>
      </c>
      <c r="D127" s="46">
        <f t="shared" si="0"/>
        <v>12</v>
      </c>
      <c r="E127" s="47" t="str">
        <f t="shared" si="1"/>
        <v>Wednesday</v>
      </c>
      <c r="F127" s="47" t="s">
        <v>16</v>
      </c>
      <c r="G127" s="47" t="s">
        <v>95</v>
      </c>
      <c r="H127" s="43" t="s">
        <v>45</v>
      </c>
      <c r="I127" s="48">
        <v>1</v>
      </c>
      <c r="J127" s="49">
        <v>5000</v>
      </c>
      <c r="K127" s="49">
        <v>5000</v>
      </c>
      <c r="L127" s="47" t="s">
        <v>22</v>
      </c>
      <c r="M127" s="46">
        <v>0</v>
      </c>
      <c r="N127" s="48" t="s">
        <v>23</v>
      </c>
      <c r="O127" s="47" t="s">
        <v>47</v>
      </c>
    </row>
    <row r="128" ht="14.25" customHeight="1" spans="1:15">
      <c r="A128" s="43" t="s">
        <v>394</v>
      </c>
      <c r="B128" s="44">
        <v>46071</v>
      </c>
      <c r="C128" s="45">
        <v>0.529166666666667</v>
      </c>
      <c r="D128" s="46">
        <f t="shared" si="0"/>
        <v>12</v>
      </c>
      <c r="E128" s="47" t="str">
        <f t="shared" si="1"/>
        <v>Wednesday</v>
      </c>
      <c r="F128" s="47" t="s">
        <v>16</v>
      </c>
      <c r="G128" s="47" t="s">
        <v>63</v>
      </c>
      <c r="H128" s="43" t="str">
        <f>VLOOKUP(G128,'02_Menu_Lookup'!$A$2:$C$16,2,FALSE)</f>
        <v>Beverages</v>
      </c>
      <c r="I128" s="48">
        <v>1</v>
      </c>
      <c r="J128" s="49">
        <v>1500</v>
      </c>
      <c r="K128" s="49">
        <v>1500</v>
      </c>
      <c r="L128" s="47" t="s">
        <v>22</v>
      </c>
      <c r="M128" s="46">
        <v>0</v>
      </c>
      <c r="N128" s="48" t="s">
        <v>23</v>
      </c>
      <c r="O128" s="47" t="s">
        <v>73</v>
      </c>
    </row>
    <row r="129" ht="14.25" customHeight="1" spans="1:15">
      <c r="A129" s="43" t="s">
        <v>397</v>
      </c>
      <c r="B129" s="44">
        <v>46071</v>
      </c>
      <c r="C129" s="45">
        <v>0.536805555555556</v>
      </c>
      <c r="D129" s="46">
        <f t="shared" si="0"/>
        <v>12</v>
      </c>
      <c r="E129" s="47" t="str">
        <f t="shared" si="1"/>
        <v>Wednesday</v>
      </c>
      <c r="F129" s="47" t="s">
        <v>16</v>
      </c>
      <c r="G129" s="43" t="s">
        <v>36</v>
      </c>
      <c r="H129" s="43" t="s">
        <v>37</v>
      </c>
      <c r="I129" s="48">
        <v>1</v>
      </c>
      <c r="J129" s="49">
        <v>3000</v>
      </c>
      <c r="K129" s="50">
        <v>3000</v>
      </c>
      <c r="L129" s="47" t="s">
        <v>22</v>
      </c>
      <c r="M129" s="46">
        <v>0</v>
      </c>
      <c r="N129" s="48" t="s">
        <v>23</v>
      </c>
      <c r="O129" s="47" t="s">
        <v>47</v>
      </c>
    </row>
    <row r="130" ht="14.25" customHeight="1" spans="1:15">
      <c r="A130" s="43" t="s">
        <v>400</v>
      </c>
      <c r="B130" s="44">
        <v>46071</v>
      </c>
      <c r="C130" s="45">
        <v>0.5375</v>
      </c>
      <c r="D130" s="46">
        <f t="shared" si="0"/>
        <v>12</v>
      </c>
      <c r="E130" s="47" t="str">
        <f t="shared" si="1"/>
        <v>Wednesday</v>
      </c>
      <c r="F130" s="47" t="s">
        <v>16</v>
      </c>
      <c r="G130" s="47" t="s">
        <v>146</v>
      </c>
      <c r="H130" s="43" t="s">
        <v>28</v>
      </c>
      <c r="I130" s="48">
        <v>1</v>
      </c>
      <c r="J130" s="49">
        <v>16000</v>
      </c>
      <c r="K130" s="49">
        <v>16000</v>
      </c>
      <c r="L130" s="47" t="s">
        <v>22</v>
      </c>
      <c r="M130" s="46">
        <v>0</v>
      </c>
      <c r="N130" s="48">
        <v>5</v>
      </c>
      <c r="O130" s="47" t="s">
        <v>33</v>
      </c>
    </row>
    <row r="131" ht="14.25" customHeight="1" spans="1:15">
      <c r="A131" s="43" t="s">
        <v>402</v>
      </c>
      <c r="B131" s="44">
        <v>46071</v>
      </c>
      <c r="C131" s="45">
        <v>0.603472222222222</v>
      </c>
      <c r="D131" s="46">
        <f t="shared" si="0"/>
        <v>14</v>
      </c>
      <c r="E131" s="47" t="str">
        <f t="shared" si="1"/>
        <v>Wednesday</v>
      </c>
      <c r="F131" s="47" t="s">
        <v>107</v>
      </c>
      <c r="G131" s="47" t="s">
        <v>367</v>
      </c>
      <c r="H131" s="43" t="s">
        <v>109</v>
      </c>
      <c r="I131" s="48">
        <v>1</v>
      </c>
      <c r="J131" s="49">
        <v>7000</v>
      </c>
      <c r="K131" s="50">
        <v>5950</v>
      </c>
      <c r="L131" s="47" t="s">
        <v>22</v>
      </c>
      <c r="M131" s="51">
        <v>0.15</v>
      </c>
      <c r="N131" s="48">
        <v>4</v>
      </c>
      <c r="O131" s="47" t="s">
        <v>33</v>
      </c>
    </row>
    <row r="132" ht="14.25" customHeight="1" spans="1:15">
      <c r="A132" s="43" t="s">
        <v>404</v>
      </c>
      <c r="B132" s="44">
        <v>46071</v>
      </c>
      <c r="C132" s="45">
        <v>0.776388888888889</v>
      </c>
      <c r="D132" s="46">
        <f t="shared" si="0"/>
        <v>18</v>
      </c>
      <c r="E132" s="47" t="str">
        <f t="shared" si="1"/>
        <v>Wednesday</v>
      </c>
      <c r="F132" s="47" t="s">
        <v>16</v>
      </c>
      <c r="G132" s="47" t="s">
        <v>146</v>
      </c>
      <c r="H132" s="43" t="s">
        <v>28</v>
      </c>
      <c r="I132" s="48">
        <v>1</v>
      </c>
      <c r="J132" s="49">
        <v>16000</v>
      </c>
      <c r="K132" s="50">
        <v>13600</v>
      </c>
      <c r="L132" s="47" t="s">
        <v>22</v>
      </c>
      <c r="M132" s="51">
        <v>0.15</v>
      </c>
      <c r="N132" s="48" t="s">
        <v>23</v>
      </c>
      <c r="O132" s="47" t="s">
        <v>24</v>
      </c>
    </row>
    <row r="133" ht="14.25" customHeight="1" spans="1:15">
      <c r="A133" s="43" t="s">
        <v>407</v>
      </c>
      <c r="B133" s="44">
        <v>46071</v>
      </c>
      <c r="C133" s="45">
        <v>0.880555555555556</v>
      </c>
      <c r="D133" s="46">
        <f t="shared" si="0"/>
        <v>21</v>
      </c>
      <c r="E133" s="47" t="str">
        <f t="shared" si="1"/>
        <v>Wednesday</v>
      </c>
      <c r="F133" s="47" t="s">
        <v>16</v>
      </c>
      <c r="G133" s="43" t="s">
        <v>36</v>
      </c>
      <c r="H133" s="47" t="s">
        <v>37</v>
      </c>
      <c r="I133" s="48">
        <v>2</v>
      </c>
      <c r="J133" s="49">
        <v>3000</v>
      </c>
      <c r="K133" s="49">
        <v>6000</v>
      </c>
      <c r="L133" s="47" t="s">
        <v>32</v>
      </c>
      <c r="M133" s="46">
        <v>0</v>
      </c>
      <c r="N133" s="48">
        <v>4</v>
      </c>
      <c r="O133" s="47" t="s">
        <v>33</v>
      </c>
    </row>
    <row r="134" ht="14.25" customHeight="1" spans="1:15">
      <c r="A134" s="43" t="s">
        <v>409</v>
      </c>
      <c r="B134" s="44">
        <v>46071</v>
      </c>
      <c r="C134" s="45">
        <v>0.892361111111111</v>
      </c>
      <c r="D134" s="46">
        <f t="shared" si="0"/>
        <v>21</v>
      </c>
      <c r="E134" s="47" t="str">
        <f t="shared" si="1"/>
        <v>Wednesday</v>
      </c>
      <c r="F134" s="47" t="s">
        <v>107</v>
      </c>
      <c r="G134" s="47" t="s">
        <v>27</v>
      </c>
      <c r="H134" s="43" t="s">
        <v>28</v>
      </c>
      <c r="I134" s="48">
        <v>2</v>
      </c>
      <c r="J134" s="49">
        <v>15000</v>
      </c>
      <c r="K134" s="49">
        <v>30000</v>
      </c>
      <c r="L134" s="47" t="s">
        <v>22</v>
      </c>
      <c r="M134" s="46">
        <v>0</v>
      </c>
      <c r="N134" s="48">
        <v>5</v>
      </c>
      <c r="O134" s="47" t="s">
        <v>47</v>
      </c>
    </row>
    <row r="135" ht="14.25" customHeight="1" spans="1:15">
      <c r="A135" s="43" t="s">
        <v>410</v>
      </c>
      <c r="B135" s="44">
        <v>46072</v>
      </c>
      <c r="C135" s="45">
        <v>0.50625</v>
      </c>
      <c r="D135" s="46">
        <f t="shared" si="0"/>
        <v>12</v>
      </c>
      <c r="E135" s="47" t="str">
        <f t="shared" si="1"/>
        <v>Thursday</v>
      </c>
      <c r="F135" s="47" t="s">
        <v>16</v>
      </c>
      <c r="G135" s="47" t="s">
        <v>63</v>
      </c>
      <c r="H135" s="43" t="s">
        <v>18</v>
      </c>
      <c r="I135" s="48">
        <v>1</v>
      </c>
      <c r="J135" s="49">
        <v>1500</v>
      </c>
      <c r="K135" s="49">
        <v>1500</v>
      </c>
      <c r="L135" s="47" t="s">
        <v>22</v>
      </c>
      <c r="M135" s="46">
        <v>0</v>
      </c>
      <c r="N135" s="48" t="s">
        <v>23</v>
      </c>
      <c r="O135" s="47" t="s">
        <v>47</v>
      </c>
    </row>
    <row r="136" ht="14.25" customHeight="1" spans="1:15">
      <c r="A136" s="43" t="s">
        <v>413</v>
      </c>
      <c r="B136" s="44">
        <v>46072</v>
      </c>
      <c r="C136" s="45">
        <v>0.623611111111111</v>
      </c>
      <c r="D136" s="46">
        <f t="shared" si="0"/>
        <v>14</v>
      </c>
      <c r="E136" s="47" t="str">
        <f t="shared" si="1"/>
        <v>Thursday</v>
      </c>
      <c r="F136" s="47" t="s">
        <v>16</v>
      </c>
      <c r="G136" s="47" t="s">
        <v>95</v>
      </c>
      <c r="H136" s="43" t="s">
        <v>45</v>
      </c>
      <c r="I136" s="48">
        <v>1</v>
      </c>
      <c r="J136" s="49">
        <v>5000</v>
      </c>
      <c r="K136" s="50">
        <v>5000</v>
      </c>
      <c r="L136" s="47" t="s">
        <v>22</v>
      </c>
      <c r="M136" s="46">
        <v>0</v>
      </c>
      <c r="N136" s="48">
        <v>3</v>
      </c>
      <c r="O136" s="47" t="s">
        <v>40</v>
      </c>
    </row>
    <row r="137" ht="14.25" customHeight="1" spans="1:15">
      <c r="A137" s="43" t="s">
        <v>417</v>
      </c>
      <c r="B137" s="44">
        <v>46072</v>
      </c>
      <c r="C137" s="45">
        <v>0.630555555555556</v>
      </c>
      <c r="D137" s="46">
        <f t="shared" si="0"/>
        <v>15</v>
      </c>
      <c r="E137" s="47" t="str">
        <f t="shared" si="1"/>
        <v>Thursday</v>
      </c>
      <c r="F137" s="47" t="s">
        <v>16</v>
      </c>
      <c r="G137" s="47" t="s">
        <v>81</v>
      </c>
      <c r="H137" s="43" t="str">
        <f>VLOOKUP(G137,'02_Menu_Lookup'!$A$2:$C$16,2,FALSE)</f>
        <v>Sandwiches</v>
      </c>
      <c r="I137" s="48">
        <v>2</v>
      </c>
      <c r="J137" s="49">
        <f>K137/I137</f>
        <v>6000</v>
      </c>
      <c r="K137" s="49">
        <v>12000</v>
      </c>
      <c r="L137" s="47" t="s">
        <v>22</v>
      </c>
      <c r="M137" s="46">
        <v>0</v>
      </c>
      <c r="N137" s="48">
        <v>5</v>
      </c>
      <c r="O137" s="47" t="s">
        <v>47</v>
      </c>
    </row>
    <row r="138" ht="14.25" customHeight="1" spans="1:15">
      <c r="A138" s="43" t="s">
        <v>419</v>
      </c>
      <c r="B138" s="44">
        <v>46072</v>
      </c>
      <c r="C138" s="45">
        <v>0.797916666666667</v>
      </c>
      <c r="D138" s="46">
        <f t="shared" si="0"/>
        <v>19</v>
      </c>
      <c r="E138" s="47" t="str">
        <f t="shared" si="1"/>
        <v>Thursday</v>
      </c>
      <c r="F138" s="47" t="s">
        <v>16</v>
      </c>
      <c r="G138" s="47" t="s">
        <v>367</v>
      </c>
      <c r="H138" s="43" t="s">
        <v>109</v>
      </c>
      <c r="I138" s="48">
        <v>2</v>
      </c>
      <c r="J138" s="49">
        <v>7000</v>
      </c>
      <c r="K138" s="49">
        <v>14000</v>
      </c>
      <c r="L138" s="47" t="s">
        <v>22</v>
      </c>
      <c r="M138" s="46">
        <v>0</v>
      </c>
      <c r="N138" s="48">
        <v>4</v>
      </c>
      <c r="O138" s="47" t="s">
        <v>47</v>
      </c>
    </row>
    <row r="139" ht="14.25" customHeight="1" spans="1:15">
      <c r="A139" s="43" t="s">
        <v>420</v>
      </c>
      <c r="B139" s="44">
        <v>46072</v>
      </c>
      <c r="C139" s="45">
        <v>0.886805555555556</v>
      </c>
      <c r="D139" s="46">
        <f t="shared" si="0"/>
        <v>21</v>
      </c>
      <c r="E139" s="47" t="str">
        <f t="shared" si="1"/>
        <v>Thursday</v>
      </c>
      <c r="F139" s="47" t="s">
        <v>43</v>
      </c>
      <c r="G139" s="47" t="s">
        <v>17</v>
      </c>
      <c r="H139" s="43" t="s">
        <v>18</v>
      </c>
      <c r="I139" s="48">
        <v>1</v>
      </c>
      <c r="J139" s="49">
        <v>1000</v>
      </c>
      <c r="K139" s="49">
        <v>1000</v>
      </c>
      <c r="L139" s="47" t="s">
        <v>22</v>
      </c>
      <c r="M139" s="46">
        <v>0</v>
      </c>
      <c r="N139" s="48">
        <v>4</v>
      </c>
      <c r="O139" s="47" t="s">
        <v>47</v>
      </c>
    </row>
    <row r="140" ht="14.25" customHeight="1" spans="1:15">
      <c r="A140" s="43" t="s">
        <v>421</v>
      </c>
      <c r="B140" s="44">
        <v>46072</v>
      </c>
      <c r="C140" s="45">
        <v>0.947222222222222</v>
      </c>
      <c r="D140" s="46">
        <f t="shared" si="0"/>
        <v>22</v>
      </c>
      <c r="E140" s="47" t="str">
        <f t="shared" si="1"/>
        <v>Thursday</v>
      </c>
      <c r="F140" s="47" t="s">
        <v>16</v>
      </c>
      <c r="G140" s="43" t="s">
        <v>165</v>
      </c>
      <c r="H140" s="43" t="s">
        <v>109</v>
      </c>
      <c r="I140" s="48">
        <v>1</v>
      </c>
      <c r="J140" s="49">
        <v>6000</v>
      </c>
      <c r="K140" s="49">
        <v>6000</v>
      </c>
      <c r="L140" s="47" t="s">
        <v>22</v>
      </c>
      <c r="M140" s="46">
        <v>0</v>
      </c>
      <c r="N140" s="48" t="s">
        <v>23</v>
      </c>
      <c r="O140" s="47" t="s">
        <v>24</v>
      </c>
    </row>
    <row r="141" ht="14.25" customHeight="1" spans="1:15">
      <c r="A141" s="43" t="s">
        <v>422</v>
      </c>
      <c r="B141" s="44">
        <v>46073</v>
      </c>
      <c r="C141" s="45">
        <v>0.560416666666667</v>
      </c>
      <c r="D141" s="46">
        <f t="shared" si="0"/>
        <v>13</v>
      </c>
      <c r="E141" s="47" t="str">
        <f t="shared" si="1"/>
        <v>Friday</v>
      </c>
      <c r="F141" s="47" t="s">
        <v>16</v>
      </c>
      <c r="G141" s="47" t="s">
        <v>50</v>
      </c>
      <c r="H141" s="43" t="s">
        <v>28</v>
      </c>
      <c r="I141" s="48">
        <v>2</v>
      </c>
      <c r="J141" s="49">
        <v>25000</v>
      </c>
      <c r="K141" s="49">
        <v>50000</v>
      </c>
      <c r="L141" s="47" t="s">
        <v>32</v>
      </c>
      <c r="M141" s="46">
        <v>0</v>
      </c>
      <c r="N141" s="48">
        <v>5</v>
      </c>
      <c r="O141" s="47" t="s">
        <v>73</v>
      </c>
    </row>
    <row r="142" ht="14.25" customHeight="1" spans="1:15">
      <c r="A142" s="43" t="s">
        <v>426</v>
      </c>
      <c r="B142" s="44">
        <v>46073</v>
      </c>
      <c r="C142" s="45">
        <v>0.838888888888889</v>
      </c>
      <c r="D142" s="46">
        <f t="shared" si="0"/>
        <v>20</v>
      </c>
      <c r="E142" s="47" t="str">
        <f t="shared" si="1"/>
        <v>Friday</v>
      </c>
      <c r="F142" s="47" t="s">
        <v>16</v>
      </c>
      <c r="G142" s="47" t="s">
        <v>44</v>
      </c>
      <c r="H142" s="43" t="s">
        <v>45</v>
      </c>
      <c r="I142" s="48">
        <v>1</v>
      </c>
      <c r="J142" s="49">
        <v>4000</v>
      </c>
      <c r="K142" s="49">
        <v>4000</v>
      </c>
      <c r="L142" s="47" t="s">
        <v>22</v>
      </c>
      <c r="M142" s="46">
        <v>0</v>
      </c>
      <c r="N142" s="48">
        <v>4</v>
      </c>
      <c r="O142" s="47" t="s">
        <v>47</v>
      </c>
    </row>
    <row r="143" ht="14.25" customHeight="1" spans="1:15">
      <c r="A143" s="43" t="s">
        <v>429</v>
      </c>
      <c r="B143" s="44">
        <v>46073</v>
      </c>
      <c r="C143" s="45">
        <v>0.847222222222222</v>
      </c>
      <c r="D143" s="46">
        <f t="shared" si="0"/>
        <v>20</v>
      </c>
      <c r="E143" s="47" t="str">
        <f t="shared" si="1"/>
        <v>Friday</v>
      </c>
      <c r="F143" s="47" t="s">
        <v>107</v>
      </c>
      <c r="G143" s="47" t="s">
        <v>27</v>
      </c>
      <c r="H143" s="43" t="s">
        <v>28</v>
      </c>
      <c r="I143" s="48">
        <v>1</v>
      </c>
      <c r="J143" s="49">
        <v>15000</v>
      </c>
      <c r="K143" s="49">
        <v>15000</v>
      </c>
      <c r="L143" s="47" t="s">
        <v>22</v>
      </c>
      <c r="M143" s="46">
        <v>0</v>
      </c>
      <c r="N143" s="48">
        <v>4</v>
      </c>
      <c r="O143" s="47" t="s">
        <v>40</v>
      </c>
    </row>
    <row r="144" ht="14.25" customHeight="1" spans="1:15">
      <c r="A144" s="43" t="s">
        <v>431</v>
      </c>
      <c r="B144" s="44">
        <v>46073</v>
      </c>
      <c r="C144" s="45">
        <v>0.861111111111111</v>
      </c>
      <c r="D144" s="46">
        <f t="shared" si="0"/>
        <v>20</v>
      </c>
      <c r="E144" s="47" t="str">
        <f t="shared" si="1"/>
        <v>Friday</v>
      </c>
      <c r="F144" s="47" t="s">
        <v>16</v>
      </c>
      <c r="G144" s="47" t="s">
        <v>81</v>
      </c>
      <c r="H144" s="47" t="s">
        <v>37</v>
      </c>
      <c r="I144" s="48">
        <v>2</v>
      </c>
      <c r="J144" s="49">
        <v>6000</v>
      </c>
      <c r="K144" s="49">
        <v>12000</v>
      </c>
      <c r="L144" s="47" t="s">
        <v>22</v>
      </c>
      <c r="M144" s="46">
        <v>0</v>
      </c>
      <c r="N144" s="48" t="s">
        <v>23</v>
      </c>
      <c r="O144" s="47" t="s">
        <v>33</v>
      </c>
    </row>
    <row r="145" ht="14.25" customHeight="1" spans="1:15">
      <c r="A145" s="43" t="s">
        <v>433</v>
      </c>
      <c r="B145" s="44">
        <v>46073</v>
      </c>
      <c r="C145" s="45">
        <v>0.866666666666667</v>
      </c>
      <c r="D145" s="46">
        <f t="shared" si="0"/>
        <v>20</v>
      </c>
      <c r="E145" s="47" t="str">
        <f t="shared" si="1"/>
        <v>Friday</v>
      </c>
      <c r="F145" s="47" t="s">
        <v>16</v>
      </c>
      <c r="G145" s="43" t="s">
        <v>36</v>
      </c>
      <c r="H145" s="43" t="s">
        <v>37</v>
      </c>
      <c r="I145" s="48">
        <v>2</v>
      </c>
      <c r="J145" s="49">
        <v>3000</v>
      </c>
      <c r="K145" s="50">
        <v>5400</v>
      </c>
      <c r="L145" s="47" t="s">
        <v>22</v>
      </c>
      <c r="M145" s="51">
        <v>0.1</v>
      </c>
      <c r="N145" s="48" t="s">
        <v>23</v>
      </c>
      <c r="O145" s="47" t="s">
        <v>24</v>
      </c>
    </row>
    <row r="146" ht="14.25" customHeight="1" spans="1:15">
      <c r="A146" s="43" t="s">
        <v>434</v>
      </c>
      <c r="B146" s="44">
        <v>46073</v>
      </c>
      <c r="C146" s="45">
        <v>0.884722222222222</v>
      </c>
      <c r="D146" s="46">
        <f t="shared" si="0"/>
        <v>21</v>
      </c>
      <c r="E146" s="47" t="str">
        <f t="shared" si="1"/>
        <v>Friday</v>
      </c>
      <c r="F146" s="47" t="s">
        <v>107</v>
      </c>
      <c r="G146" s="47" t="s">
        <v>63</v>
      </c>
      <c r="H146" s="43" t="s">
        <v>18</v>
      </c>
      <c r="I146" s="48">
        <v>2</v>
      </c>
      <c r="J146" s="49">
        <v>1500</v>
      </c>
      <c r="K146" s="49">
        <v>3000</v>
      </c>
      <c r="L146" s="47" t="s">
        <v>22</v>
      </c>
      <c r="M146" s="46">
        <v>0</v>
      </c>
      <c r="N146" s="48" t="s">
        <v>23</v>
      </c>
      <c r="O146" s="47" t="s">
        <v>24</v>
      </c>
    </row>
    <row r="147" ht="14.25" customHeight="1" spans="1:15">
      <c r="A147" s="43" t="s">
        <v>438</v>
      </c>
      <c r="B147" s="44">
        <v>46073</v>
      </c>
      <c r="C147" s="45">
        <v>0.888888888888889</v>
      </c>
      <c r="D147" s="46">
        <f t="shared" si="0"/>
        <v>21</v>
      </c>
      <c r="E147" s="47" t="str">
        <f t="shared" si="1"/>
        <v>Friday</v>
      </c>
      <c r="F147" s="47" t="s">
        <v>107</v>
      </c>
      <c r="G147" s="43" t="s">
        <v>199</v>
      </c>
      <c r="H147" s="43" t="s">
        <v>18</v>
      </c>
      <c r="I147" s="48">
        <v>1</v>
      </c>
      <c r="J147" s="49">
        <v>3000</v>
      </c>
      <c r="K147" s="49">
        <v>3000</v>
      </c>
      <c r="L147" s="47" t="s">
        <v>22</v>
      </c>
      <c r="M147" s="46">
        <v>0</v>
      </c>
      <c r="N147" s="48" t="s">
        <v>23</v>
      </c>
      <c r="O147" s="47" t="s">
        <v>24</v>
      </c>
    </row>
    <row r="148" ht="14.25" customHeight="1" spans="1:15">
      <c r="A148" s="43" t="s">
        <v>439</v>
      </c>
      <c r="B148" s="44">
        <v>46074</v>
      </c>
      <c r="C148" s="45">
        <v>0.992361111111111</v>
      </c>
      <c r="D148" s="46">
        <f t="shared" si="0"/>
        <v>23</v>
      </c>
      <c r="E148" s="47" t="str">
        <f t="shared" si="1"/>
        <v>Saturday</v>
      </c>
      <c r="F148" s="47" t="s">
        <v>16</v>
      </c>
      <c r="G148" s="47" t="s">
        <v>44</v>
      </c>
      <c r="H148" s="43" t="s">
        <v>45</v>
      </c>
      <c r="I148" s="48">
        <v>3</v>
      </c>
      <c r="J148" s="49">
        <f>K148/I148</f>
        <v>4000</v>
      </c>
      <c r="K148" s="49">
        <v>12000</v>
      </c>
      <c r="L148" s="47" t="s">
        <v>22</v>
      </c>
      <c r="M148" s="46">
        <v>0</v>
      </c>
      <c r="N148" s="48" t="s">
        <v>23</v>
      </c>
      <c r="O148" s="47" t="s">
        <v>73</v>
      </c>
    </row>
    <row r="149" ht="14.25" customHeight="1" spans="1:15">
      <c r="A149" s="43" t="s">
        <v>441</v>
      </c>
      <c r="B149" s="44">
        <v>46073</v>
      </c>
      <c r="C149" s="45">
        <v>0.957638888888889</v>
      </c>
      <c r="D149" s="46">
        <f t="shared" si="0"/>
        <v>22</v>
      </c>
      <c r="E149" s="47" t="str">
        <f t="shared" si="1"/>
        <v>Friday</v>
      </c>
      <c r="F149" s="47" t="s">
        <v>43</v>
      </c>
      <c r="G149" s="47" t="s">
        <v>81</v>
      </c>
      <c r="H149" s="43" t="s">
        <v>37</v>
      </c>
      <c r="I149" s="48">
        <v>2</v>
      </c>
      <c r="J149" s="50">
        <v>6000</v>
      </c>
      <c r="K149" s="49">
        <v>12000</v>
      </c>
      <c r="L149" s="47" t="s">
        <v>22</v>
      </c>
      <c r="M149" s="46">
        <v>0</v>
      </c>
      <c r="N149" s="48" t="s">
        <v>23</v>
      </c>
      <c r="O149" s="47" t="s">
        <v>73</v>
      </c>
    </row>
    <row r="150" ht="14.25" customHeight="1" spans="1:15">
      <c r="A150" s="43" t="s">
        <v>444</v>
      </c>
      <c r="B150" s="44">
        <v>46074</v>
      </c>
      <c r="C150" s="45">
        <v>0.560416666666667</v>
      </c>
      <c r="D150" s="46">
        <f t="shared" si="0"/>
        <v>13</v>
      </c>
      <c r="E150" s="47" t="str">
        <f t="shared" si="1"/>
        <v>Saturday</v>
      </c>
      <c r="F150" s="47" t="s">
        <v>107</v>
      </c>
      <c r="G150" s="47" t="s">
        <v>63</v>
      </c>
      <c r="H150" s="43" t="s">
        <v>18</v>
      </c>
      <c r="I150" s="48">
        <v>2</v>
      </c>
      <c r="J150" s="49">
        <v>1500</v>
      </c>
      <c r="K150" s="49">
        <v>3000</v>
      </c>
      <c r="L150" s="47" t="s">
        <v>22</v>
      </c>
      <c r="M150" s="46">
        <v>0</v>
      </c>
      <c r="N150" s="48">
        <v>3</v>
      </c>
      <c r="O150" s="47" t="s">
        <v>33</v>
      </c>
    </row>
    <row r="151" ht="14.25" customHeight="1" spans="1:15">
      <c r="A151" s="43" t="s">
        <v>445</v>
      </c>
      <c r="B151" s="44">
        <v>46074</v>
      </c>
      <c r="C151" s="45">
        <v>0.563888888888889</v>
      </c>
      <c r="D151" s="46">
        <f t="shared" si="0"/>
        <v>13</v>
      </c>
      <c r="E151" s="47" t="str">
        <f t="shared" si="1"/>
        <v>Saturday</v>
      </c>
      <c r="F151" s="47" t="s">
        <v>16</v>
      </c>
      <c r="G151" s="47" t="s">
        <v>44</v>
      </c>
      <c r="H151" s="43" t="s">
        <v>45</v>
      </c>
      <c r="I151" s="48">
        <v>3</v>
      </c>
      <c r="J151" s="49">
        <f>K151/I151</f>
        <v>4000</v>
      </c>
      <c r="K151" s="49">
        <v>12000</v>
      </c>
      <c r="L151" s="47" t="s">
        <v>22</v>
      </c>
      <c r="M151" s="46">
        <v>0</v>
      </c>
      <c r="N151" s="48">
        <v>4</v>
      </c>
      <c r="O151" s="47" t="s">
        <v>24</v>
      </c>
    </row>
    <row r="152" ht="14.25" customHeight="1" spans="1:15">
      <c r="A152" s="43" t="s">
        <v>448</v>
      </c>
      <c r="B152" s="44">
        <v>46074</v>
      </c>
      <c r="C152" s="45">
        <v>0.606944444444444</v>
      </c>
      <c r="D152" s="46">
        <f t="shared" si="0"/>
        <v>14</v>
      </c>
      <c r="E152" s="47" t="str">
        <f t="shared" si="1"/>
        <v>Saturday</v>
      </c>
      <c r="F152" s="47" t="s">
        <v>107</v>
      </c>
      <c r="G152" s="47" t="s">
        <v>63</v>
      </c>
      <c r="H152" s="43" t="s">
        <v>18</v>
      </c>
      <c r="I152" s="48">
        <v>1</v>
      </c>
      <c r="J152" s="49">
        <v>1500</v>
      </c>
      <c r="K152" s="49">
        <v>1500</v>
      </c>
      <c r="L152" s="47" t="s">
        <v>22</v>
      </c>
      <c r="M152" s="46">
        <v>0</v>
      </c>
      <c r="N152" s="48" t="s">
        <v>23</v>
      </c>
      <c r="O152" s="47" t="s">
        <v>40</v>
      </c>
    </row>
    <row r="153" ht="14.25" customHeight="1" spans="1:15">
      <c r="A153" s="43" t="s">
        <v>450</v>
      </c>
      <c r="B153" s="44">
        <v>46074</v>
      </c>
      <c r="C153" s="45">
        <v>0.619444444444444</v>
      </c>
      <c r="D153" s="46">
        <f t="shared" si="0"/>
        <v>14</v>
      </c>
      <c r="E153" s="47" t="str">
        <f t="shared" si="1"/>
        <v>Saturday</v>
      </c>
      <c r="F153" s="47" t="s">
        <v>16</v>
      </c>
      <c r="G153" s="47" t="s">
        <v>146</v>
      </c>
      <c r="H153" s="43" t="s">
        <v>28</v>
      </c>
      <c r="I153" s="48">
        <v>1</v>
      </c>
      <c r="J153" s="49">
        <v>16000</v>
      </c>
      <c r="K153" s="49">
        <v>16000</v>
      </c>
      <c r="L153" s="47" t="s">
        <v>22</v>
      </c>
      <c r="M153" s="46">
        <v>0</v>
      </c>
      <c r="N153" s="48" t="s">
        <v>23</v>
      </c>
      <c r="O153" s="47" t="s">
        <v>73</v>
      </c>
    </row>
    <row r="154" ht="14.25" customHeight="1" spans="1:15">
      <c r="A154" s="43" t="s">
        <v>452</v>
      </c>
      <c r="B154" s="44">
        <v>46074</v>
      </c>
      <c r="C154" s="45">
        <v>0.81875</v>
      </c>
      <c r="D154" s="46">
        <f t="shared" si="0"/>
        <v>19</v>
      </c>
      <c r="E154" s="47" t="str">
        <f t="shared" si="1"/>
        <v>Saturday</v>
      </c>
      <c r="F154" s="47" t="s">
        <v>16</v>
      </c>
      <c r="G154" s="43" t="s">
        <v>36</v>
      </c>
      <c r="H154" s="47" t="s">
        <v>37</v>
      </c>
      <c r="I154" s="48">
        <v>2</v>
      </c>
      <c r="J154" s="49">
        <v>3000</v>
      </c>
      <c r="K154" s="50">
        <v>4800</v>
      </c>
      <c r="L154" s="47" t="s">
        <v>22</v>
      </c>
      <c r="M154" s="51">
        <v>0.2</v>
      </c>
      <c r="N154" s="48" t="s">
        <v>23</v>
      </c>
      <c r="O154" s="47" t="s">
        <v>47</v>
      </c>
    </row>
    <row r="155" ht="14.25" customHeight="1" spans="1:15">
      <c r="A155" s="43" t="s">
        <v>455</v>
      </c>
      <c r="B155" s="44">
        <v>46074</v>
      </c>
      <c r="C155" s="45">
        <v>0.820833333333333</v>
      </c>
      <c r="D155" s="46">
        <f t="shared" si="0"/>
        <v>19</v>
      </c>
      <c r="E155" s="47" t="str">
        <f t="shared" si="1"/>
        <v>Saturday</v>
      </c>
      <c r="F155" s="47" t="s">
        <v>16</v>
      </c>
      <c r="G155" s="47" t="s">
        <v>63</v>
      </c>
      <c r="H155" s="43" t="s">
        <v>18</v>
      </c>
      <c r="I155" s="48">
        <v>2</v>
      </c>
      <c r="J155" s="49">
        <v>1500</v>
      </c>
      <c r="K155" s="49">
        <v>3000</v>
      </c>
      <c r="L155" s="47" t="s">
        <v>22</v>
      </c>
      <c r="M155" s="46">
        <v>0</v>
      </c>
      <c r="N155" s="48">
        <v>4</v>
      </c>
      <c r="O155" s="47" t="s">
        <v>24</v>
      </c>
    </row>
    <row r="156" ht="14.25" customHeight="1" spans="1:15">
      <c r="A156" s="43" t="s">
        <v>457</v>
      </c>
      <c r="B156" s="44">
        <v>46074</v>
      </c>
      <c r="C156" s="45">
        <v>0.839583333333333</v>
      </c>
      <c r="D156" s="46">
        <f t="shared" si="0"/>
        <v>20</v>
      </c>
      <c r="E156" s="47" t="str">
        <f t="shared" si="1"/>
        <v>Saturday</v>
      </c>
      <c r="F156" s="47" t="s">
        <v>16</v>
      </c>
      <c r="G156" s="47" t="s">
        <v>44</v>
      </c>
      <c r="H156" s="43" t="s">
        <v>45</v>
      </c>
      <c r="I156" s="48">
        <v>1</v>
      </c>
      <c r="J156" s="49">
        <v>4000</v>
      </c>
      <c r="K156" s="49">
        <v>4000</v>
      </c>
      <c r="L156" s="47" t="s">
        <v>22</v>
      </c>
      <c r="M156" s="46">
        <v>0</v>
      </c>
      <c r="N156" s="48" t="s">
        <v>23</v>
      </c>
      <c r="O156" s="47" t="s">
        <v>40</v>
      </c>
    </row>
    <row r="157" ht="14.25" customHeight="1" spans="1:15">
      <c r="A157" s="43" t="s">
        <v>460</v>
      </c>
      <c r="B157" s="44">
        <v>46074</v>
      </c>
      <c r="C157" s="45">
        <v>0.839583333333333</v>
      </c>
      <c r="D157" s="46">
        <f t="shared" si="0"/>
        <v>20</v>
      </c>
      <c r="E157" s="47" t="str">
        <f t="shared" si="1"/>
        <v>Saturday</v>
      </c>
      <c r="F157" s="47" t="s">
        <v>16</v>
      </c>
      <c r="G157" s="43" t="s">
        <v>199</v>
      </c>
      <c r="H157" s="43" t="s">
        <v>18</v>
      </c>
      <c r="I157" s="48">
        <v>1</v>
      </c>
      <c r="J157" s="49">
        <v>3000</v>
      </c>
      <c r="K157" s="49">
        <v>3000</v>
      </c>
      <c r="L157" s="47" t="s">
        <v>22</v>
      </c>
      <c r="M157" s="46">
        <v>0</v>
      </c>
      <c r="N157" s="48">
        <v>5</v>
      </c>
      <c r="O157" s="47" t="s">
        <v>40</v>
      </c>
    </row>
    <row r="158" ht="14.25" customHeight="1" spans="1:15">
      <c r="A158" s="43" t="s">
        <v>461</v>
      </c>
      <c r="B158" s="44">
        <v>46074</v>
      </c>
      <c r="C158" s="45">
        <v>0.884722222222222</v>
      </c>
      <c r="D158" s="46">
        <f t="shared" si="0"/>
        <v>21</v>
      </c>
      <c r="E158" s="47" t="str">
        <f t="shared" si="1"/>
        <v>Saturday</v>
      </c>
      <c r="F158" s="47" t="s">
        <v>16</v>
      </c>
      <c r="G158" s="47" t="s">
        <v>17</v>
      </c>
      <c r="H158" s="43" t="s">
        <v>18</v>
      </c>
      <c r="I158" s="48">
        <v>1</v>
      </c>
      <c r="J158" s="49">
        <v>1000</v>
      </c>
      <c r="K158" s="50">
        <v>900</v>
      </c>
      <c r="L158" s="47" t="s">
        <v>22</v>
      </c>
      <c r="M158" s="51">
        <v>0.1</v>
      </c>
      <c r="N158" s="48">
        <v>5</v>
      </c>
      <c r="O158" s="47" t="s">
        <v>47</v>
      </c>
    </row>
    <row r="159" ht="14.25" customHeight="1" spans="1:15">
      <c r="A159" s="43" t="s">
        <v>463</v>
      </c>
      <c r="B159" s="44">
        <v>46074</v>
      </c>
      <c r="C159" s="45">
        <v>0.890277777777778</v>
      </c>
      <c r="D159" s="46">
        <f t="shared" si="0"/>
        <v>21</v>
      </c>
      <c r="E159" s="47" t="str">
        <f t="shared" si="1"/>
        <v>Saturday</v>
      </c>
      <c r="F159" s="47" t="s">
        <v>16</v>
      </c>
      <c r="G159" s="47" t="s">
        <v>146</v>
      </c>
      <c r="H159" s="43" t="s">
        <v>28</v>
      </c>
      <c r="I159" s="48">
        <v>1</v>
      </c>
      <c r="J159" s="49">
        <f t="shared" ref="J159:J160" si="3">K159/I159</f>
        <v>16000</v>
      </c>
      <c r="K159" s="49">
        <v>16000</v>
      </c>
      <c r="L159" s="47" t="s">
        <v>32</v>
      </c>
      <c r="M159" s="46">
        <v>0</v>
      </c>
      <c r="N159" s="48" t="s">
        <v>23</v>
      </c>
      <c r="O159" s="47" t="s">
        <v>33</v>
      </c>
    </row>
    <row r="160" ht="14.25" customHeight="1" spans="1:15">
      <c r="A160" s="43" t="s">
        <v>464</v>
      </c>
      <c r="B160" s="44">
        <v>46074</v>
      </c>
      <c r="C160" s="45">
        <v>0.894444444444444</v>
      </c>
      <c r="D160" s="46">
        <f t="shared" si="0"/>
        <v>21</v>
      </c>
      <c r="E160" s="47" t="str">
        <f t="shared" si="1"/>
        <v>Saturday</v>
      </c>
      <c r="F160" s="47" t="s">
        <v>16</v>
      </c>
      <c r="G160" s="47" t="s">
        <v>103</v>
      </c>
      <c r="H160" s="43" t="s">
        <v>37</v>
      </c>
      <c r="I160" s="48">
        <v>1</v>
      </c>
      <c r="J160" s="49">
        <f t="shared" si="3"/>
        <v>5000</v>
      </c>
      <c r="K160" s="49">
        <v>5000</v>
      </c>
      <c r="L160" s="47" t="s">
        <v>32</v>
      </c>
      <c r="M160" s="46">
        <v>0</v>
      </c>
      <c r="N160" s="48">
        <v>4</v>
      </c>
      <c r="O160" s="47" t="s">
        <v>73</v>
      </c>
    </row>
    <row r="161" ht="14.25" customHeight="1" spans="1:15">
      <c r="A161" s="43" t="s">
        <v>467</v>
      </c>
      <c r="B161" s="44">
        <v>46074</v>
      </c>
      <c r="C161" s="45">
        <v>0.926388888888889</v>
      </c>
      <c r="D161" s="46">
        <f t="shared" si="0"/>
        <v>22</v>
      </c>
      <c r="E161" s="47" t="str">
        <f t="shared" si="1"/>
        <v>Saturday</v>
      </c>
      <c r="F161" s="47" t="s">
        <v>16</v>
      </c>
      <c r="G161" s="47" t="s">
        <v>17</v>
      </c>
      <c r="H161" s="43" t="s">
        <v>18</v>
      </c>
      <c r="I161" s="48">
        <v>1</v>
      </c>
      <c r="J161" s="49">
        <v>1000</v>
      </c>
      <c r="K161" s="49">
        <v>1000</v>
      </c>
      <c r="L161" s="47" t="s">
        <v>32</v>
      </c>
      <c r="M161" s="46">
        <v>0</v>
      </c>
      <c r="N161" s="48" t="s">
        <v>23</v>
      </c>
      <c r="O161" s="47" t="s">
        <v>33</v>
      </c>
    </row>
    <row r="162" ht="14.25" customHeight="1" spans="1:15">
      <c r="A162" s="43" t="s">
        <v>469</v>
      </c>
      <c r="B162" s="44">
        <v>46074</v>
      </c>
      <c r="C162" s="45">
        <v>0.938888888888889</v>
      </c>
      <c r="D162" s="46">
        <f t="shared" si="0"/>
        <v>22</v>
      </c>
      <c r="E162" s="47" t="str">
        <f t="shared" si="1"/>
        <v>Saturday</v>
      </c>
      <c r="F162" s="47" t="s">
        <v>16</v>
      </c>
      <c r="G162" s="47" t="s">
        <v>81</v>
      </c>
      <c r="H162" s="43" t="s">
        <v>37</v>
      </c>
      <c r="I162" s="48">
        <v>1</v>
      </c>
      <c r="J162" s="49">
        <v>6000</v>
      </c>
      <c r="K162" s="49">
        <v>6000</v>
      </c>
      <c r="L162" s="47" t="s">
        <v>22</v>
      </c>
      <c r="M162" s="46">
        <v>0</v>
      </c>
      <c r="N162" s="48" t="s">
        <v>23</v>
      </c>
      <c r="O162" s="47" t="s">
        <v>73</v>
      </c>
    </row>
    <row r="163" ht="14.25" customHeight="1" spans="1:15">
      <c r="A163" s="43" t="s">
        <v>472</v>
      </c>
      <c r="B163" s="44">
        <v>46074</v>
      </c>
      <c r="C163" s="45">
        <v>0.989583333333333</v>
      </c>
      <c r="D163" s="46">
        <f t="shared" si="0"/>
        <v>23</v>
      </c>
      <c r="E163" s="47" t="str">
        <f t="shared" si="1"/>
        <v>Saturday</v>
      </c>
      <c r="F163" s="47" t="s">
        <v>16</v>
      </c>
      <c r="G163" s="47" t="s">
        <v>146</v>
      </c>
      <c r="H163" s="43" t="s">
        <v>28</v>
      </c>
      <c r="I163" s="48">
        <v>2</v>
      </c>
      <c r="J163" s="49">
        <v>16000</v>
      </c>
      <c r="K163" s="49">
        <v>32000</v>
      </c>
      <c r="L163" s="47" t="s">
        <v>22</v>
      </c>
      <c r="M163" s="46">
        <v>0</v>
      </c>
      <c r="N163" s="48" t="s">
        <v>23</v>
      </c>
      <c r="O163" s="47" t="s">
        <v>33</v>
      </c>
    </row>
    <row r="164" ht="14.25" customHeight="1" spans="1:15">
      <c r="A164" s="43" t="s">
        <v>475</v>
      </c>
      <c r="B164" s="44">
        <v>46073</v>
      </c>
      <c r="C164" s="45">
        <v>0.9125</v>
      </c>
      <c r="D164" s="46">
        <f t="shared" si="0"/>
        <v>21</v>
      </c>
      <c r="E164" s="47" t="str">
        <f t="shared" si="1"/>
        <v>Friday</v>
      </c>
      <c r="F164" s="47" t="s">
        <v>16</v>
      </c>
      <c r="G164" s="47" t="s">
        <v>81</v>
      </c>
      <c r="H164" s="43" t="s">
        <v>37</v>
      </c>
      <c r="I164" s="48">
        <v>1</v>
      </c>
      <c r="J164" s="49">
        <f t="shared" ref="J164:J165" si="4">K164/I164</f>
        <v>6000</v>
      </c>
      <c r="K164" s="49">
        <v>6000</v>
      </c>
      <c r="L164" s="47" t="s">
        <v>22</v>
      </c>
      <c r="M164" s="46">
        <v>0</v>
      </c>
      <c r="N164" s="48" t="s">
        <v>23</v>
      </c>
      <c r="O164" s="47" t="s">
        <v>47</v>
      </c>
    </row>
    <row r="165" ht="14.25" customHeight="1" spans="1:15">
      <c r="A165" s="43" t="s">
        <v>476</v>
      </c>
      <c r="B165" s="44">
        <v>46075</v>
      </c>
      <c r="C165" s="45">
        <v>0.472916666666667</v>
      </c>
      <c r="D165" s="46">
        <f t="shared" si="0"/>
        <v>11</v>
      </c>
      <c r="E165" s="47" t="str">
        <f t="shared" si="1"/>
        <v>Sunday</v>
      </c>
      <c r="F165" s="47" t="s">
        <v>16</v>
      </c>
      <c r="G165" s="43" t="s">
        <v>36</v>
      </c>
      <c r="H165" s="43" t="s">
        <v>37</v>
      </c>
      <c r="I165" s="48">
        <v>1</v>
      </c>
      <c r="J165" s="49">
        <f t="shared" si="4"/>
        <v>3000</v>
      </c>
      <c r="K165" s="49">
        <v>3000</v>
      </c>
      <c r="L165" s="47" t="s">
        <v>22</v>
      </c>
      <c r="M165" s="46">
        <v>0</v>
      </c>
      <c r="N165" s="48">
        <v>3</v>
      </c>
      <c r="O165" s="47" t="s">
        <v>47</v>
      </c>
    </row>
    <row r="166" ht="14.25" customHeight="1" spans="1:15">
      <c r="A166" s="43" t="s">
        <v>479</v>
      </c>
      <c r="B166" s="44">
        <v>46075</v>
      </c>
      <c r="C166" s="45">
        <v>0.581944444444444</v>
      </c>
      <c r="D166" s="46">
        <f t="shared" si="0"/>
        <v>13</v>
      </c>
      <c r="E166" s="47" t="str">
        <f t="shared" si="1"/>
        <v>Sunday</v>
      </c>
      <c r="F166" s="47" t="s">
        <v>16</v>
      </c>
      <c r="G166" s="43" t="s">
        <v>165</v>
      </c>
      <c r="H166" s="43" t="s">
        <v>109</v>
      </c>
      <c r="I166" s="48">
        <v>1</v>
      </c>
      <c r="J166" s="49">
        <v>6000</v>
      </c>
      <c r="K166" s="50">
        <v>5400</v>
      </c>
      <c r="L166" s="47" t="s">
        <v>22</v>
      </c>
      <c r="M166" s="51">
        <v>0.1</v>
      </c>
      <c r="N166" s="48" t="s">
        <v>23</v>
      </c>
      <c r="O166" s="47" t="s">
        <v>40</v>
      </c>
    </row>
    <row r="167" ht="14.25" customHeight="1" spans="1:15">
      <c r="A167" s="43" t="s">
        <v>481</v>
      </c>
      <c r="B167" s="44">
        <v>46075</v>
      </c>
      <c r="C167" s="45">
        <v>0.798611111111111</v>
      </c>
      <c r="D167" s="46">
        <f t="shared" si="0"/>
        <v>19</v>
      </c>
      <c r="E167" s="47" t="str">
        <f t="shared" si="1"/>
        <v>Sunday</v>
      </c>
      <c r="F167" s="47" t="s">
        <v>16</v>
      </c>
      <c r="G167" s="47" t="s">
        <v>63</v>
      </c>
      <c r="H167" s="43" t="s">
        <v>18</v>
      </c>
      <c r="I167" s="48">
        <v>2</v>
      </c>
      <c r="J167" s="49">
        <v>1500</v>
      </c>
      <c r="K167" s="49">
        <v>3000</v>
      </c>
      <c r="L167" s="47" t="s">
        <v>22</v>
      </c>
      <c r="M167" s="46">
        <v>0</v>
      </c>
      <c r="N167" s="48" t="s">
        <v>23</v>
      </c>
      <c r="O167" s="47" t="s">
        <v>73</v>
      </c>
    </row>
    <row r="168" ht="14.25" customHeight="1" spans="1:15">
      <c r="A168" s="43" t="s">
        <v>483</v>
      </c>
      <c r="B168" s="44">
        <v>46075</v>
      </c>
      <c r="C168" s="45">
        <v>0.858333333333333</v>
      </c>
      <c r="D168" s="46">
        <f t="shared" si="0"/>
        <v>20</v>
      </c>
      <c r="E168" s="47" t="str">
        <f t="shared" si="1"/>
        <v>Sunday</v>
      </c>
      <c r="F168" s="47" t="s">
        <v>16</v>
      </c>
      <c r="G168" s="47" t="s">
        <v>63</v>
      </c>
      <c r="H168" s="43" t="s">
        <v>18</v>
      </c>
      <c r="I168" s="48">
        <v>3</v>
      </c>
      <c r="J168" s="49">
        <v>1500</v>
      </c>
      <c r="K168" s="49">
        <v>4500</v>
      </c>
      <c r="L168" s="47" t="s">
        <v>32</v>
      </c>
      <c r="M168" s="46">
        <v>0</v>
      </c>
      <c r="N168" s="48" t="s">
        <v>23</v>
      </c>
      <c r="O168" s="47" t="s">
        <v>47</v>
      </c>
    </row>
    <row r="169" ht="14.25" customHeight="1" spans="1:15">
      <c r="A169" s="43" t="s">
        <v>486</v>
      </c>
      <c r="B169" s="44">
        <v>46075</v>
      </c>
      <c r="C169" s="45">
        <v>0.928472222222222</v>
      </c>
      <c r="D169" s="46">
        <f t="shared" si="0"/>
        <v>22</v>
      </c>
      <c r="E169" s="47" t="str">
        <f t="shared" si="1"/>
        <v>Sunday</v>
      </c>
      <c r="F169" s="47" t="s">
        <v>16</v>
      </c>
      <c r="G169" s="47" t="s">
        <v>103</v>
      </c>
      <c r="H169" s="43" t="s">
        <v>37</v>
      </c>
      <c r="I169" s="48">
        <v>1</v>
      </c>
      <c r="J169" s="49">
        <v>5000</v>
      </c>
      <c r="K169" s="49">
        <v>5000</v>
      </c>
      <c r="L169" s="47" t="s">
        <v>22</v>
      </c>
      <c r="M169" s="46">
        <v>0</v>
      </c>
      <c r="N169" s="48" t="s">
        <v>23</v>
      </c>
      <c r="O169" s="47" t="s">
        <v>47</v>
      </c>
    </row>
    <row r="170" ht="14.25" customHeight="1" spans="1:15">
      <c r="A170" s="43" t="s">
        <v>488</v>
      </c>
      <c r="B170" s="44">
        <v>46075</v>
      </c>
      <c r="C170" s="45">
        <v>0.932638888888889</v>
      </c>
      <c r="D170" s="46">
        <f t="shared" si="0"/>
        <v>22</v>
      </c>
      <c r="E170" s="47" t="str">
        <f t="shared" si="1"/>
        <v>Sunday</v>
      </c>
      <c r="F170" s="47" t="s">
        <v>16</v>
      </c>
      <c r="G170" s="47" t="s">
        <v>17</v>
      </c>
      <c r="H170" s="43" t="s">
        <v>18</v>
      </c>
      <c r="I170" s="48">
        <v>1</v>
      </c>
      <c r="J170" s="49">
        <v>1000</v>
      </c>
      <c r="K170" s="49">
        <v>1000</v>
      </c>
      <c r="L170" s="47" t="s">
        <v>22</v>
      </c>
      <c r="M170" s="46">
        <v>0</v>
      </c>
      <c r="N170" s="48" t="s">
        <v>23</v>
      </c>
      <c r="O170" s="47" t="s">
        <v>47</v>
      </c>
    </row>
    <row r="171" ht="14.25" customHeight="1" spans="1:15">
      <c r="A171" s="43" t="s">
        <v>491</v>
      </c>
      <c r="B171" s="44">
        <v>46076</v>
      </c>
      <c r="C171" s="45">
        <v>0.579166666666667</v>
      </c>
      <c r="D171" s="46">
        <f t="shared" si="0"/>
        <v>13</v>
      </c>
      <c r="E171" s="47" t="str">
        <f t="shared" si="1"/>
        <v>Monday</v>
      </c>
      <c r="F171" s="47" t="s">
        <v>107</v>
      </c>
      <c r="G171" s="47" t="s">
        <v>63</v>
      </c>
      <c r="H171" s="43" t="s">
        <v>18</v>
      </c>
      <c r="I171" s="48">
        <v>3</v>
      </c>
      <c r="J171" s="49">
        <v>1500</v>
      </c>
      <c r="K171" s="49">
        <v>4500</v>
      </c>
      <c r="L171" s="47" t="s">
        <v>22</v>
      </c>
      <c r="M171" s="46">
        <v>0</v>
      </c>
      <c r="N171" s="48" t="s">
        <v>23</v>
      </c>
      <c r="O171" s="47" t="s">
        <v>24</v>
      </c>
    </row>
    <row r="172" ht="14.25" customHeight="1" spans="1:15">
      <c r="A172" s="43" t="s">
        <v>494</v>
      </c>
      <c r="B172" s="44">
        <v>46076</v>
      </c>
      <c r="C172" s="45">
        <v>0.822916666666667</v>
      </c>
      <c r="D172" s="46">
        <f t="shared" si="0"/>
        <v>19</v>
      </c>
      <c r="E172" s="47" t="str">
        <f t="shared" si="1"/>
        <v>Monday</v>
      </c>
      <c r="F172" s="47" t="s">
        <v>107</v>
      </c>
      <c r="G172" s="47" t="s">
        <v>81</v>
      </c>
      <c r="H172" s="43" t="s">
        <v>37</v>
      </c>
      <c r="I172" s="48">
        <v>2</v>
      </c>
      <c r="J172" s="49">
        <v>6000</v>
      </c>
      <c r="K172" s="49">
        <v>12000</v>
      </c>
      <c r="L172" s="47" t="s">
        <v>22</v>
      </c>
      <c r="M172" s="46">
        <v>0</v>
      </c>
      <c r="N172" s="48" t="s">
        <v>23</v>
      </c>
      <c r="O172" s="47" t="s">
        <v>40</v>
      </c>
    </row>
    <row r="173" ht="14.25" customHeight="1" spans="1:15">
      <c r="A173" s="43" t="s">
        <v>497</v>
      </c>
      <c r="B173" s="44">
        <v>46076</v>
      </c>
      <c r="C173" s="45">
        <v>0.927777777777778</v>
      </c>
      <c r="D173" s="46">
        <f t="shared" si="0"/>
        <v>22</v>
      </c>
      <c r="E173" s="47" t="str">
        <f t="shared" si="1"/>
        <v>Monday</v>
      </c>
      <c r="F173" s="47" t="s">
        <v>43</v>
      </c>
      <c r="G173" s="43" t="s">
        <v>165</v>
      </c>
      <c r="H173" s="43" t="s">
        <v>109</v>
      </c>
      <c r="I173" s="48">
        <v>1</v>
      </c>
      <c r="J173" s="49">
        <v>6000</v>
      </c>
      <c r="K173" s="49">
        <v>6000</v>
      </c>
      <c r="L173" s="47" t="s">
        <v>22</v>
      </c>
      <c r="M173" s="46">
        <v>0</v>
      </c>
      <c r="N173" s="48" t="s">
        <v>23</v>
      </c>
      <c r="O173" s="47" t="s">
        <v>33</v>
      </c>
    </row>
    <row r="174" ht="14.25" customHeight="1" spans="1:15">
      <c r="A174" s="43" t="s">
        <v>499</v>
      </c>
      <c r="B174" s="44">
        <v>46076</v>
      </c>
      <c r="C174" s="45">
        <v>0.959027777777778</v>
      </c>
      <c r="D174" s="46">
        <f t="shared" si="0"/>
        <v>23</v>
      </c>
      <c r="E174" s="47" t="str">
        <f t="shared" si="1"/>
        <v>Monday</v>
      </c>
      <c r="F174" s="47" t="s">
        <v>107</v>
      </c>
      <c r="G174" s="47" t="s">
        <v>367</v>
      </c>
      <c r="H174" s="43" t="s">
        <v>109</v>
      </c>
      <c r="I174" s="48">
        <v>1</v>
      </c>
      <c r="J174" s="49">
        <v>7000</v>
      </c>
      <c r="K174" s="50">
        <v>5950</v>
      </c>
      <c r="L174" s="47" t="s">
        <v>22</v>
      </c>
      <c r="M174" s="51">
        <v>0.15</v>
      </c>
      <c r="N174" s="48" t="s">
        <v>23</v>
      </c>
      <c r="O174" s="47" t="s">
        <v>24</v>
      </c>
    </row>
    <row r="175" ht="14.25" customHeight="1" spans="1:15">
      <c r="A175" s="43" t="s">
        <v>501</v>
      </c>
      <c r="B175" s="44">
        <v>46077</v>
      </c>
      <c r="C175" s="45">
        <v>0.54375</v>
      </c>
      <c r="D175" s="46">
        <f t="shared" si="0"/>
        <v>13</v>
      </c>
      <c r="E175" s="47" t="str">
        <f t="shared" si="1"/>
        <v>Tuesday</v>
      </c>
      <c r="F175" s="47" t="s">
        <v>107</v>
      </c>
      <c r="G175" s="47" t="s">
        <v>17</v>
      </c>
      <c r="H175" s="43" t="s">
        <v>18</v>
      </c>
      <c r="I175" s="48">
        <v>2</v>
      </c>
      <c r="J175" s="49">
        <v>1000</v>
      </c>
      <c r="K175" s="49">
        <v>2000</v>
      </c>
      <c r="L175" s="47" t="s">
        <v>22</v>
      </c>
      <c r="M175" s="46">
        <v>0</v>
      </c>
      <c r="N175" s="48" t="s">
        <v>23</v>
      </c>
      <c r="O175" s="47" t="s">
        <v>47</v>
      </c>
    </row>
    <row r="176" ht="14.25" customHeight="1" spans="1:15">
      <c r="A176" s="43" t="s">
        <v>504</v>
      </c>
      <c r="B176" s="44">
        <v>46077</v>
      </c>
      <c r="C176" s="45">
        <v>0.570138888888889</v>
      </c>
      <c r="D176" s="46">
        <f t="shared" si="0"/>
        <v>13</v>
      </c>
      <c r="E176" s="47" t="str">
        <f t="shared" si="1"/>
        <v>Tuesday</v>
      </c>
      <c r="F176" s="47" t="s">
        <v>107</v>
      </c>
      <c r="G176" s="43" t="s">
        <v>36</v>
      </c>
      <c r="H176" s="43" t="s">
        <v>37</v>
      </c>
      <c r="I176" s="48">
        <v>1</v>
      </c>
      <c r="J176" s="49">
        <v>3000</v>
      </c>
      <c r="K176" s="49">
        <f>I176*J176</f>
        <v>3000</v>
      </c>
      <c r="L176" s="47" t="s">
        <v>22</v>
      </c>
      <c r="M176" s="46">
        <v>0</v>
      </c>
      <c r="N176" s="48">
        <v>4</v>
      </c>
      <c r="O176" s="47" t="s">
        <v>73</v>
      </c>
    </row>
    <row r="177" ht="14.25" customHeight="1" spans="1:15">
      <c r="A177" s="43" t="s">
        <v>506</v>
      </c>
      <c r="B177" s="44">
        <v>46077</v>
      </c>
      <c r="C177" s="45">
        <v>0.665277777777778</v>
      </c>
      <c r="D177" s="46">
        <f t="shared" si="0"/>
        <v>15</v>
      </c>
      <c r="E177" s="47" t="str">
        <f t="shared" si="1"/>
        <v>Tuesday</v>
      </c>
      <c r="F177" s="47" t="s">
        <v>16</v>
      </c>
      <c r="G177" s="47" t="s">
        <v>103</v>
      </c>
      <c r="H177" s="43" t="s">
        <v>37</v>
      </c>
      <c r="I177" s="48">
        <v>2</v>
      </c>
      <c r="J177" s="49">
        <v>5000</v>
      </c>
      <c r="K177" s="50">
        <v>9000</v>
      </c>
      <c r="L177" s="47" t="s">
        <v>22</v>
      </c>
      <c r="M177" s="51">
        <v>0.1</v>
      </c>
      <c r="N177" s="48">
        <v>4</v>
      </c>
      <c r="O177" s="47" t="s">
        <v>40</v>
      </c>
    </row>
    <row r="178" ht="14.25" customHeight="1" spans="1:15">
      <c r="A178" s="43" t="s">
        <v>508</v>
      </c>
      <c r="B178" s="44">
        <v>46077</v>
      </c>
      <c r="C178" s="45">
        <v>0.75</v>
      </c>
      <c r="D178" s="46">
        <f t="shared" si="0"/>
        <v>18</v>
      </c>
      <c r="E178" s="47" t="str">
        <f t="shared" si="1"/>
        <v>Tuesday</v>
      </c>
      <c r="F178" s="47" t="s">
        <v>43</v>
      </c>
      <c r="G178" s="47" t="s">
        <v>27</v>
      </c>
      <c r="H178" s="43" t="s">
        <v>28</v>
      </c>
      <c r="I178" s="48">
        <v>2</v>
      </c>
      <c r="J178" s="49">
        <v>15000</v>
      </c>
      <c r="K178" s="49">
        <v>30000</v>
      </c>
      <c r="L178" s="47" t="s">
        <v>22</v>
      </c>
      <c r="M178" s="46">
        <v>0</v>
      </c>
      <c r="N178" s="48">
        <v>4</v>
      </c>
      <c r="O178" s="47" t="s">
        <v>33</v>
      </c>
    </row>
    <row r="179" ht="14.25" customHeight="1" spans="1:15">
      <c r="A179" s="43" t="s">
        <v>511</v>
      </c>
      <c r="B179" s="44">
        <v>46077</v>
      </c>
      <c r="C179" s="45">
        <v>0.794444444444444</v>
      </c>
      <c r="D179" s="46">
        <f t="shared" si="0"/>
        <v>19</v>
      </c>
      <c r="E179" s="47" t="str">
        <f t="shared" si="1"/>
        <v>Tuesday</v>
      </c>
      <c r="F179" s="47" t="s">
        <v>107</v>
      </c>
      <c r="G179" s="47" t="s">
        <v>17</v>
      </c>
      <c r="H179" s="47" t="s">
        <v>18</v>
      </c>
      <c r="I179" s="48">
        <v>1</v>
      </c>
      <c r="J179" s="49">
        <v>1000</v>
      </c>
      <c r="K179" s="50">
        <v>850</v>
      </c>
      <c r="L179" s="47" t="s">
        <v>32</v>
      </c>
      <c r="M179" s="51">
        <v>0.15</v>
      </c>
      <c r="N179" s="48" t="s">
        <v>23</v>
      </c>
      <c r="O179" s="47" t="s">
        <v>73</v>
      </c>
    </row>
    <row r="180" ht="14.25" customHeight="1" spans="1:15">
      <c r="A180" s="43" t="s">
        <v>515</v>
      </c>
      <c r="B180" s="44">
        <v>46077</v>
      </c>
      <c r="C180" s="45">
        <v>0.797916666666667</v>
      </c>
      <c r="D180" s="46">
        <f t="shared" si="0"/>
        <v>19</v>
      </c>
      <c r="E180" s="47" t="str">
        <f t="shared" si="1"/>
        <v>Tuesday</v>
      </c>
      <c r="F180" s="47" t="s">
        <v>16</v>
      </c>
      <c r="G180" s="47" t="s">
        <v>103</v>
      </c>
      <c r="H180" s="43" t="s">
        <v>37</v>
      </c>
      <c r="I180" s="48">
        <v>2</v>
      </c>
      <c r="J180" s="49">
        <v>5000</v>
      </c>
      <c r="K180" s="49">
        <f t="shared" ref="K180:K182" si="5">I180*J180</f>
        <v>10000</v>
      </c>
      <c r="L180" s="47" t="s">
        <v>22</v>
      </c>
      <c r="M180" s="46">
        <v>0</v>
      </c>
      <c r="N180" s="48" t="s">
        <v>23</v>
      </c>
      <c r="O180" s="47" t="s">
        <v>24</v>
      </c>
    </row>
    <row r="181" ht="14.25" customHeight="1" spans="1:15">
      <c r="A181" s="43" t="s">
        <v>516</v>
      </c>
      <c r="B181" s="44">
        <v>46077</v>
      </c>
      <c r="C181" s="45">
        <v>0.806944444444444</v>
      </c>
      <c r="D181" s="46">
        <f t="shared" si="0"/>
        <v>19</v>
      </c>
      <c r="E181" s="47" t="str">
        <f t="shared" si="1"/>
        <v>Tuesday</v>
      </c>
      <c r="F181" s="47" t="s">
        <v>43</v>
      </c>
      <c r="G181" s="47" t="s">
        <v>63</v>
      </c>
      <c r="H181" s="43" t="s">
        <v>18</v>
      </c>
      <c r="I181" s="48">
        <v>2</v>
      </c>
      <c r="J181" s="49">
        <v>1500</v>
      </c>
      <c r="K181" s="49">
        <f t="shared" si="5"/>
        <v>3000</v>
      </c>
      <c r="L181" s="47" t="s">
        <v>22</v>
      </c>
      <c r="M181" s="46">
        <v>0</v>
      </c>
      <c r="N181" s="48" t="s">
        <v>23</v>
      </c>
      <c r="O181" s="47" t="s">
        <v>33</v>
      </c>
    </row>
    <row r="182" ht="14.25" customHeight="1" spans="1:15">
      <c r="A182" s="43" t="s">
        <v>517</v>
      </c>
      <c r="B182" s="44">
        <v>46077</v>
      </c>
      <c r="C182" s="45">
        <v>0.847916666666667</v>
      </c>
      <c r="D182" s="46">
        <f t="shared" si="0"/>
        <v>20</v>
      </c>
      <c r="E182" s="47" t="str">
        <f t="shared" si="1"/>
        <v>Tuesday</v>
      </c>
      <c r="F182" s="47" t="s">
        <v>16</v>
      </c>
      <c r="G182" s="47" t="s">
        <v>27</v>
      </c>
      <c r="H182" s="43" t="s">
        <v>28</v>
      </c>
      <c r="I182" s="48">
        <v>3</v>
      </c>
      <c r="J182" s="49">
        <v>15000</v>
      </c>
      <c r="K182" s="49">
        <f t="shared" si="5"/>
        <v>45000</v>
      </c>
      <c r="L182" s="47" t="s">
        <v>22</v>
      </c>
      <c r="M182" s="46">
        <v>0</v>
      </c>
      <c r="N182" s="48" t="s">
        <v>23</v>
      </c>
      <c r="O182" s="47" t="s">
        <v>40</v>
      </c>
    </row>
    <row r="183" ht="14.25" customHeight="1" spans="1:15">
      <c r="A183" s="43" t="s">
        <v>519</v>
      </c>
      <c r="B183" s="44">
        <v>46077</v>
      </c>
      <c r="C183" s="45">
        <v>0.866666666666667</v>
      </c>
      <c r="D183" s="46">
        <f t="shared" si="0"/>
        <v>20</v>
      </c>
      <c r="E183" s="47" t="str">
        <f t="shared" si="1"/>
        <v>Tuesday</v>
      </c>
      <c r="F183" s="47" t="s">
        <v>16</v>
      </c>
      <c r="G183" s="47" t="s">
        <v>57</v>
      </c>
      <c r="H183" s="43" t="s">
        <v>28</v>
      </c>
      <c r="I183" s="48">
        <v>1</v>
      </c>
      <c r="J183" s="49">
        <v>18000</v>
      </c>
      <c r="K183" s="49">
        <v>18000</v>
      </c>
      <c r="L183" s="47" t="s">
        <v>22</v>
      </c>
      <c r="M183" s="46">
        <v>0</v>
      </c>
      <c r="N183" s="48" t="s">
        <v>23</v>
      </c>
      <c r="O183" s="47" t="s">
        <v>33</v>
      </c>
    </row>
    <row r="184" ht="14.25" customHeight="1" spans="1:15">
      <c r="A184" s="43" t="s">
        <v>520</v>
      </c>
      <c r="B184" s="44">
        <v>46077</v>
      </c>
      <c r="C184" s="45">
        <v>0.911111111111111</v>
      </c>
      <c r="D184" s="46">
        <f t="shared" si="0"/>
        <v>21</v>
      </c>
      <c r="E184" s="47" t="str">
        <f t="shared" si="1"/>
        <v>Tuesday</v>
      </c>
      <c r="F184" s="47" t="s">
        <v>43</v>
      </c>
      <c r="G184" s="47" t="s">
        <v>146</v>
      </c>
      <c r="H184" s="43" t="s">
        <v>28</v>
      </c>
      <c r="I184" s="48">
        <v>1</v>
      </c>
      <c r="J184" s="49">
        <f>K184/I184</f>
        <v>16000</v>
      </c>
      <c r="K184" s="49">
        <v>16000</v>
      </c>
      <c r="L184" s="47" t="s">
        <v>22</v>
      </c>
      <c r="M184" s="46">
        <v>0</v>
      </c>
      <c r="N184" s="48">
        <v>5</v>
      </c>
      <c r="O184" s="47" t="s">
        <v>47</v>
      </c>
    </row>
    <row r="185" ht="14.25" customHeight="1" spans="1:15">
      <c r="A185" s="43" t="s">
        <v>521</v>
      </c>
      <c r="B185" s="44">
        <v>46077</v>
      </c>
      <c r="C185" s="45">
        <v>0.968055555555556</v>
      </c>
      <c r="D185" s="46">
        <f t="shared" si="0"/>
        <v>23</v>
      </c>
      <c r="E185" s="47" t="str">
        <f t="shared" si="1"/>
        <v>Tuesday</v>
      </c>
      <c r="F185" s="47" t="s">
        <v>107</v>
      </c>
      <c r="G185" s="47" t="s">
        <v>103</v>
      </c>
      <c r="H185" s="43" t="s">
        <v>37</v>
      </c>
      <c r="I185" s="48">
        <v>1</v>
      </c>
      <c r="J185" s="49">
        <v>5000</v>
      </c>
      <c r="K185" s="49">
        <v>5000</v>
      </c>
      <c r="L185" s="47" t="s">
        <v>22</v>
      </c>
      <c r="M185" s="46">
        <v>0</v>
      </c>
      <c r="N185" s="48" t="s">
        <v>23</v>
      </c>
      <c r="O185" s="47" t="s">
        <v>33</v>
      </c>
    </row>
    <row r="186" ht="14.25" customHeight="1" spans="1:15">
      <c r="A186" s="43" t="s">
        <v>522</v>
      </c>
      <c r="B186" s="44">
        <v>46078</v>
      </c>
      <c r="C186" s="45">
        <v>0.609027777777778</v>
      </c>
      <c r="D186" s="46">
        <f t="shared" si="0"/>
        <v>14</v>
      </c>
      <c r="E186" s="47" t="str">
        <f t="shared" si="1"/>
        <v>Wednesday</v>
      </c>
      <c r="F186" s="47" t="s">
        <v>43</v>
      </c>
      <c r="G186" s="47" t="s">
        <v>367</v>
      </c>
      <c r="H186" s="43" t="s">
        <v>109</v>
      </c>
      <c r="I186" s="48">
        <v>2</v>
      </c>
      <c r="J186" s="49">
        <v>7000</v>
      </c>
      <c r="K186" s="50">
        <v>12600</v>
      </c>
      <c r="L186" s="47" t="s">
        <v>22</v>
      </c>
      <c r="M186" s="51">
        <v>0.1</v>
      </c>
      <c r="N186" s="48" t="s">
        <v>23</v>
      </c>
      <c r="O186" s="47" t="s">
        <v>24</v>
      </c>
    </row>
    <row r="187" ht="14.25" customHeight="1" spans="1:15">
      <c r="A187" s="43" t="s">
        <v>526</v>
      </c>
      <c r="B187" s="44">
        <v>46078</v>
      </c>
      <c r="C187" s="45">
        <v>0.843055555555556</v>
      </c>
      <c r="D187" s="46">
        <f t="shared" si="0"/>
        <v>20</v>
      </c>
      <c r="E187" s="47" t="str">
        <f t="shared" si="1"/>
        <v>Wednesday</v>
      </c>
      <c r="F187" s="47" t="s">
        <v>16</v>
      </c>
      <c r="G187" s="47" t="s">
        <v>103</v>
      </c>
      <c r="H187" s="43" t="s">
        <v>37</v>
      </c>
      <c r="I187" s="48">
        <v>1</v>
      </c>
      <c r="J187" s="49">
        <v>5000</v>
      </c>
      <c r="K187" s="49">
        <v>5000</v>
      </c>
      <c r="L187" s="47" t="s">
        <v>22</v>
      </c>
      <c r="M187" s="46">
        <v>0</v>
      </c>
      <c r="N187" s="48" t="s">
        <v>23</v>
      </c>
      <c r="O187" s="47" t="s">
        <v>24</v>
      </c>
    </row>
    <row r="188" ht="14.25" customHeight="1" spans="1:15">
      <c r="A188" s="43" t="s">
        <v>527</v>
      </c>
      <c r="B188" s="44">
        <v>46078</v>
      </c>
      <c r="C188" s="45">
        <v>0.849305555555556</v>
      </c>
      <c r="D188" s="46">
        <f t="shared" si="0"/>
        <v>20</v>
      </c>
      <c r="E188" s="47" t="str">
        <f t="shared" si="1"/>
        <v>Wednesday</v>
      </c>
      <c r="F188" s="47" t="s">
        <v>107</v>
      </c>
      <c r="G188" s="43" t="s">
        <v>165</v>
      </c>
      <c r="H188" s="43" t="s">
        <v>109</v>
      </c>
      <c r="I188" s="48">
        <v>3</v>
      </c>
      <c r="J188" s="49">
        <v>6000</v>
      </c>
      <c r="K188" s="49">
        <v>18000</v>
      </c>
      <c r="L188" s="47" t="s">
        <v>32</v>
      </c>
      <c r="M188" s="46">
        <v>0</v>
      </c>
      <c r="N188" s="48">
        <v>3</v>
      </c>
      <c r="O188" s="47" t="s">
        <v>33</v>
      </c>
    </row>
    <row r="189" ht="14.25" customHeight="1" spans="1:15">
      <c r="A189" s="43" t="s">
        <v>528</v>
      </c>
      <c r="B189" s="44">
        <v>46078</v>
      </c>
      <c r="C189" s="45">
        <v>0.859027777777778</v>
      </c>
      <c r="D189" s="46">
        <f t="shared" si="0"/>
        <v>20</v>
      </c>
      <c r="E189" s="47" t="str">
        <f t="shared" si="1"/>
        <v>Wednesday</v>
      </c>
      <c r="F189" s="47" t="s">
        <v>16</v>
      </c>
      <c r="G189" s="47" t="s">
        <v>44</v>
      </c>
      <c r="H189" s="43" t="s">
        <v>45</v>
      </c>
      <c r="I189" s="48">
        <v>1</v>
      </c>
      <c r="J189" s="49">
        <v>4000</v>
      </c>
      <c r="K189" s="49">
        <v>4000</v>
      </c>
      <c r="L189" s="47" t="s">
        <v>22</v>
      </c>
      <c r="M189" s="46">
        <v>0</v>
      </c>
      <c r="N189" s="48">
        <v>4</v>
      </c>
      <c r="O189" s="47" t="s">
        <v>47</v>
      </c>
    </row>
    <row r="190" ht="14.25" customHeight="1" spans="1:15">
      <c r="A190" s="43" t="s">
        <v>530</v>
      </c>
      <c r="B190" s="44">
        <v>46078</v>
      </c>
      <c r="C190" s="45">
        <v>0.925694444444444</v>
      </c>
      <c r="D190" s="46">
        <f t="shared" si="0"/>
        <v>22</v>
      </c>
      <c r="E190" s="47" t="str">
        <f t="shared" si="1"/>
        <v>Wednesday</v>
      </c>
      <c r="F190" s="47" t="s">
        <v>43</v>
      </c>
      <c r="G190" s="47" t="s">
        <v>81</v>
      </c>
      <c r="H190" s="43" t="s">
        <v>37</v>
      </c>
      <c r="I190" s="48">
        <v>1</v>
      </c>
      <c r="J190" s="49">
        <v>6000</v>
      </c>
      <c r="K190" s="50">
        <v>4800</v>
      </c>
      <c r="L190" s="47" t="s">
        <v>22</v>
      </c>
      <c r="M190" s="51">
        <v>0.2</v>
      </c>
      <c r="N190" s="48">
        <v>2</v>
      </c>
      <c r="O190" s="47" t="s">
        <v>47</v>
      </c>
    </row>
    <row r="191" ht="14.25" customHeight="1" spans="1:15">
      <c r="A191" s="43" t="s">
        <v>533</v>
      </c>
      <c r="B191" s="44">
        <v>46079</v>
      </c>
      <c r="C191" s="45">
        <v>0.502083333333333</v>
      </c>
      <c r="D191" s="46">
        <f t="shared" si="0"/>
        <v>12</v>
      </c>
      <c r="E191" s="47" t="str">
        <f t="shared" si="1"/>
        <v>Thursday</v>
      </c>
      <c r="F191" s="47" t="s">
        <v>43</v>
      </c>
      <c r="G191" s="47" t="s">
        <v>44</v>
      </c>
      <c r="H191" s="43" t="s">
        <v>45</v>
      </c>
      <c r="I191" s="48">
        <v>2</v>
      </c>
      <c r="J191" s="49">
        <v>4000</v>
      </c>
      <c r="K191" s="49">
        <f>I191*J191</f>
        <v>8000</v>
      </c>
      <c r="L191" s="47" t="s">
        <v>22</v>
      </c>
      <c r="M191" s="46">
        <v>0</v>
      </c>
      <c r="N191" s="48">
        <v>3</v>
      </c>
      <c r="O191" s="47" t="s">
        <v>33</v>
      </c>
    </row>
    <row r="192" ht="14.25" customHeight="1" spans="1:15">
      <c r="A192" s="43" t="s">
        <v>536</v>
      </c>
      <c r="B192" s="44">
        <v>46079</v>
      </c>
      <c r="C192" s="45">
        <v>0.529861111111111</v>
      </c>
      <c r="D192" s="46">
        <f t="shared" si="0"/>
        <v>12</v>
      </c>
      <c r="E192" s="47" t="str">
        <f t="shared" si="1"/>
        <v>Thursday</v>
      </c>
      <c r="F192" s="47" t="s">
        <v>16</v>
      </c>
      <c r="G192" s="47" t="s">
        <v>103</v>
      </c>
      <c r="H192" s="43" t="str">
        <f>VLOOKUP(G192,'02_Menu_Lookup'!$A$2:$C$16,2,FALSE)</f>
        <v>Sandwiches</v>
      </c>
      <c r="I192" s="48">
        <v>2</v>
      </c>
      <c r="J192" s="49">
        <v>5000</v>
      </c>
      <c r="K192" s="49">
        <v>10000</v>
      </c>
      <c r="L192" s="47" t="s">
        <v>22</v>
      </c>
      <c r="M192" s="46">
        <v>0</v>
      </c>
      <c r="N192" s="48">
        <v>4</v>
      </c>
      <c r="O192" s="47" t="s">
        <v>33</v>
      </c>
    </row>
    <row r="193" ht="14.25" customHeight="1" spans="1:15">
      <c r="A193" s="43" t="s">
        <v>539</v>
      </c>
      <c r="B193" s="44">
        <v>46079</v>
      </c>
      <c r="C193" s="45">
        <v>0.538194444444444</v>
      </c>
      <c r="D193" s="46">
        <f t="shared" si="0"/>
        <v>12</v>
      </c>
      <c r="E193" s="47" t="str">
        <f t="shared" si="1"/>
        <v>Thursday</v>
      </c>
      <c r="F193" s="47" t="s">
        <v>107</v>
      </c>
      <c r="G193" s="47" t="s">
        <v>27</v>
      </c>
      <c r="H193" s="43" t="s">
        <v>28</v>
      </c>
      <c r="I193" s="48">
        <v>2</v>
      </c>
      <c r="J193" s="49">
        <v>15000</v>
      </c>
      <c r="K193" s="49">
        <v>30000</v>
      </c>
      <c r="L193" s="47" t="s">
        <v>32</v>
      </c>
      <c r="M193" s="46">
        <v>0</v>
      </c>
      <c r="N193" s="48" t="s">
        <v>23</v>
      </c>
      <c r="O193" s="47" t="s">
        <v>33</v>
      </c>
    </row>
    <row r="194" ht="14.25" customHeight="1" spans="1:15">
      <c r="A194" s="43" t="s">
        <v>541</v>
      </c>
      <c r="B194" s="44">
        <v>46079</v>
      </c>
      <c r="C194" s="45">
        <v>0.634027777777778</v>
      </c>
      <c r="D194" s="46">
        <f t="shared" si="0"/>
        <v>15</v>
      </c>
      <c r="E194" s="47" t="str">
        <f t="shared" si="1"/>
        <v>Thursday</v>
      </c>
      <c r="F194" s="47" t="s">
        <v>16</v>
      </c>
      <c r="G194" s="43" t="s">
        <v>36</v>
      </c>
      <c r="H194" s="43" t="s">
        <v>37</v>
      </c>
      <c r="I194" s="48">
        <v>1</v>
      </c>
      <c r="J194" s="49">
        <v>3000</v>
      </c>
      <c r="K194" s="49">
        <v>3000</v>
      </c>
      <c r="L194" s="47" t="s">
        <v>22</v>
      </c>
      <c r="M194" s="46">
        <v>0</v>
      </c>
      <c r="N194" s="48" t="s">
        <v>23</v>
      </c>
      <c r="O194" s="47" t="s">
        <v>40</v>
      </c>
    </row>
    <row r="195" ht="14.25" customHeight="1" spans="1:15">
      <c r="A195" s="43" t="s">
        <v>543</v>
      </c>
      <c r="B195" s="44">
        <v>46079</v>
      </c>
      <c r="C195" s="45">
        <v>0.656944444444444</v>
      </c>
      <c r="D195" s="46">
        <f t="shared" si="0"/>
        <v>15</v>
      </c>
      <c r="E195" s="47" t="str">
        <f t="shared" si="1"/>
        <v>Thursday</v>
      </c>
      <c r="F195" s="47" t="s">
        <v>107</v>
      </c>
      <c r="G195" s="47" t="s">
        <v>81</v>
      </c>
      <c r="H195" s="43" t="s">
        <v>37</v>
      </c>
      <c r="I195" s="48">
        <v>2</v>
      </c>
      <c r="J195" s="49">
        <v>6000</v>
      </c>
      <c r="K195" s="49">
        <v>12000</v>
      </c>
      <c r="L195" s="47" t="s">
        <v>22</v>
      </c>
      <c r="M195" s="46">
        <v>0</v>
      </c>
      <c r="N195" s="48">
        <v>4</v>
      </c>
      <c r="O195" s="47" t="s">
        <v>33</v>
      </c>
    </row>
    <row r="196" ht="14.25" customHeight="1" spans="1:15">
      <c r="A196" s="43" t="s">
        <v>545</v>
      </c>
      <c r="B196" s="44">
        <v>46079</v>
      </c>
      <c r="C196" s="45">
        <v>0.680555555555556</v>
      </c>
      <c r="D196" s="46">
        <f t="shared" si="0"/>
        <v>16</v>
      </c>
      <c r="E196" s="47" t="str">
        <f t="shared" si="1"/>
        <v>Thursday</v>
      </c>
      <c r="F196" s="47" t="s">
        <v>16</v>
      </c>
      <c r="G196" s="47" t="s">
        <v>81</v>
      </c>
      <c r="H196" s="43" t="s">
        <v>37</v>
      </c>
      <c r="I196" s="48">
        <v>1</v>
      </c>
      <c r="J196" s="49">
        <v>6000</v>
      </c>
      <c r="K196" s="50">
        <v>5100</v>
      </c>
      <c r="L196" s="47" t="s">
        <v>32</v>
      </c>
      <c r="M196" s="51">
        <v>0.15</v>
      </c>
      <c r="N196" s="48" t="s">
        <v>23</v>
      </c>
      <c r="O196" s="47" t="s">
        <v>24</v>
      </c>
    </row>
    <row r="197" ht="14.25" customHeight="1" spans="1:15">
      <c r="A197" s="43" t="s">
        <v>547</v>
      </c>
      <c r="B197" s="44">
        <v>46079</v>
      </c>
      <c r="C197" s="45">
        <v>0.774305555555556</v>
      </c>
      <c r="D197" s="46">
        <f t="shared" si="0"/>
        <v>18</v>
      </c>
      <c r="E197" s="47" t="str">
        <f t="shared" si="1"/>
        <v>Thursday</v>
      </c>
      <c r="F197" s="47" t="s">
        <v>107</v>
      </c>
      <c r="G197" s="47" t="s">
        <v>44</v>
      </c>
      <c r="H197" s="43" t="s">
        <v>45</v>
      </c>
      <c r="I197" s="48">
        <v>1</v>
      </c>
      <c r="J197" s="49">
        <v>4000</v>
      </c>
      <c r="K197" s="49">
        <v>4000</v>
      </c>
      <c r="L197" s="47" t="s">
        <v>22</v>
      </c>
      <c r="M197" s="46">
        <v>0</v>
      </c>
      <c r="N197" s="48">
        <v>4</v>
      </c>
      <c r="O197" s="47" t="s">
        <v>33</v>
      </c>
    </row>
    <row r="198" ht="14.25" customHeight="1" spans="1:15">
      <c r="A198" s="43" t="s">
        <v>549</v>
      </c>
      <c r="B198" s="44">
        <v>46079</v>
      </c>
      <c r="C198" s="45">
        <v>0.847916666666667</v>
      </c>
      <c r="D198" s="46">
        <f t="shared" si="0"/>
        <v>20</v>
      </c>
      <c r="E198" s="47" t="str">
        <f t="shared" si="1"/>
        <v>Thursday</v>
      </c>
      <c r="F198" s="47" t="s">
        <v>16</v>
      </c>
      <c r="G198" s="47" t="s">
        <v>63</v>
      </c>
      <c r="H198" s="43" t="s">
        <v>18</v>
      </c>
      <c r="I198" s="48">
        <v>2</v>
      </c>
      <c r="J198" s="49">
        <v>1500</v>
      </c>
      <c r="K198" s="50">
        <v>2700</v>
      </c>
      <c r="L198" s="47" t="s">
        <v>22</v>
      </c>
      <c r="M198" s="51">
        <v>0.1</v>
      </c>
      <c r="N198" s="48" t="s">
        <v>23</v>
      </c>
      <c r="O198" s="47" t="s">
        <v>47</v>
      </c>
    </row>
    <row r="199" ht="14.25" customHeight="1" spans="1:15">
      <c r="A199" s="43" t="s">
        <v>550</v>
      </c>
      <c r="B199" s="44">
        <v>46079</v>
      </c>
      <c r="C199" s="45">
        <v>0.850694444444444</v>
      </c>
      <c r="D199" s="46">
        <f t="shared" si="0"/>
        <v>20</v>
      </c>
      <c r="E199" s="47" t="str">
        <f t="shared" si="1"/>
        <v>Thursday</v>
      </c>
      <c r="F199" s="47" t="s">
        <v>16</v>
      </c>
      <c r="G199" s="47" t="s">
        <v>44</v>
      </c>
      <c r="H199" s="43" t="s">
        <v>45</v>
      </c>
      <c r="I199" s="48">
        <v>1</v>
      </c>
      <c r="J199" s="49">
        <v>4000</v>
      </c>
      <c r="K199" s="50">
        <v>3200</v>
      </c>
      <c r="L199" s="47" t="s">
        <v>32</v>
      </c>
      <c r="M199" s="51">
        <v>0.2</v>
      </c>
      <c r="N199" s="48" t="s">
        <v>23</v>
      </c>
      <c r="O199" s="47" t="s">
        <v>33</v>
      </c>
    </row>
    <row r="200" ht="14.25" customHeight="1" spans="1:15">
      <c r="A200" s="43" t="s">
        <v>551</v>
      </c>
      <c r="B200" s="44">
        <v>46079</v>
      </c>
      <c r="C200" s="45">
        <v>0.877777777777778</v>
      </c>
      <c r="D200" s="46">
        <f t="shared" si="0"/>
        <v>21</v>
      </c>
      <c r="E200" s="47" t="str">
        <f t="shared" si="1"/>
        <v>Thursday</v>
      </c>
      <c r="F200" s="47" t="s">
        <v>16</v>
      </c>
      <c r="G200" s="47" t="s">
        <v>44</v>
      </c>
      <c r="H200" s="43" t="s">
        <v>45</v>
      </c>
      <c r="I200" s="48">
        <v>1</v>
      </c>
      <c r="J200" s="49">
        <v>4000</v>
      </c>
      <c r="K200" s="49">
        <v>4000</v>
      </c>
      <c r="L200" s="47" t="s">
        <v>22</v>
      </c>
      <c r="M200" s="46">
        <v>0</v>
      </c>
      <c r="N200" s="48" t="s">
        <v>23</v>
      </c>
      <c r="O200" s="47" t="s">
        <v>33</v>
      </c>
    </row>
    <row r="201" ht="14.25" customHeight="1" spans="1:15">
      <c r="A201" s="43" t="s">
        <v>552</v>
      </c>
      <c r="B201" s="44">
        <v>46079</v>
      </c>
      <c r="C201" s="45">
        <v>0.997916666666667</v>
      </c>
      <c r="D201" s="46">
        <f t="shared" si="0"/>
        <v>23</v>
      </c>
      <c r="E201" s="47" t="str">
        <f t="shared" si="1"/>
        <v>Thursday</v>
      </c>
      <c r="F201" s="47" t="s">
        <v>43</v>
      </c>
      <c r="G201" s="47" t="s">
        <v>63</v>
      </c>
      <c r="H201" s="43" t="s">
        <v>18</v>
      </c>
      <c r="I201" s="48">
        <v>1</v>
      </c>
      <c r="J201" s="49">
        <v>1500</v>
      </c>
      <c r="K201" s="49">
        <v>1500</v>
      </c>
      <c r="L201" s="47" t="s">
        <v>32</v>
      </c>
      <c r="M201" s="46">
        <v>0</v>
      </c>
      <c r="N201" s="48" t="s">
        <v>23</v>
      </c>
      <c r="O201" s="47" t="s">
        <v>47</v>
      </c>
    </row>
    <row r="202" ht="14.25" customHeight="1" spans="1:15">
      <c r="A202" s="43" t="s">
        <v>554</v>
      </c>
      <c r="B202" s="44">
        <v>46080</v>
      </c>
      <c r="C202" s="45">
        <v>0.525</v>
      </c>
      <c r="D202" s="46">
        <f t="shared" si="0"/>
        <v>12</v>
      </c>
      <c r="E202" s="47" t="str">
        <f t="shared" si="1"/>
        <v>Friday</v>
      </c>
      <c r="F202" s="47" t="s">
        <v>16</v>
      </c>
      <c r="G202" s="47" t="s">
        <v>367</v>
      </c>
      <c r="H202" s="43" t="s">
        <v>109</v>
      </c>
      <c r="I202" s="48">
        <v>1</v>
      </c>
      <c r="J202" s="49">
        <v>7000</v>
      </c>
      <c r="K202" s="49">
        <v>7000</v>
      </c>
      <c r="L202" s="47" t="s">
        <v>32</v>
      </c>
      <c r="M202" s="46">
        <v>0</v>
      </c>
      <c r="N202" s="48">
        <v>4</v>
      </c>
      <c r="O202" s="47" t="s">
        <v>24</v>
      </c>
    </row>
    <row r="203" ht="14.25" customHeight="1" spans="1:15">
      <c r="A203" s="43" t="s">
        <v>557</v>
      </c>
      <c r="B203" s="44">
        <v>46080</v>
      </c>
      <c r="C203" s="45">
        <v>0.604861111111111</v>
      </c>
      <c r="D203" s="46">
        <f t="shared" si="0"/>
        <v>14</v>
      </c>
      <c r="E203" s="47" t="str">
        <f t="shared" si="1"/>
        <v>Friday</v>
      </c>
      <c r="F203" s="47" t="s">
        <v>16</v>
      </c>
      <c r="G203" s="47" t="s">
        <v>81</v>
      </c>
      <c r="H203" s="43" t="s">
        <v>37</v>
      </c>
      <c r="I203" s="48">
        <v>1</v>
      </c>
      <c r="J203" s="49">
        <v>6000</v>
      </c>
      <c r="K203" s="49">
        <v>6000</v>
      </c>
      <c r="L203" s="47" t="s">
        <v>22</v>
      </c>
      <c r="M203" s="46">
        <v>0</v>
      </c>
      <c r="N203" s="48">
        <v>4</v>
      </c>
      <c r="O203" s="47" t="s">
        <v>40</v>
      </c>
    </row>
    <row r="204" ht="14.25" customHeight="1" spans="1:15">
      <c r="A204" s="43" t="s">
        <v>560</v>
      </c>
      <c r="B204" s="44">
        <v>46080</v>
      </c>
      <c r="C204" s="45">
        <v>0.606944444444444</v>
      </c>
      <c r="D204" s="46">
        <f t="shared" si="0"/>
        <v>14</v>
      </c>
      <c r="E204" s="47" t="str">
        <f t="shared" si="1"/>
        <v>Friday</v>
      </c>
      <c r="F204" s="47" t="s">
        <v>107</v>
      </c>
      <c r="G204" s="47" t="s">
        <v>17</v>
      </c>
      <c r="H204" s="43" t="s">
        <v>18</v>
      </c>
      <c r="I204" s="48">
        <v>1</v>
      </c>
      <c r="J204" s="49">
        <v>1000</v>
      </c>
      <c r="K204" s="49">
        <v>1000</v>
      </c>
      <c r="L204" s="47" t="s">
        <v>22</v>
      </c>
      <c r="M204" s="46">
        <v>0</v>
      </c>
      <c r="N204" s="48">
        <v>4</v>
      </c>
      <c r="O204" s="47" t="s">
        <v>47</v>
      </c>
    </row>
    <row r="205" ht="14.25" customHeight="1" spans="1:15">
      <c r="A205" s="43" t="s">
        <v>561</v>
      </c>
      <c r="B205" s="44">
        <v>46080</v>
      </c>
      <c r="C205" s="45">
        <v>0.607638888888889</v>
      </c>
      <c r="D205" s="46">
        <f t="shared" si="0"/>
        <v>14</v>
      </c>
      <c r="E205" s="47" t="str">
        <f t="shared" si="1"/>
        <v>Friday</v>
      </c>
      <c r="F205" s="47" t="s">
        <v>16</v>
      </c>
      <c r="G205" s="47" t="s">
        <v>95</v>
      </c>
      <c r="H205" s="43" t="s">
        <v>45</v>
      </c>
      <c r="I205" s="48">
        <v>1</v>
      </c>
      <c r="J205" s="49">
        <v>5000</v>
      </c>
      <c r="K205" s="49">
        <v>5000</v>
      </c>
      <c r="L205" s="47" t="s">
        <v>22</v>
      </c>
      <c r="M205" s="46">
        <v>0</v>
      </c>
      <c r="N205" s="48" t="s">
        <v>23</v>
      </c>
      <c r="O205" s="47" t="s">
        <v>73</v>
      </c>
    </row>
    <row r="206" ht="14.25" customHeight="1" spans="1:15">
      <c r="A206" s="43" t="s">
        <v>564</v>
      </c>
      <c r="B206" s="44">
        <v>46080</v>
      </c>
      <c r="C206" s="45">
        <v>0.690277777777778</v>
      </c>
      <c r="D206" s="46">
        <f t="shared" si="0"/>
        <v>16</v>
      </c>
      <c r="E206" s="47" t="str">
        <f t="shared" si="1"/>
        <v>Friday</v>
      </c>
      <c r="F206" s="47" t="s">
        <v>16</v>
      </c>
      <c r="G206" s="43" t="s">
        <v>165</v>
      </c>
      <c r="H206" s="43" t="s">
        <v>109</v>
      </c>
      <c r="I206" s="48">
        <v>1</v>
      </c>
      <c r="J206" s="49">
        <v>6000</v>
      </c>
      <c r="K206" s="49">
        <v>6000</v>
      </c>
      <c r="L206" s="47" t="s">
        <v>22</v>
      </c>
      <c r="M206" s="46">
        <v>0</v>
      </c>
      <c r="N206" s="48">
        <v>4</v>
      </c>
      <c r="O206" s="47" t="s">
        <v>40</v>
      </c>
    </row>
    <row r="207" ht="14.25" customHeight="1" spans="1:15">
      <c r="A207" s="43" t="s">
        <v>566</v>
      </c>
      <c r="B207" s="44">
        <v>46080</v>
      </c>
      <c r="C207" s="45">
        <v>0.800694444444444</v>
      </c>
      <c r="D207" s="46">
        <f t="shared" si="0"/>
        <v>19</v>
      </c>
      <c r="E207" s="47" t="str">
        <f t="shared" si="1"/>
        <v>Friday</v>
      </c>
      <c r="F207" s="47" t="s">
        <v>16</v>
      </c>
      <c r="G207" s="47" t="s">
        <v>50</v>
      </c>
      <c r="H207" s="43" t="s">
        <v>28</v>
      </c>
      <c r="I207" s="48">
        <v>1</v>
      </c>
      <c r="J207" s="49">
        <v>25000</v>
      </c>
      <c r="K207" s="49">
        <v>25000</v>
      </c>
      <c r="L207" s="47" t="s">
        <v>22</v>
      </c>
      <c r="M207" s="46">
        <v>0</v>
      </c>
      <c r="N207" s="48" t="s">
        <v>23</v>
      </c>
      <c r="O207" s="47" t="s">
        <v>24</v>
      </c>
    </row>
    <row r="208" ht="14.25" customHeight="1" spans="1:15">
      <c r="A208" s="43" t="s">
        <v>568</v>
      </c>
      <c r="B208" s="44">
        <v>46080</v>
      </c>
      <c r="C208" s="45">
        <v>0.831944444444444</v>
      </c>
      <c r="D208" s="46">
        <f t="shared" si="0"/>
        <v>19</v>
      </c>
      <c r="E208" s="47" t="str">
        <f t="shared" si="1"/>
        <v>Friday</v>
      </c>
      <c r="F208" s="47" t="s">
        <v>107</v>
      </c>
      <c r="G208" s="47" t="s">
        <v>95</v>
      </c>
      <c r="H208" s="47" t="s">
        <v>45</v>
      </c>
      <c r="I208" s="48">
        <v>1</v>
      </c>
      <c r="J208" s="49">
        <v>5000</v>
      </c>
      <c r="K208" s="50">
        <v>5000</v>
      </c>
      <c r="L208" s="47" t="s">
        <v>32</v>
      </c>
      <c r="M208" s="46">
        <v>0</v>
      </c>
      <c r="N208" s="48">
        <v>5</v>
      </c>
      <c r="O208" s="47" t="s">
        <v>47</v>
      </c>
    </row>
    <row r="209" ht="14.25" customHeight="1" spans="1:15">
      <c r="A209" s="43" t="s">
        <v>571</v>
      </c>
      <c r="B209" s="44">
        <v>46080</v>
      </c>
      <c r="C209" s="45">
        <v>0.834027777777778</v>
      </c>
      <c r="D209" s="46">
        <f t="shared" si="0"/>
        <v>20</v>
      </c>
      <c r="E209" s="47" t="str">
        <f t="shared" si="1"/>
        <v>Friday</v>
      </c>
      <c r="F209" s="47" t="s">
        <v>107</v>
      </c>
      <c r="G209" s="47" t="s">
        <v>63</v>
      </c>
      <c r="H209" s="43" t="s">
        <v>18</v>
      </c>
      <c r="I209" s="48">
        <v>1</v>
      </c>
      <c r="J209" s="49">
        <v>1500</v>
      </c>
      <c r="K209" s="49">
        <v>1500</v>
      </c>
      <c r="L209" s="47" t="s">
        <v>32</v>
      </c>
      <c r="M209" s="46">
        <v>0</v>
      </c>
      <c r="N209" s="48">
        <v>4</v>
      </c>
      <c r="O209" s="47" t="s">
        <v>33</v>
      </c>
    </row>
    <row r="210" ht="14.25" customHeight="1" spans="1:15">
      <c r="A210" s="43" t="s">
        <v>572</v>
      </c>
      <c r="B210" s="44">
        <v>46080</v>
      </c>
      <c r="C210" s="45">
        <v>0.835416666666667</v>
      </c>
      <c r="D210" s="46">
        <f t="shared" si="0"/>
        <v>20</v>
      </c>
      <c r="E210" s="47" t="str">
        <f t="shared" si="1"/>
        <v>Friday</v>
      </c>
      <c r="F210" s="47" t="s">
        <v>107</v>
      </c>
      <c r="G210" s="47" t="s">
        <v>57</v>
      </c>
      <c r="H210" s="43" t="s">
        <v>28</v>
      </c>
      <c r="I210" s="48">
        <v>1</v>
      </c>
      <c r="J210" s="49">
        <v>18000</v>
      </c>
      <c r="K210" s="49">
        <v>18000</v>
      </c>
      <c r="L210" s="47" t="s">
        <v>22</v>
      </c>
      <c r="M210" s="46">
        <v>0</v>
      </c>
      <c r="N210" s="48">
        <v>4</v>
      </c>
      <c r="O210" s="47" t="s">
        <v>40</v>
      </c>
    </row>
    <row r="211" ht="14.25" customHeight="1" spans="1:15">
      <c r="A211" s="43" t="s">
        <v>575</v>
      </c>
      <c r="B211" s="44">
        <v>46080</v>
      </c>
      <c r="C211" s="45">
        <v>0.842361111111111</v>
      </c>
      <c r="D211" s="46">
        <f t="shared" si="0"/>
        <v>20</v>
      </c>
      <c r="E211" s="47" t="str">
        <f t="shared" si="1"/>
        <v>Friday</v>
      </c>
      <c r="F211" s="47" t="s">
        <v>107</v>
      </c>
      <c r="G211" s="47" t="s">
        <v>63</v>
      </c>
      <c r="H211" s="43" t="s">
        <v>18</v>
      </c>
      <c r="I211" s="48">
        <v>1</v>
      </c>
      <c r="J211" s="49">
        <v>1500</v>
      </c>
      <c r="K211" s="49">
        <v>1500</v>
      </c>
      <c r="L211" s="47" t="s">
        <v>32</v>
      </c>
      <c r="M211" s="46">
        <v>0</v>
      </c>
      <c r="N211" s="48" t="s">
        <v>23</v>
      </c>
      <c r="O211" s="47" t="s">
        <v>47</v>
      </c>
    </row>
    <row r="212" ht="14.25" customHeight="1" spans="1:15">
      <c r="A212" s="43" t="s">
        <v>578</v>
      </c>
      <c r="B212" s="44">
        <v>46080</v>
      </c>
      <c r="C212" s="45">
        <v>0.866666666666667</v>
      </c>
      <c r="D212" s="46">
        <f t="shared" si="0"/>
        <v>20</v>
      </c>
      <c r="E212" s="47" t="str">
        <f t="shared" si="1"/>
        <v>Friday</v>
      </c>
      <c r="F212" s="47" t="s">
        <v>16</v>
      </c>
      <c r="G212" s="47" t="s">
        <v>27</v>
      </c>
      <c r="H212" s="43" t="s">
        <v>28</v>
      </c>
      <c r="I212" s="48">
        <v>2</v>
      </c>
      <c r="J212" s="49">
        <v>15000</v>
      </c>
      <c r="K212" s="49">
        <v>30000</v>
      </c>
      <c r="L212" s="47" t="s">
        <v>32</v>
      </c>
      <c r="M212" s="46">
        <v>0</v>
      </c>
      <c r="N212" s="48">
        <v>5</v>
      </c>
      <c r="O212" s="47" t="s">
        <v>73</v>
      </c>
    </row>
    <row r="213" ht="14.25" customHeight="1" spans="1:15">
      <c r="A213" s="43" t="s">
        <v>579</v>
      </c>
      <c r="B213" s="44">
        <v>46080</v>
      </c>
      <c r="C213" s="45">
        <v>0.884027777777778</v>
      </c>
      <c r="D213" s="46">
        <f t="shared" si="0"/>
        <v>21</v>
      </c>
      <c r="E213" s="47" t="str">
        <f t="shared" si="1"/>
        <v>Friday</v>
      </c>
      <c r="F213" s="47" t="s">
        <v>16</v>
      </c>
      <c r="G213" s="47" t="s">
        <v>50</v>
      </c>
      <c r="H213" s="43" t="s">
        <v>28</v>
      </c>
      <c r="I213" s="48">
        <v>2</v>
      </c>
      <c r="J213" s="49">
        <v>25000</v>
      </c>
      <c r="K213" s="49">
        <v>50000</v>
      </c>
      <c r="L213" s="47" t="s">
        <v>22</v>
      </c>
      <c r="M213" s="46">
        <v>0</v>
      </c>
      <c r="N213" s="48" t="s">
        <v>23</v>
      </c>
      <c r="O213" s="47" t="s">
        <v>24</v>
      </c>
    </row>
    <row r="214" ht="14.25" customHeight="1" spans="1:15">
      <c r="A214" s="43" t="s">
        <v>581</v>
      </c>
      <c r="B214" s="44">
        <v>46080</v>
      </c>
      <c r="C214" s="45">
        <v>0.902083333333333</v>
      </c>
      <c r="D214" s="46">
        <f t="shared" si="0"/>
        <v>21</v>
      </c>
      <c r="E214" s="47" t="str">
        <f t="shared" si="1"/>
        <v>Friday</v>
      </c>
      <c r="F214" s="47" t="s">
        <v>16</v>
      </c>
      <c r="G214" s="47" t="s">
        <v>367</v>
      </c>
      <c r="H214" s="43" t="s">
        <v>109</v>
      </c>
      <c r="I214" s="48">
        <v>2</v>
      </c>
      <c r="J214" s="49">
        <v>7000</v>
      </c>
      <c r="K214" s="49">
        <v>14000</v>
      </c>
      <c r="L214" s="47" t="s">
        <v>22</v>
      </c>
      <c r="M214" s="46">
        <v>0</v>
      </c>
      <c r="N214" s="48">
        <v>5</v>
      </c>
      <c r="O214" s="47" t="s">
        <v>47</v>
      </c>
    </row>
    <row r="215" ht="14.25" customHeight="1" spans="1:15">
      <c r="A215" s="43" t="s">
        <v>583</v>
      </c>
      <c r="B215" s="44">
        <v>46080</v>
      </c>
      <c r="C215" s="45">
        <v>0.90625</v>
      </c>
      <c r="D215" s="46">
        <f t="shared" si="0"/>
        <v>21</v>
      </c>
      <c r="E215" s="47" t="str">
        <f t="shared" si="1"/>
        <v>Friday</v>
      </c>
      <c r="F215" s="47" t="s">
        <v>16</v>
      </c>
      <c r="G215" s="47" t="s">
        <v>81</v>
      </c>
      <c r="H215" s="43" t="s">
        <v>37</v>
      </c>
      <c r="I215" s="48">
        <v>1</v>
      </c>
      <c r="J215" s="49">
        <v>6000</v>
      </c>
      <c r="K215" s="49">
        <v>6000</v>
      </c>
      <c r="L215" s="47" t="s">
        <v>22</v>
      </c>
      <c r="M215" s="46">
        <v>0</v>
      </c>
      <c r="N215" s="48" t="s">
        <v>23</v>
      </c>
      <c r="O215" s="47" t="s">
        <v>73</v>
      </c>
    </row>
    <row r="216" ht="14.25" customHeight="1" spans="1:15">
      <c r="A216" s="43" t="s">
        <v>585</v>
      </c>
      <c r="B216" s="44">
        <v>46080</v>
      </c>
      <c r="C216" s="45">
        <v>0.908333333333333</v>
      </c>
      <c r="D216" s="46">
        <f t="shared" si="0"/>
        <v>21</v>
      </c>
      <c r="E216" s="47" t="str">
        <f t="shared" si="1"/>
        <v>Friday</v>
      </c>
      <c r="F216" s="47" t="s">
        <v>107</v>
      </c>
      <c r="G216" s="47" t="s">
        <v>95</v>
      </c>
      <c r="H216" s="43" t="s">
        <v>45</v>
      </c>
      <c r="I216" s="48">
        <v>2</v>
      </c>
      <c r="J216" s="49">
        <v>5000</v>
      </c>
      <c r="K216" s="49">
        <v>10000</v>
      </c>
      <c r="L216" s="47" t="s">
        <v>22</v>
      </c>
      <c r="M216" s="46">
        <v>0</v>
      </c>
      <c r="N216" s="48" t="s">
        <v>23</v>
      </c>
      <c r="O216" s="47" t="s">
        <v>33</v>
      </c>
    </row>
    <row r="217" ht="14.25" customHeight="1" spans="1:15">
      <c r="A217" s="43" t="s">
        <v>587</v>
      </c>
      <c r="B217" s="44">
        <v>46080</v>
      </c>
      <c r="C217" s="45">
        <v>0.910416666666667</v>
      </c>
      <c r="D217" s="46">
        <f t="shared" si="0"/>
        <v>21</v>
      </c>
      <c r="E217" s="47" t="str">
        <f t="shared" si="1"/>
        <v>Friday</v>
      </c>
      <c r="F217" s="47" t="s">
        <v>107</v>
      </c>
      <c r="G217" s="43" t="s">
        <v>36</v>
      </c>
      <c r="H217" s="43" t="s">
        <v>37</v>
      </c>
      <c r="I217" s="48">
        <v>1</v>
      </c>
      <c r="J217" s="49">
        <v>3000</v>
      </c>
      <c r="K217" s="49">
        <v>3000</v>
      </c>
      <c r="L217" s="47" t="s">
        <v>22</v>
      </c>
      <c r="M217" s="46">
        <v>0</v>
      </c>
      <c r="N217" s="48" t="s">
        <v>23</v>
      </c>
      <c r="O217" s="47" t="s">
        <v>73</v>
      </c>
    </row>
    <row r="218" ht="14.25" customHeight="1" spans="1:15">
      <c r="A218" s="43" t="s">
        <v>589</v>
      </c>
      <c r="B218" s="44">
        <v>46080</v>
      </c>
      <c r="C218" s="45">
        <v>0.926388888888889</v>
      </c>
      <c r="D218" s="46">
        <f t="shared" si="0"/>
        <v>22</v>
      </c>
      <c r="E218" s="47" t="str">
        <f t="shared" si="1"/>
        <v>Friday</v>
      </c>
      <c r="F218" s="47" t="s">
        <v>16</v>
      </c>
      <c r="G218" s="47" t="s">
        <v>57</v>
      </c>
      <c r="H218" s="43" t="s">
        <v>28</v>
      </c>
      <c r="I218" s="48">
        <v>1</v>
      </c>
      <c r="J218" s="49">
        <v>18000</v>
      </c>
      <c r="K218" s="50">
        <v>14400</v>
      </c>
      <c r="L218" s="47" t="s">
        <v>22</v>
      </c>
      <c r="M218" s="51">
        <v>0.2</v>
      </c>
      <c r="N218" s="48" t="s">
        <v>23</v>
      </c>
      <c r="O218" s="47" t="s">
        <v>47</v>
      </c>
    </row>
    <row r="219" ht="14.25" customHeight="1" spans="1:15">
      <c r="A219" s="43" t="s">
        <v>591</v>
      </c>
      <c r="B219" s="44">
        <v>46080</v>
      </c>
      <c r="C219" s="45">
        <v>0.952083333333333</v>
      </c>
      <c r="D219" s="46">
        <f t="shared" si="0"/>
        <v>22</v>
      </c>
      <c r="E219" s="47" t="str">
        <f t="shared" si="1"/>
        <v>Friday</v>
      </c>
      <c r="F219" s="47" t="s">
        <v>16</v>
      </c>
      <c r="G219" s="47" t="s">
        <v>63</v>
      </c>
      <c r="H219" s="43" t="s">
        <v>18</v>
      </c>
      <c r="I219" s="48">
        <v>1</v>
      </c>
      <c r="J219" s="49">
        <v>1500</v>
      </c>
      <c r="K219" s="49">
        <v>1500</v>
      </c>
      <c r="L219" s="47" t="s">
        <v>22</v>
      </c>
      <c r="M219" s="46">
        <v>0</v>
      </c>
      <c r="N219" s="48" t="s">
        <v>23</v>
      </c>
      <c r="O219" s="47" t="s">
        <v>24</v>
      </c>
    </row>
    <row r="220" ht="14.25" customHeight="1" spans="1:15">
      <c r="A220" s="43" t="s">
        <v>593</v>
      </c>
      <c r="B220" s="44">
        <v>46081</v>
      </c>
      <c r="C220" s="45">
        <v>0.503472222222222</v>
      </c>
      <c r="D220" s="46">
        <f t="shared" si="0"/>
        <v>12</v>
      </c>
      <c r="E220" s="47" t="str">
        <f t="shared" si="1"/>
        <v>Saturday</v>
      </c>
      <c r="F220" s="47" t="s">
        <v>16</v>
      </c>
      <c r="G220" s="47" t="s">
        <v>103</v>
      </c>
      <c r="H220" s="43" t="s">
        <v>37</v>
      </c>
      <c r="I220" s="48">
        <v>1</v>
      </c>
      <c r="J220" s="49">
        <v>5000</v>
      </c>
      <c r="K220" s="50">
        <v>4250</v>
      </c>
      <c r="L220" s="47" t="s">
        <v>22</v>
      </c>
      <c r="M220" s="51">
        <v>0.15</v>
      </c>
      <c r="N220" s="48">
        <v>4</v>
      </c>
      <c r="O220" s="47" t="s">
        <v>73</v>
      </c>
    </row>
    <row r="221" ht="14.25" customHeight="1" spans="1:15">
      <c r="A221" s="43" t="s">
        <v>597</v>
      </c>
      <c r="B221" s="44">
        <v>46081</v>
      </c>
      <c r="C221" s="45">
        <v>0.539583333333333</v>
      </c>
      <c r="D221" s="46">
        <f t="shared" si="0"/>
        <v>12</v>
      </c>
      <c r="E221" s="47" t="str">
        <f t="shared" si="1"/>
        <v>Saturday</v>
      </c>
      <c r="F221" s="47" t="s">
        <v>16</v>
      </c>
      <c r="G221" s="47" t="s">
        <v>367</v>
      </c>
      <c r="H221" s="43" t="s">
        <v>109</v>
      </c>
      <c r="I221" s="48">
        <v>1</v>
      </c>
      <c r="J221" s="49">
        <v>7000</v>
      </c>
      <c r="K221" s="49">
        <v>7000</v>
      </c>
      <c r="L221" s="47" t="s">
        <v>22</v>
      </c>
      <c r="M221" s="46">
        <v>0</v>
      </c>
      <c r="N221" s="48" t="s">
        <v>23</v>
      </c>
      <c r="O221" s="47" t="s">
        <v>73</v>
      </c>
    </row>
    <row r="222" ht="14.25" customHeight="1" spans="1:15">
      <c r="A222" s="43" t="s">
        <v>602</v>
      </c>
      <c r="B222" s="44">
        <v>46081</v>
      </c>
      <c r="C222" s="45">
        <v>0.818055555555556</v>
      </c>
      <c r="D222" s="46">
        <f t="shared" si="0"/>
        <v>19</v>
      </c>
      <c r="E222" s="47" t="str">
        <f t="shared" si="1"/>
        <v>Saturday</v>
      </c>
      <c r="F222" s="47" t="s">
        <v>16</v>
      </c>
      <c r="G222" s="47" t="s">
        <v>50</v>
      </c>
      <c r="H222" s="43" t="s">
        <v>28</v>
      </c>
      <c r="I222" s="48">
        <v>2</v>
      </c>
      <c r="J222" s="49">
        <v>25000</v>
      </c>
      <c r="K222" s="49">
        <v>50000</v>
      </c>
      <c r="L222" s="47" t="s">
        <v>32</v>
      </c>
      <c r="M222" s="46">
        <v>0</v>
      </c>
      <c r="N222" s="48" t="s">
        <v>23</v>
      </c>
      <c r="O222" s="47" t="s">
        <v>73</v>
      </c>
    </row>
    <row r="223" ht="14.25" customHeight="1" spans="1:15">
      <c r="A223" s="43" t="s">
        <v>604</v>
      </c>
      <c r="B223" s="44">
        <v>46081</v>
      </c>
      <c r="C223" s="45">
        <v>0.891666666666667</v>
      </c>
      <c r="D223" s="46">
        <f t="shared" si="0"/>
        <v>21</v>
      </c>
      <c r="E223" s="47" t="str">
        <f t="shared" si="1"/>
        <v>Saturday</v>
      </c>
      <c r="F223" s="47" t="s">
        <v>16</v>
      </c>
      <c r="G223" s="47" t="s">
        <v>17</v>
      </c>
      <c r="H223" s="43" t="s">
        <v>18</v>
      </c>
      <c r="I223" s="48">
        <v>1</v>
      </c>
      <c r="J223" s="49">
        <v>1000</v>
      </c>
      <c r="K223" s="49">
        <v>1000</v>
      </c>
      <c r="L223" s="47" t="s">
        <v>22</v>
      </c>
      <c r="M223" s="46">
        <v>0</v>
      </c>
      <c r="N223" s="48">
        <v>4</v>
      </c>
      <c r="O223" s="47" t="s">
        <v>24</v>
      </c>
    </row>
    <row r="224" ht="14.25" customHeight="1" spans="1:15">
      <c r="A224" s="43" t="s">
        <v>606</v>
      </c>
      <c r="B224" s="44">
        <v>46081</v>
      </c>
      <c r="C224" s="45">
        <v>0.895138888888889</v>
      </c>
      <c r="D224" s="46">
        <f t="shared" si="0"/>
        <v>21</v>
      </c>
      <c r="E224" s="47" t="str">
        <f t="shared" si="1"/>
        <v>Saturday</v>
      </c>
      <c r="F224" s="47" t="s">
        <v>43</v>
      </c>
      <c r="G224" s="47" t="s">
        <v>146</v>
      </c>
      <c r="H224" s="43" t="s">
        <v>28</v>
      </c>
      <c r="I224" s="48">
        <v>1</v>
      </c>
      <c r="J224" s="49">
        <v>16000</v>
      </c>
      <c r="K224" s="49">
        <v>16000</v>
      </c>
      <c r="L224" s="47" t="s">
        <v>22</v>
      </c>
      <c r="M224" s="46">
        <v>0</v>
      </c>
      <c r="N224" s="48" t="s">
        <v>23</v>
      </c>
      <c r="O224" s="47" t="s">
        <v>33</v>
      </c>
    </row>
    <row r="225" ht="14.25" customHeight="1" spans="1:15">
      <c r="A225" s="43" t="s">
        <v>609</v>
      </c>
      <c r="B225" s="44">
        <v>46081</v>
      </c>
      <c r="C225" s="45">
        <v>0.908333333333333</v>
      </c>
      <c r="D225" s="46">
        <f t="shared" si="0"/>
        <v>21</v>
      </c>
      <c r="E225" s="47" t="str">
        <f t="shared" si="1"/>
        <v>Saturday</v>
      </c>
      <c r="F225" s="47" t="s">
        <v>16</v>
      </c>
      <c r="G225" s="43" t="s">
        <v>165</v>
      </c>
      <c r="H225" s="43" t="s">
        <v>109</v>
      </c>
      <c r="I225" s="48">
        <v>2</v>
      </c>
      <c r="J225" s="49">
        <v>6000</v>
      </c>
      <c r="K225" s="49">
        <v>12000</v>
      </c>
      <c r="L225" s="47" t="s">
        <v>22</v>
      </c>
      <c r="M225" s="46">
        <v>0</v>
      </c>
      <c r="N225" s="48" t="s">
        <v>23</v>
      </c>
      <c r="O225" s="47" t="s">
        <v>73</v>
      </c>
    </row>
    <row r="226" ht="14.25" customHeight="1" spans="1:15">
      <c r="A226" s="43" t="s">
        <v>611</v>
      </c>
      <c r="B226" s="44">
        <v>46081</v>
      </c>
      <c r="C226" s="45">
        <v>0.922222222222222</v>
      </c>
      <c r="D226" s="46">
        <f t="shared" si="0"/>
        <v>22</v>
      </c>
      <c r="E226" s="47" t="str">
        <f t="shared" si="1"/>
        <v>Saturday</v>
      </c>
      <c r="F226" s="47" t="s">
        <v>107</v>
      </c>
      <c r="G226" s="47" t="s">
        <v>81</v>
      </c>
      <c r="H226" s="43" t="s">
        <v>37</v>
      </c>
      <c r="I226" s="48">
        <v>3</v>
      </c>
      <c r="J226" s="50">
        <v>6000</v>
      </c>
      <c r="K226" s="49">
        <v>18000</v>
      </c>
      <c r="L226" s="47" t="s">
        <v>22</v>
      </c>
      <c r="M226" s="46">
        <v>0</v>
      </c>
      <c r="N226" s="48" t="s">
        <v>23</v>
      </c>
      <c r="O226" s="47" t="s">
        <v>40</v>
      </c>
    </row>
    <row r="227" ht="14.25" customHeight="1" spans="1:15">
      <c r="A227" s="43" t="s">
        <v>613</v>
      </c>
      <c r="B227" s="44">
        <v>46082</v>
      </c>
      <c r="C227" s="45">
        <v>0.780555555555556</v>
      </c>
      <c r="D227" s="46">
        <f t="shared" si="0"/>
        <v>18</v>
      </c>
      <c r="E227" s="47" t="str">
        <f t="shared" si="1"/>
        <v>Sunday</v>
      </c>
      <c r="F227" s="47" t="s">
        <v>16</v>
      </c>
      <c r="G227" s="47" t="s">
        <v>17</v>
      </c>
      <c r="H227" s="43" t="s">
        <v>18</v>
      </c>
      <c r="I227" s="48">
        <v>1</v>
      </c>
      <c r="J227" s="49">
        <v>1000</v>
      </c>
      <c r="K227" s="49">
        <v>1000</v>
      </c>
      <c r="L227" s="47" t="s">
        <v>32</v>
      </c>
      <c r="M227" s="46">
        <v>0</v>
      </c>
      <c r="N227" s="48" t="s">
        <v>23</v>
      </c>
      <c r="O227" s="47" t="s">
        <v>33</v>
      </c>
    </row>
    <row r="228" ht="14.25" customHeight="1" spans="1:15">
      <c r="A228" s="43" t="s">
        <v>615</v>
      </c>
      <c r="B228" s="44">
        <v>46082</v>
      </c>
      <c r="C228" s="45">
        <v>0.872916666666667</v>
      </c>
      <c r="D228" s="46">
        <f t="shared" si="0"/>
        <v>20</v>
      </c>
      <c r="E228" s="47" t="str">
        <f t="shared" si="1"/>
        <v>Sunday</v>
      </c>
      <c r="F228" s="47" t="s">
        <v>16</v>
      </c>
      <c r="G228" s="47" t="s">
        <v>63</v>
      </c>
      <c r="H228" s="43" t="s">
        <v>18</v>
      </c>
      <c r="I228" s="48">
        <v>2</v>
      </c>
      <c r="J228" s="49">
        <v>1500</v>
      </c>
      <c r="K228" s="49">
        <v>3000</v>
      </c>
      <c r="L228" s="47" t="s">
        <v>22</v>
      </c>
      <c r="M228" s="46">
        <v>0</v>
      </c>
      <c r="N228" s="48">
        <v>3</v>
      </c>
      <c r="O228" s="47" t="s">
        <v>40</v>
      </c>
    </row>
    <row r="229" ht="14.25" customHeight="1" spans="1:15">
      <c r="A229" s="43" t="s">
        <v>617</v>
      </c>
      <c r="B229" s="44">
        <v>46082</v>
      </c>
      <c r="C229" s="45">
        <v>0.897222222222222</v>
      </c>
      <c r="D229" s="46">
        <f t="shared" si="0"/>
        <v>21</v>
      </c>
      <c r="E229" s="47" t="str">
        <f t="shared" si="1"/>
        <v>Sunday</v>
      </c>
      <c r="F229" s="47" t="s">
        <v>107</v>
      </c>
      <c r="G229" s="47" t="s">
        <v>27</v>
      </c>
      <c r="H229" s="43" t="s">
        <v>28</v>
      </c>
      <c r="I229" s="48">
        <v>1</v>
      </c>
      <c r="J229" s="49">
        <v>15000</v>
      </c>
      <c r="K229" s="49">
        <v>15000</v>
      </c>
      <c r="L229" s="47" t="s">
        <v>22</v>
      </c>
      <c r="M229" s="46">
        <v>0</v>
      </c>
      <c r="N229" s="48">
        <v>4</v>
      </c>
      <c r="O229" s="47" t="s">
        <v>24</v>
      </c>
    </row>
    <row r="230" ht="14.25" customHeight="1" spans="1:15">
      <c r="A230" s="43" t="s">
        <v>619</v>
      </c>
      <c r="B230" s="44">
        <v>46082</v>
      </c>
      <c r="C230" s="45">
        <v>0.926388888888889</v>
      </c>
      <c r="D230" s="46">
        <f t="shared" si="0"/>
        <v>22</v>
      </c>
      <c r="E230" s="47" t="str">
        <f t="shared" si="1"/>
        <v>Sunday</v>
      </c>
      <c r="F230" s="47" t="s">
        <v>16</v>
      </c>
      <c r="G230" s="47" t="s">
        <v>57</v>
      </c>
      <c r="H230" s="43" t="s">
        <v>28</v>
      </c>
      <c r="I230" s="48">
        <v>2</v>
      </c>
      <c r="J230" s="49">
        <v>18000</v>
      </c>
      <c r="K230" s="50">
        <v>32400</v>
      </c>
      <c r="L230" s="47" t="s">
        <v>22</v>
      </c>
      <c r="M230" s="51">
        <v>0.1</v>
      </c>
      <c r="N230" s="48" t="s">
        <v>23</v>
      </c>
      <c r="O230" s="47" t="s">
        <v>33</v>
      </c>
    </row>
    <row r="231" ht="14.25" customHeight="1" spans="1:15">
      <c r="A231" s="43" t="s">
        <v>620</v>
      </c>
      <c r="B231" s="44">
        <v>46082</v>
      </c>
      <c r="C231" s="45">
        <v>0.928472222222222</v>
      </c>
      <c r="D231" s="46">
        <f t="shared" si="0"/>
        <v>22</v>
      </c>
      <c r="E231" s="47" t="str">
        <f t="shared" si="1"/>
        <v>Sunday</v>
      </c>
      <c r="F231" s="47" t="s">
        <v>43</v>
      </c>
      <c r="G231" s="47" t="s">
        <v>95</v>
      </c>
      <c r="H231" s="43" t="str">
        <f>VLOOKUP(G231,'02_Menu_Lookup'!$A$2:$C$16,2,FALSE)</f>
        <v>Appetizers</v>
      </c>
      <c r="I231" s="48">
        <v>1</v>
      </c>
      <c r="J231" s="49">
        <v>5000</v>
      </c>
      <c r="K231" s="49">
        <v>5000</v>
      </c>
      <c r="L231" s="47" t="s">
        <v>22</v>
      </c>
      <c r="M231" s="46">
        <v>0</v>
      </c>
      <c r="N231" s="48" t="s">
        <v>23</v>
      </c>
      <c r="O231" s="47" t="s">
        <v>73</v>
      </c>
    </row>
    <row r="232" ht="14.25" customHeight="1" spans="1:15">
      <c r="A232" s="43" t="s">
        <v>621</v>
      </c>
      <c r="B232" s="44">
        <v>46083</v>
      </c>
      <c r="C232" s="45">
        <v>0.5375</v>
      </c>
      <c r="D232" s="46">
        <f t="shared" si="0"/>
        <v>12</v>
      </c>
      <c r="E232" s="47" t="str">
        <f t="shared" si="1"/>
        <v>Monday</v>
      </c>
      <c r="F232" s="47" t="s">
        <v>107</v>
      </c>
      <c r="G232" s="47" t="s">
        <v>63</v>
      </c>
      <c r="H232" s="43" t="s">
        <v>18</v>
      </c>
      <c r="I232" s="48">
        <v>1</v>
      </c>
      <c r="J232" s="49">
        <v>1500</v>
      </c>
      <c r="K232" s="49">
        <v>1500</v>
      </c>
      <c r="L232" s="47" t="s">
        <v>22</v>
      </c>
      <c r="M232" s="46">
        <v>0</v>
      </c>
      <c r="N232" s="48" t="s">
        <v>23</v>
      </c>
      <c r="O232" s="47" t="s">
        <v>33</v>
      </c>
    </row>
    <row r="233" ht="14.25" customHeight="1" spans="1:15">
      <c r="A233" s="43" t="s">
        <v>623</v>
      </c>
      <c r="B233" s="44">
        <v>46056</v>
      </c>
      <c r="C233" s="45">
        <v>0.541666666666667</v>
      </c>
      <c r="D233" s="46">
        <f t="shared" si="0"/>
        <v>13</v>
      </c>
      <c r="E233" s="47" t="str">
        <f t="shared" si="1"/>
        <v>Tuesday</v>
      </c>
      <c r="F233" s="47" t="s">
        <v>107</v>
      </c>
      <c r="G233" s="47" t="s">
        <v>146</v>
      </c>
      <c r="H233" s="43" t="s">
        <v>28</v>
      </c>
      <c r="I233" s="48">
        <v>1</v>
      </c>
      <c r="J233" s="49">
        <v>16000</v>
      </c>
      <c r="K233" s="49">
        <v>16000</v>
      </c>
      <c r="L233" s="47" t="s">
        <v>22</v>
      </c>
      <c r="M233" s="46">
        <v>0</v>
      </c>
      <c r="N233" s="48" t="s">
        <v>23</v>
      </c>
      <c r="O233" s="47" t="s">
        <v>73</v>
      </c>
    </row>
    <row r="234" ht="14.25" customHeight="1" spans="1:15">
      <c r="A234" s="43" t="s">
        <v>626</v>
      </c>
      <c r="B234" s="44">
        <v>46083</v>
      </c>
      <c r="C234" s="45">
        <v>0.695138888888889</v>
      </c>
      <c r="D234" s="46">
        <f t="shared" si="0"/>
        <v>16</v>
      </c>
      <c r="E234" s="47" t="str">
        <f t="shared" si="1"/>
        <v>Monday</v>
      </c>
      <c r="F234" s="47" t="s">
        <v>107</v>
      </c>
      <c r="G234" s="47" t="s">
        <v>103</v>
      </c>
      <c r="H234" s="43" t="s">
        <v>37</v>
      </c>
      <c r="I234" s="48">
        <v>2</v>
      </c>
      <c r="J234" s="49">
        <v>5000</v>
      </c>
      <c r="K234" s="49">
        <v>10000</v>
      </c>
      <c r="L234" s="47" t="s">
        <v>22</v>
      </c>
      <c r="M234" s="46">
        <v>0</v>
      </c>
      <c r="N234" s="48" t="s">
        <v>23</v>
      </c>
      <c r="O234" s="47" t="s">
        <v>33</v>
      </c>
    </row>
    <row r="235" ht="14.25" customHeight="1" spans="1:15">
      <c r="A235" s="43" t="s">
        <v>628</v>
      </c>
      <c r="B235" s="44">
        <v>46083</v>
      </c>
      <c r="C235" s="45">
        <v>0.802777777777778</v>
      </c>
      <c r="D235" s="46">
        <f t="shared" si="0"/>
        <v>19</v>
      </c>
      <c r="E235" s="47" t="str">
        <f t="shared" si="1"/>
        <v>Monday</v>
      </c>
      <c r="F235" s="47" t="s">
        <v>107</v>
      </c>
      <c r="G235" s="47" t="s">
        <v>44</v>
      </c>
      <c r="H235" s="43" t="s">
        <v>45</v>
      </c>
      <c r="I235" s="48">
        <v>2</v>
      </c>
      <c r="J235" s="49">
        <v>4000</v>
      </c>
      <c r="K235" s="49">
        <v>8000</v>
      </c>
      <c r="L235" s="47" t="s">
        <v>22</v>
      </c>
      <c r="M235" s="46">
        <v>0</v>
      </c>
      <c r="N235" s="48">
        <v>5</v>
      </c>
      <c r="O235" s="47" t="s">
        <v>47</v>
      </c>
    </row>
    <row r="236" ht="14.25" customHeight="1" spans="1:15">
      <c r="A236" s="43" t="s">
        <v>630</v>
      </c>
      <c r="B236" s="44">
        <v>46083</v>
      </c>
      <c r="C236" s="45">
        <v>0.836111111111111</v>
      </c>
      <c r="D236" s="46">
        <f t="shared" si="0"/>
        <v>20</v>
      </c>
      <c r="E236" s="47" t="str">
        <f t="shared" si="1"/>
        <v>Monday</v>
      </c>
      <c r="F236" s="47" t="s">
        <v>16</v>
      </c>
      <c r="G236" s="47" t="s">
        <v>146</v>
      </c>
      <c r="H236" s="43" t="s">
        <v>28</v>
      </c>
      <c r="I236" s="48">
        <v>1</v>
      </c>
      <c r="J236" s="49">
        <f>K236/I236</f>
        <v>16000</v>
      </c>
      <c r="K236" s="49">
        <v>16000</v>
      </c>
      <c r="L236" s="47" t="s">
        <v>22</v>
      </c>
      <c r="M236" s="46">
        <v>0</v>
      </c>
      <c r="N236" s="48">
        <v>4</v>
      </c>
      <c r="O236" s="47" t="s">
        <v>47</v>
      </c>
    </row>
    <row r="237" ht="14.25" customHeight="1" spans="1:15">
      <c r="A237" s="43" t="s">
        <v>631</v>
      </c>
      <c r="B237" s="44">
        <v>46083</v>
      </c>
      <c r="C237" s="45">
        <v>0.854861111111111</v>
      </c>
      <c r="D237" s="46">
        <f t="shared" si="0"/>
        <v>20</v>
      </c>
      <c r="E237" s="47" t="str">
        <f t="shared" si="1"/>
        <v>Monday</v>
      </c>
      <c r="F237" s="47" t="s">
        <v>43</v>
      </c>
      <c r="G237" s="47" t="s">
        <v>81</v>
      </c>
      <c r="H237" s="43" t="s">
        <v>37</v>
      </c>
      <c r="I237" s="48">
        <v>1</v>
      </c>
      <c r="J237" s="49">
        <v>6000</v>
      </c>
      <c r="K237" s="49">
        <v>6000</v>
      </c>
      <c r="L237" s="47" t="s">
        <v>22</v>
      </c>
      <c r="M237" s="46">
        <v>0</v>
      </c>
      <c r="N237" s="48" t="s">
        <v>23</v>
      </c>
      <c r="O237" s="47" t="s">
        <v>73</v>
      </c>
    </row>
    <row r="238" ht="14.25" customHeight="1" spans="1:15">
      <c r="A238" s="43" t="s">
        <v>632</v>
      </c>
      <c r="B238" s="44">
        <v>46083</v>
      </c>
      <c r="C238" s="45">
        <v>0.858333333333333</v>
      </c>
      <c r="D238" s="46">
        <f t="shared" si="0"/>
        <v>20</v>
      </c>
      <c r="E238" s="47" t="str">
        <f t="shared" si="1"/>
        <v>Monday</v>
      </c>
      <c r="F238" s="47" t="s">
        <v>107</v>
      </c>
      <c r="G238" s="47" t="s">
        <v>17</v>
      </c>
      <c r="H238" s="43" t="s">
        <v>18</v>
      </c>
      <c r="I238" s="48">
        <v>1</v>
      </c>
      <c r="J238" s="49">
        <v>1000</v>
      </c>
      <c r="K238" s="49">
        <v>1000</v>
      </c>
      <c r="L238" s="47" t="s">
        <v>22</v>
      </c>
      <c r="M238" s="46">
        <v>0</v>
      </c>
      <c r="N238" s="48" t="s">
        <v>23</v>
      </c>
      <c r="O238" s="47" t="s">
        <v>73</v>
      </c>
    </row>
    <row r="239" ht="14.25" customHeight="1" spans="1:15">
      <c r="A239" s="43" t="s">
        <v>633</v>
      </c>
      <c r="B239" s="44">
        <v>46056</v>
      </c>
      <c r="C239" s="45">
        <v>0.859027777777778</v>
      </c>
      <c r="D239" s="46">
        <f t="shared" si="0"/>
        <v>20</v>
      </c>
      <c r="E239" s="47" t="str">
        <f t="shared" si="1"/>
        <v>Tuesday</v>
      </c>
      <c r="F239" s="47" t="s">
        <v>16</v>
      </c>
      <c r="G239" s="47" t="s">
        <v>44</v>
      </c>
      <c r="H239" s="43" t="s">
        <v>45</v>
      </c>
      <c r="I239" s="48">
        <v>1</v>
      </c>
      <c r="J239" s="49">
        <v>4000</v>
      </c>
      <c r="K239" s="50">
        <v>3400</v>
      </c>
      <c r="L239" s="47" t="s">
        <v>22</v>
      </c>
      <c r="M239" s="51">
        <v>0.15</v>
      </c>
      <c r="N239" s="48">
        <v>4</v>
      </c>
      <c r="O239" s="47" t="s">
        <v>47</v>
      </c>
    </row>
    <row r="240" ht="14.25" customHeight="1" spans="1:15">
      <c r="A240" s="43" t="s">
        <v>634</v>
      </c>
      <c r="B240" s="44">
        <v>46083</v>
      </c>
      <c r="C240" s="45">
        <v>0.877083333333333</v>
      </c>
      <c r="D240" s="46">
        <f t="shared" si="0"/>
        <v>21</v>
      </c>
      <c r="E240" s="47" t="str">
        <f t="shared" si="1"/>
        <v>Monday</v>
      </c>
      <c r="F240" s="47" t="s">
        <v>16</v>
      </c>
      <c r="G240" s="43" t="s">
        <v>36</v>
      </c>
      <c r="H240" s="43" t="s">
        <v>37</v>
      </c>
      <c r="I240" s="48">
        <v>1</v>
      </c>
      <c r="J240" s="49">
        <f>K240/I240</f>
        <v>3000</v>
      </c>
      <c r="K240" s="49">
        <v>3000</v>
      </c>
      <c r="L240" s="47" t="s">
        <v>22</v>
      </c>
      <c r="M240" s="46">
        <v>0</v>
      </c>
      <c r="N240" s="48">
        <v>4</v>
      </c>
      <c r="O240" s="47" t="s">
        <v>33</v>
      </c>
    </row>
    <row r="241" ht="14.25" customHeight="1" spans="1:15">
      <c r="A241" s="43" t="s">
        <v>636</v>
      </c>
      <c r="B241" s="44">
        <v>46083</v>
      </c>
      <c r="C241" s="45">
        <v>0.896527777777778</v>
      </c>
      <c r="D241" s="46">
        <f t="shared" si="0"/>
        <v>21</v>
      </c>
      <c r="E241" s="47" t="str">
        <f t="shared" si="1"/>
        <v>Monday</v>
      </c>
      <c r="F241" s="47" t="s">
        <v>43</v>
      </c>
      <c r="G241" s="47" t="s">
        <v>367</v>
      </c>
      <c r="H241" s="43" t="s">
        <v>109</v>
      </c>
      <c r="I241" s="48">
        <v>3</v>
      </c>
      <c r="J241" s="50">
        <v>7000</v>
      </c>
      <c r="K241" s="49">
        <v>21000</v>
      </c>
      <c r="L241" s="47" t="s">
        <v>22</v>
      </c>
      <c r="M241" s="46">
        <v>0</v>
      </c>
      <c r="N241" s="48">
        <v>4</v>
      </c>
      <c r="O241" s="47" t="s">
        <v>73</v>
      </c>
    </row>
    <row r="242" ht="14.25" customHeight="1" spans="1:15">
      <c r="A242" s="43" t="s">
        <v>639</v>
      </c>
      <c r="B242" s="44">
        <v>46083</v>
      </c>
      <c r="C242" s="45">
        <v>0.911111111111111</v>
      </c>
      <c r="D242" s="46">
        <f t="shared" si="0"/>
        <v>21</v>
      </c>
      <c r="E242" s="47" t="str">
        <f t="shared" si="1"/>
        <v>Monday</v>
      </c>
      <c r="F242" s="47" t="s">
        <v>43</v>
      </c>
      <c r="G242" s="47" t="s">
        <v>57</v>
      </c>
      <c r="H242" s="43" t="s">
        <v>28</v>
      </c>
      <c r="I242" s="48">
        <v>1</v>
      </c>
      <c r="J242" s="49">
        <v>18000</v>
      </c>
      <c r="K242" s="49">
        <v>18000</v>
      </c>
      <c r="L242" s="47" t="s">
        <v>22</v>
      </c>
      <c r="M242" s="46">
        <v>0</v>
      </c>
      <c r="N242" s="48" t="s">
        <v>23</v>
      </c>
      <c r="O242" s="47" t="s">
        <v>47</v>
      </c>
    </row>
    <row r="243" ht="14.25" customHeight="1" spans="1:15">
      <c r="A243" s="43" t="s">
        <v>640</v>
      </c>
      <c r="B243" s="44">
        <v>46084</v>
      </c>
      <c r="C243" s="45">
        <v>0.842361111111111</v>
      </c>
      <c r="D243" s="46">
        <f t="shared" si="0"/>
        <v>20</v>
      </c>
      <c r="E243" s="47" t="str">
        <f t="shared" si="1"/>
        <v>Tuesday</v>
      </c>
      <c r="F243" s="47" t="s">
        <v>107</v>
      </c>
      <c r="G243" s="43" t="s">
        <v>36</v>
      </c>
      <c r="H243" s="43" t="str">
        <f>VLOOKUP(G243,'02_Menu_Lookup'!$A$2:$C$16,2,FALSE)</f>
        <v>Sandwiches</v>
      </c>
      <c r="I243" s="48">
        <v>1</v>
      </c>
      <c r="J243" s="49">
        <v>3000</v>
      </c>
      <c r="K243" s="49">
        <v>3000</v>
      </c>
      <c r="L243" s="47" t="s">
        <v>22</v>
      </c>
      <c r="M243" s="46">
        <v>0</v>
      </c>
      <c r="N243" s="48" t="s">
        <v>23</v>
      </c>
      <c r="O243" s="47" t="s">
        <v>47</v>
      </c>
    </row>
    <row r="244" ht="14.25" customHeight="1" spans="1:15">
      <c r="A244" s="43" t="s">
        <v>642</v>
      </c>
      <c r="B244" s="44">
        <v>46084</v>
      </c>
      <c r="C244" s="45">
        <v>0.852777777777778</v>
      </c>
      <c r="D244" s="46">
        <f t="shared" si="0"/>
        <v>20</v>
      </c>
      <c r="E244" s="47" t="str">
        <f t="shared" si="1"/>
        <v>Tuesday</v>
      </c>
      <c r="F244" s="47" t="s">
        <v>16</v>
      </c>
      <c r="G244" s="47" t="s">
        <v>63</v>
      </c>
      <c r="H244" s="43" t="s">
        <v>18</v>
      </c>
      <c r="I244" s="48">
        <v>1</v>
      </c>
      <c r="J244" s="49">
        <v>1500</v>
      </c>
      <c r="K244" s="49">
        <v>1500</v>
      </c>
      <c r="L244" s="47" t="s">
        <v>22</v>
      </c>
      <c r="M244" s="46">
        <v>0</v>
      </c>
      <c r="N244" s="48">
        <v>3</v>
      </c>
      <c r="O244" s="47" t="s">
        <v>47</v>
      </c>
    </row>
    <row r="245" ht="14.25" customHeight="1" spans="1:15">
      <c r="A245" s="43" t="s">
        <v>645</v>
      </c>
      <c r="B245" s="44">
        <v>46084</v>
      </c>
      <c r="C245" s="45">
        <v>0.905555555555556</v>
      </c>
      <c r="D245" s="46">
        <f t="shared" si="0"/>
        <v>21</v>
      </c>
      <c r="E245" s="47" t="str">
        <f t="shared" si="1"/>
        <v>Tuesday</v>
      </c>
      <c r="F245" s="47" t="s">
        <v>16</v>
      </c>
      <c r="G245" s="43" t="s">
        <v>647</v>
      </c>
      <c r="H245" s="43" t="s">
        <v>45</v>
      </c>
      <c r="I245" s="48">
        <v>1</v>
      </c>
      <c r="J245" s="49">
        <v>4500</v>
      </c>
      <c r="K245" s="50">
        <v>3825</v>
      </c>
      <c r="L245" s="47" t="s">
        <v>32</v>
      </c>
      <c r="M245" s="51">
        <v>0.15</v>
      </c>
      <c r="N245" s="48">
        <v>2</v>
      </c>
      <c r="O245" s="47" t="s">
        <v>40</v>
      </c>
    </row>
    <row r="246" ht="14.25" customHeight="1" spans="1:15">
      <c r="A246" s="43" t="s">
        <v>649</v>
      </c>
      <c r="B246" s="44">
        <v>46086</v>
      </c>
      <c r="C246" s="45">
        <v>0.5125</v>
      </c>
      <c r="D246" s="46">
        <f t="shared" si="0"/>
        <v>12</v>
      </c>
      <c r="E246" s="47" t="str">
        <f t="shared" si="1"/>
        <v>Thursday</v>
      </c>
      <c r="F246" s="47" t="s">
        <v>16</v>
      </c>
      <c r="G246" s="47" t="s">
        <v>57</v>
      </c>
      <c r="H246" s="43" t="s">
        <v>28</v>
      </c>
      <c r="I246" s="48">
        <v>1</v>
      </c>
      <c r="J246" s="49">
        <v>18000</v>
      </c>
      <c r="K246" s="49">
        <f>I246*J246</f>
        <v>18000</v>
      </c>
      <c r="L246" s="47" t="s">
        <v>22</v>
      </c>
      <c r="M246" s="46">
        <v>0</v>
      </c>
      <c r="N246" s="48">
        <v>5</v>
      </c>
      <c r="O246" s="47" t="s">
        <v>73</v>
      </c>
    </row>
    <row r="247" ht="14.25" customHeight="1" spans="1:15">
      <c r="A247" s="43" t="s">
        <v>652</v>
      </c>
      <c r="B247" s="44">
        <v>46086</v>
      </c>
      <c r="C247" s="45">
        <v>0.542361111111111</v>
      </c>
      <c r="D247" s="46">
        <f t="shared" si="0"/>
        <v>13</v>
      </c>
      <c r="E247" s="47" t="str">
        <f t="shared" si="1"/>
        <v>Thursday</v>
      </c>
      <c r="F247" s="47" t="s">
        <v>107</v>
      </c>
      <c r="G247" s="47" t="s">
        <v>63</v>
      </c>
      <c r="H247" s="43" t="s">
        <v>18</v>
      </c>
      <c r="I247" s="48">
        <v>2</v>
      </c>
      <c r="J247" s="49">
        <v>1500</v>
      </c>
      <c r="K247" s="49">
        <v>3000</v>
      </c>
      <c r="L247" s="47" t="s">
        <v>22</v>
      </c>
      <c r="M247" s="46">
        <v>0</v>
      </c>
      <c r="N247" s="48" t="s">
        <v>23</v>
      </c>
      <c r="O247" s="47" t="s">
        <v>33</v>
      </c>
    </row>
    <row r="248" ht="14.25" customHeight="1" spans="1:15">
      <c r="A248" s="43" t="s">
        <v>654</v>
      </c>
      <c r="B248" s="44">
        <v>46086</v>
      </c>
      <c r="C248" s="45">
        <v>0.56875</v>
      </c>
      <c r="D248" s="46">
        <f t="shared" si="0"/>
        <v>13</v>
      </c>
      <c r="E248" s="47" t="str">
        <f t="shared" si="1"/>
        <v>Thursday</v>
      </c>
      <c r="F248" s="47" t="s">
        <v>107</v>
      </c>
      <c r="G248" s="47" t="s">
        <v>103</v>
      </c>
      <c r="H248" s="43" t="s">
        <v>37</v>
      </c>
      <c r="I248" s="48">
        <v>1</v>
      </c>
      <c r="J248" s="49">
        <v>5000</v>
      </c>
      <c r="K248" s="49">
        <v>5000</v>
      </c>
      <c r="L248" s="47" t="s">
        <v>22</v>
      </c>
      <c r="M248" s="46">
        <v>0</v>
      </c>
      <c r="N248" s="48" t="s">
        <v>23</v>
      </c>
      <c r="O248" s="47" t="s">
        <v>73</v>
      </c>
    </row>
    <row r="249" ht="14.25" customHeight="1" spans="1:15">
      <c r="A249" s="43" t="s">
        <v>656</v>
      </c>
      <c r="B249" s="44">
        <v>46086</v>
      </c>
      <c r="C249" s="45">
        <v>0.570138888888889</v>
      </c>
      <c r="D249" s="46">
        <f t="shared" si="0"/>
        <v>13</v>
      </c>
      <c r="E249" s="47" t="str">
        <f t="shared" si="1"/>
        <v>Thursday</v>
      </c>
      <c r="F249" s="47" t="s">
        <v>16</v>
      </c>
      <c r="G249" s="47" t="s">
        <v>146</v>
      </c>
      <c r="H249" s="43" t="s">
        <v>28</v>
      </c>
      <c r="I249" s="48">
        <v>2</v>
      </c>
      <c r="J249" s="49">
        <v>16000</v>
      </c>
      <c r="K249" s="50">
        <v>28800</v>
      </c>
      <c r="L249" s="47" t="s">
        <v>22</v>
      </c>
      <c r="M249" s="51">
        <v>0.1</v>
      </c>
      <c r="N249" s="48">
        <v>4</v>
      </c>
      <c r="O249" s="47" t="s">
        <v>73</v>
      </c>
    </row>
    <row r="250" ht="14.25" customHeight="1" spans="1:15">
      <c r="A250" s="43" t="s">
        <v>660</v>
      </c>
      <c r="B250" s="44">
        <v>46086</v>
      </c>
      <c r="C250" s="45">
        <v>0.615277777777778</v>
      </c>
      <c r="D250" s="46">
        <f t="shared" si="0"/>
        <v>14</v>
      </c>
      <c r="E250" s="47" t="str">
        <f t="shared" si="1"/>
        <v>Thursday</v>
      </c>
      <c r="F250" s="47" t="s">
        <v>16</v>
      </c>
      <c r="G250" s="47" t="s">
        <v>17</v>
      </c>
      <c r="H250" s="43" t="s">
        <v>18</v>
      </c>
      <c r="I250" s="48">
        <v>1</v>
      </c>
      <c r="J250" s="50">
        <v>1000</v>
      </c>
      <c r="K250" s="50">
        <v>850</v>
      </c>
      <c r="L250" s="47" t="s">
        <v>22</v>
      </c>
      <c r="M250" s="51">
        <v>0.15</v>
      </c>
      <c r="N250" s="48" t="s">
        <v>23</v>
      </c>
      <c r="O250" s="47" t="s">
        <v>33</v>
      </c>
    </row>
    <row r="251" ht="14.25" customHeight="1" spans="1:15">
      <c r="A251" s="43" t="s">
        <v>665</v>
      </c>
      <c r="B251" s="44">
        <v>46088</v>
      </c>
      <c r="C251" s="45">
        <v>0.890277777777778</v>
      </c>
      <c r="D251" s="46">
        <f t="shared" si="0"/>
        <v>21</v>
      </c>
      <c r="E251" s="47" t="str">
        <f t="shared" si="1"/>
        <v>Saturday</v>
      </c>
      <c r="F251" s="47" t="s">
        <v>16</v>
      </c>
      <c r="G251" s="47" t="s">
        <v>63</v>
      </c>
      <c r="H251" s="43" t="s">
        <v>18</v>
      </c>
      <c r="I251" s="48">
        <v>2</v>
      </c>
      <c r="J251" s="49">
        <v>1500</v>
      </c>
      <c r="K251" s="49">
        <v>3000</v>
      </c>
      <c r="L251" s="47" t="s">
        <v>32</v>
      </c>
      <c r="M251" s="46">
        <v>0</v>
      </c>
      <c r="N251" s="48">
        <v>5</v>
      </c>
      <c r="O251" s="47" t="s">
        <v>47</v>
      </c>
    </row>
    <row r="252" ht="14.25" customHeight="1" spans="1:15">
      <c r="A252" s="43" t="s">
        <v>667</v>
      </c>
      <c r="B252" s="44">
        <v>46086</v>
      </c>
      <c r="C252" s="45">
        <v>0.820833333333333</v>
      </c>
      <c r="D252" s="46">
        <f t="shared" si="0"/>
        <v>19</v>
      </c>
      <c r="E252" s="47" t="str">
        <f t="shared" si="1"/>
        <v>Thursday</v>
      </c>
      <c r="F252" s="47" t="s">
        <v>16</v>
      </c>
      <c r="G252" s="47" t="s">
        <v>63</v>
      </c>
      <c r="H252" s="43" t="s">
        <v>18</v>
      </c>
      <c r="I252" s="48">
        <v>1</v>
      </c>
      <c r="J252" s="49">
        <v>1500</v>
      </c>
      <c r="K252" s="49">
        <v>1500</v>
      </c>
      <c r="L252" s="47" t="s">
        <v>22</v>
      </c>
      <c r="M252" s="46">
        <v>0</v>
      </c>
      <c r="N252" s="48" t="s">
        <v>23</v>
      </c>
      <c r="O252" s="47" t="s">
        <v>47</v>
      </c>
    </row>
    <row r="253" ht="14.25" customHeight="1" spans="1:15">
      <c r="A253" s="43" t="s">
        <v>668</v>
      </c>
      <c r="B253" s="44">
        <v>46086</v>
      </c>
      <c r="C253" s="45">
        <v>0.834027777777778</v>
      </c>
      <c r="D253" s="46">
        <f t="shared" si="0"/>
        <v>20</v>
      </c>
      <c r="E253" s="47" t="str">
        <f t="shared" si="1"/>
        <v>Thursday</v>
      </c>
      <c r="F253" s="47" t="s">
        <v>16</v>
      </c>
      <c r="G253" s="47" t="s">
        <v>17</v>
      </c>
      <c r="H253" s="43" t="s">
        <v>18</v>
      </c>
      <c r="I253" s="48">
        <v>1</v>
      </c>
      <c r="J253" s="49">
        <v>1000</v>
      </c>
      <c r="K253" s="49">
        <v>1000</v>
      </c>
      <c r="L253" s="47" t="s">
        <v>22</v>
      </c>
      <c r="M253" s="46">
        <v>0</v>
      </c>
      <c r="N253" s="48" t="s">
        <v>23</v>
      </c>
      <c r="O253" s="47" t="s">
        <v>33</v>
      </c>
    </row>
    <row r="254" ht="14.25" customHeight="1" spans="1:15">
      <c r="A254" s="43" t="s">
        <v>669</v>
      </c>
      <c r="B254" s="44">
        <v>46086</v>
      </c>
      <c r="C254" s="45">
        <v>0.859722222222222</v>
      </c>
      <c r="D254" s="46">
        <f t="shared" si="0"/>
        <v>20</v>
      </c>
      <c r="E254" s="47" t="str">
        <f t="shared" si="1"/>
        <v>Thursday</v>
      </c>
      <c r="F254" s="47" t="s">
        <v>16</v>
      </c>
      <c r="G254" s="47" t="s">
        <v>103</v>
      </c>
      <c r="H254" s="43" t="s">
        <v>37</v>
      </c>
      <c r="I254" s="48">
        <v>1</v>
      </c>
      <c r="J254" s="49">
        <v>5000</v>
      </c>
      <c r="K254" s="50">
        <v>4500</v>
      </c>
      <c r="L254" s="47" t="s">
        <v>22</v>
      </c>
      <c r="M254" s="51">
        <v>0.1</v>
      </c>
      <c r="N254" s="48">
        <v>4</v>
      </c>
      <c r="O254" s="47" t="s">
        <v>47</v>
      </c>
    </row>
    <row r="255" ht="14.25" customHeight="1" spans="1:15">
      <c r="A255" s="43" t="s">
        <v>671</v>
      </c>
      <c r="B255" s="44">
        <v>46086</v>
      </c>
      <c r="C255" s="45">
        <v>0.869444444444444</v>
      </c>
      <c r="D255" s="46">
        <f t="shared" si="0"/>
        <v>20</v>
      </c>
      <c r="E255" s="47" t="str">
        <f t="shared" si="1"/>
        <v>Thursday</v>
      </c>
      <c r="F255" s="47" t="s">
        <v>16</v>
      </c>
      <c r="G255" s="47" t="s">
        <v>50</v>
      </c>
      <c r="H255" s="43" t="s">
        <v>28</v>
      </c>
      <c r="I255" s="48">
        <v>1</v>
      </c>
      <c r="J255" s="49">
        <v>25000</v>
      </c>
      <c r="K255" s="49">
        <v>25000</v>
      </c>
      <c r="L255" s="47" t="s">
        <v>32</v>
      </c>
      <c r="M255" s="46">
        <v>0</v>
      </c>
      <c r="N255" s="48" t="s">
        <v>23</v>
      </c>
      <c r="O255" s="47" t="s">
        <v>47</v>
      </c>
    </row>
    <row r="256" ht="14.25" customHeight="1" spans="1:15">
      <c r="A256" s="43" t="s">
        <v>673</v>
      </c>
      <c r="B256" s="44">
        <v>46086</v>
      </c>
      <c r="C256" s="45">
        <v>0.897916666666667</v>
      </c>
      <c r="D256" s="46">
        <f t="shared" si="0"/>
        <v>21</v>
      </c>
      <c r="E256" s="47" t="str">
        <f t="shared" si="1"/>
        <v>Thursday</v>
      </c>
      <c r="F256" s="47" t="s">
        <v>16</v>
      </c>
      <c r="G256" s="47" t="s">
        <v>63</v>
      </c>
      <c r="H256" s="43" t="s">
        <v>18</v>
      </c>
      <c r="I256" s="48">
        <v>1</v>
      </c>
      <c r="J256" s="49">
        <v>1500</v>
      </c>
      <c r="K256" s="49">
        <v>1500</v>
      </c>
      <c r="L256" s="47" t="s">
        <v>22</v>
      </c>
      <c r="M256" s="46">
        <v>0</v>
      </c>
      <c r="N256" s="48" t="s">
        <v>23</v>
      </c>
      <c r="O256" s="47" t="s">
        <v>47</v>
      </c>
    </row>
    <row r="257" ht="14.25" customHeight="1" spans="1:15">
      <c r="A257" s="43" t="s">
        <v>675</v>
      </c>
      <c r="B257" s="44">
        <v>46086</v>
      </c>
      <c r="C257" s="45">
        <v>0.946527777777778</v>
      </c>
      <c r="D257" s="46">
        <f t="shared" si="0"/>
        <v>22</v>
      </c>
      <c r="E257" s="47" t="str">
        <f t="shared" si="1"/>
        <v>Thursday</v>
      </c>
      <c r="F257" s="47" t="s">
        <v>43</v>
      </c>
      <c r="G257" s="47" t="s">
        <v>50</v>
      </c>
      <c r="H257" s="43" t="s">
        <v>28</v>
      </c>
      <c r="I257" s="48">
        <v>1</v>
      </c>
      <c r="J257" s="49">
        <v>25000</v>
      </c>
      <c r="K257" s="49">
        <v>25000</v>
      </c>
      <c r="L257" s="47" t="s">
        <v>32</v>
      </c>
      <c r="M257" s="46">
        <v>0</v>
      </c>
      <c r="N257" s="48" t="s">
        <v>23</v>
      </c>
      <c r="O257" s="47" t="s">
        <v>40</v>
      </c>
    </row>
    <row r="258" ht="14.25" customHeight="1" spans="1:15">
      <c r="A258" s="43" t="s">
        <v>677</v>
      </c>
      <c r="B258" s="44">
        <v>46086</v>
      </c>
      <c r="C258" s="45">
        <v>0.959027777777778</v>
      </c>
      <c r="D258" s="46">
        <f t="shared" si="0"/>
        <v>23</v>
      </c>
      <c r="E258" s="47" t="str">
        <f t="shared" si="1"/>
        <v>Thursday</v>
      </c>
      <c r="F258" s="47" t="s">
        <v>16</v>
      </c>
      <c r="G258" s="47" t="s">
        <v>50</v>
      </c>
      <c r="H258" s="43" t="s">
        <v>28</v>
      </c>
      <c r="I258" s="48">
        <v>1</v>
      </c>
      <c r="J258" s="49">
        <v>25000</v>
      </c>
      <c r="K258" s="49">
        <v>25000</v>
      </c>
      <c r="L258" s="47" t="s">
        <v>22</v>
      </c>
      <c r="M258" s="46">
        <v>0</v>
      </c>
      <c r="N258" s="48">
        <v>4</v>
      </c>
      <c r="O258" s="47" t="s">
        <v>40</v>
      </c>
    </row>
    <row r="259" ht="14.25" customHeight="1" spans="1:15">
      <c r="A259" s="43" t="s">
        <v>678</v>
      </c>
      <c r="B259" s="44">
        <v>46086</v>
      </c>
      <c r="C259" s="45">
        <v>0.974305555555556</v>
      </c>
      <c r="D259" s="46">
        <f t="shared" si="0"/>
        <v>23</v>
      </c>
      <c r="E259" s="47" t="str">
        <f t="shared" si="1"/>
        <v>Thursday</v>
      </c>
      <c r="F259" s="47" t="s">
        <v>43</v>
      </c>
      <c r="G259" s="47" t="s">
        <v>103</v>
      </c>
      <c r="H259" s="43" t="s">
        <v>37</v>
      </c>
      <c r="I259" s="48">
        <v>1</v>
      </c>
      <c r="J259" s="49">
        <v>5000</v>
      </c>
      <c r="K259" s="49">
        <v>5000</v>
      </c>
      <c r="L259" s="47" t="s">
        <v>22</v>
      </c>
      <c r="M259" s="46">
        <v>0</v>
      </c>
      <c r="N259" s="48">
        <v>5</v>
      </c>
      <c r="O259" s="47" t="s">
        <v>73</v>
      </c>
    </row>
    <row r="260" ht="14.25" customHeight="1" spans="1:15">
      <c r="A260" s="43" t="s">
        <v>681</v>
      </c>
      <c r="B260" s="44">
        <v>46086</v>
      </c>
      <c r="C260" s="45">
        <v>0.986111111111111</v>
      </c>
      <c r="D260" s="46">
        <f t="shared" si="0"/>
        <v>23</v>
      </c>
      <c r="E260" s="47" t="str">
        <f t="shared" si="1"/>
        <v>Thursday</v>
      </c>
      <c r="F260" s="47" t="s">
        <v>16</v>
      </c>
      <c r="G260" s="47" t="s">
        <v>81</v>
      </c>
      <c r="H260" s="43" t="s">
        <v>37</v>
      </c>
      <c r="I260" s="48">
        <v>1</v>
      </c>
      <c r="J260" s="49">
        <v>6000</v>
      </c>
      <c r="K260" s="50">
        <v>5100</v>
      </c>
      <c r="L260" s="47" t="s">
        <v>22</v>
      </c>
      <c r="M260" s="51">
        <v>0.15</v>
      </c>
      <c r="N260" s="48">
        <v>3</v>
      </c>
      <c r="O260" s="47" t="s">
        <v>73</v>
      </c>
    </row>
    <row r="261" ht="14.25" customHeight="1" spans="1:15">
      <c r="A261" s="43" t="s">
        <v>684</v>
      </c>
      <c r="B261" s="44">
        <v>46087</v>
      </c>
      <c r="C261" s="45">
        <v>0.536805555555556</v>
      </c>
      <c r="D261" s="46">
        <f t="shared" si="0"/>
        <v>12</v>
      </c>
      <c r="E261" s="47" t="str">
        <f t="shared" si="1"/>
        <v>Friday</v>
      </c>
      <c r="F261" s="47" t="s">
        <v>43</v>
      </c>
      <c r="G261" s="47" t="s">
        <v>103</v>
      </c>
      <c r="H261" s="43" t="s">
        <v>37</v>
      </c>
      <c r="I261" s="48">
        <v>1</v>
      </c>
      <c r="J261" s="49">
        <v>5000</v>
      </c>
      <c r="K261" s="49">
        <v>5000</v>
      </c>
      <c r="L261" s="47" t="s">
        <v>32</v>
      </c>
      <c r="M261" s="46">
        <v>0</v>
      </c>
      <c r="N261" s="48" t="s">
        <v>23</v>
      </c>
      <c r="O261" s="47" t="s">
        <v>47</v>
      </c>
    </row>
    <row r="262" ht="14.25" customHeight="1" spans="1:15">
      <c r="A262" s="43" t="s">
        <v>687</v>
      </c>
      <c r="B262" s="44">
        <v>46087</v>
      </c>
      <c r="C262" s="45">
        <v>0.547916666666667</v>
      </c>
      <c r="D262" s="46">
        <f t="shared" si="0"/>
        <v>13</v>
      </c>
      <c r="E262" s="47" t="str">
        <f t="shared" si="1"/>
        <v>Friday</v>
      </c>
      <c r="F262" s="47" t="s">
        <v>16</v>
      </c>
      <c r="G262" s="47" t="s">
        <v>44</v>
      </c>
      <c r="H262" s="43" t="str">
        <f>VLOOKUP(G262,'02_Menu_Lookup'!$A$2:$C$16,2,FALSE)</f>
        <v>Appetizers</v>
      </c>
      <c r="I262" s="48">
        <v>1</v>
      </c>
      <c r="J262" s="49">
        <v>4000</v>
      </c>
      <c r="K262" s="49">
        <v>4000</v>
      </c>
      <c r="L262" s="47" t="s">
        <v>32</v>
      </c>
      <c r="M262" s="46">
        <v>0</v>
      </c>
      <c r="N262" s="48">
        <v>5</v>
      </c>
      <c r="O262" s="47" t="s">
        <v>40</v>
      </c>
    </row>
    <row r="263" ht="14.25" customHeight="1" spans="1:15">
      <c r="A263" s="43" t="s">
        <v>689</v>
      </c>
      <c r="B263" s="44">
        <v>46087</v>
      </c>
      <c r="C263" s="45">
        <v>0.615277777777778</v>
      </c>
      <c r="D263" s="46">
        <f t="shared" si="0"/>
        <v>14</v>
      </c>
      <c r="E263" s="47" t="str">
        <f t="shared" si="1"/>
        <v>Friday</v>
      </c>
      <c r="F263" s="47" t="s">
        <v>107</v>
      </c>
      <c r="G263" s="47" t="s">
        <v>81</v>
      </c>
      <c r="H263" s="43" t="s">
        <v>37</v>
      </c>
      <c r="I263" s="48">
        <v>1</v>
      </c>
      <c r="J263" s="49">
        <v>6000</v>
      </c>
      <c r="K263" s="49">
        <v>6000</v>
      </c>
      <c r="L263" s="47" t="s">
        <v>22</v>
      </c>
      <c r="M263" s="46">
        <v>0</v>
      </c>
      <c r="N263" s="48">
        <v>3</v>
      </c>
      <c r="O263" s="47" t="s">
        <v>33</v>
      </c>
    </row>
    <row r="264" ht="14.25" customHeight="1" spans="1:15">
      <c r="A264" s="43" t="s">
        <v>691</v>
      </c>
      <c r="B264" s="44">
        <v>46087</v>
      </c>
      <c r="C264" s="45">
        <v>0.625694444444444</v>
      </c>
      <c r="D264" s="46">
        <f t="shared" si="0"/>
        <v>15</v>
      </c>
      <c r="E264" s="47" t="str">
        <f t="shared" si="1"/>
        <v>Friday</v>
      </c>
      <c r="F264" s="47" t="s">
        <v>16</v>
      </c>
      <c r="G264" s="47" t="s">
        <v>17</v>
      </c>
      <c r="H264" s="43" t="s">
        <v>18</v>
      </c>
      <c r="I264" s="48">
        <v>2</v>
      </c>
      <c r="J264" s="49">
        <v>1000</v>
      </c>
      <c r="K264" s="49">
        <v>2000</v>
      </c>
      <c r="L264" s="47" t="s">
        <v>32</v>
      </c>
      <c r="M264" s="46">
        <v>0</v>
      </c>
      <c r="N264" s="48">
        <v>5</v>
      </c>
      <c r="O264" s="47" t="s">
        <v>40</v>
      </c>
    </row>
    <row r="265" ht="14.25" customHeight="1" spans="1:15">
      <c r="A265" s="43" t="s">
        <v>693</v>
      </c>
      <c r="B265" s="44">
        <v>46087</v>
      </c>
      <c r="C265" s="45">
        <v>0.625694444444444</v>
      </c>
      <c r="D265" s="46">
        <f t="shared" si="0"/>
        <v>15</v>
      </c>
      <c r="E265" s="47" t="str">
        <f t="shared" si="1"/>
        <v>Friday</v>
      </c>
      <c r="F265" s="47" t="s">
        <v>16</v>
      </c>
      <c r="G265" s="47" t="s">
        <v>103</v>
      </c>
      <c r="H265" s="43" t="s">
        <v>37</v>
      </c>
      <c r="I265" s="48">
        <v>1</v>
      </c>
      <c r="J265" s="49">
        <v>5000</v>
      </c>
      <c r="K265" s="49">
        <v>5000</v>
      </c>
      <c r="L265" s="47" t="s">
        <v>22</v>
      </c>
      <c r="M265" s="46">
        <v>0</v>
      </c>
      <c r="N265" s="48" t="s">
        <v>23</v>
      </c>
      <c r="O265" s="47" t="s">
        <v>40</v>
      </c>
    </row>
    <row r="266" ht="14.25" customHeight="1" spans="1:15">
      <c r="A266" s="43" t="s">
        <v>694</v>
      </c>
      <c r="B266" s="44">
        <v>46087</v>
      </c>
      <c r="C266" s="45">
        <v>0.664583333333333</v>
      </c>
      <c r="D266" s="46">
        <f t="shared" si="0"/>
        <v>15</v>
      </c>
      <c r="E266" s="47" t="str">
        <f t="shared" si="1"/>
        <v>Friday</v>
      </c>
      <c r="F266" s="47" t="s">
        <v>16</v>
      </c>
      <c r="G266" s="47" t="s">
        <v>63</v>
      </c>
      <c r="H266" s="43" t="s">
        <v>18</v>
      </c>
      <c r="I266" s="48">
        <v>1</v>
      </c>
      <c r="J266" s="49">
        <v>1500</v>
      </c>
      <c r="K266" s="49">
        <v>1500</v>
      </c>
      <c r="L266" s="47" t="s">
        <v>22</v>
      </c>
      <c r="M266" s="46">
        <v>0</v>
      </c>
      <c r="N266" s="48" t="s">
        <v>23</v>
      </c>
      <c r="O266" s="47" t="s">
        <v>47</v>
      </c>
    </row>
    <row r="267" ht="14.25" customHeight="1" spans="1:15">
      <c r="A267" s="43" t="s">
        <v>696</v>
      </c>
      <c r="B267" s="44">
        <v>46087</v>
      </c>
      <c r="C267" s="45">
        <v>0.721527777777778</v>
      </c>
      <c r="D267" s="46">
        <f t="shared" si="0"/>
        <v>17</v>
      </c>
      <c r="E267" s="47" t="str">
        <f t="shared" si="1"/>
        <v>Friday</v>
      </c>
      <c r="F267" s="47" t="s">
        <v>16</v>
      </c>
      <c r="G267" s="47" t="s">
        <v>17</v>
      </c>
      <c r="H267" s="43" t="s">
        <v>18</v>
      </c>
      <c r="I267" s="48">
        <v>1</v>
      </c>
      <c r="J267" s="49">
        <v>1000</v>
      </c>
      <c r="K267" s="49">
        <v>1000</v>
      </c>
      <c r="L267" s="47" t="s">
        <v>32</v>
      </c>
      <c r="M267" s="46">
        <v>0</v>
      </c>
      <c r="N267" s="48">
        <v>5</v>
      </c>
      <c r="O267" s="47" t="s">
        <v>24</v>
      </c>
    </row>
    <row r="268" ht="14.25" customHeight="1" spans="1:15">
      <c r="A268" s="43" t="s">
        <v>698</v>
      </c>
      <c r="B268" s="44">
        <v>46087</v>
      </c>
      <c r="C268" s="45">
        <v>0.759027777777778</v>
      </c>
      <c r="D268" s="46">
        <f t="shared" si="0"/>
        <v>18</v>
      </c>
      <c r="E268" s="47" t="str">
        <f t="shared" si="1"/>
        <v>Friday</v>
      </c>
      <c r="F268" s="47" t="s">
        <v>16</v>
      </c>
      <c r="G268" s="47" t="s">
        <v>63</v>
      </c>
      <c r="H268" s="43" t="s">
        <v>18</v>
      </c>
      <c r="I268" s="48">
        <v>1</v>
      </c>
      <c r="J268" s="49">
        <v>1500</v>
      </c>
      <c r="K268" s="49">
        <v>1500</v>
      </c>
      <c r="L268" s="47" t="s">
        <v>22</v>
      </c>
      <c r="M268" s="46">
        <v>0</v>
      </c>
      <c r="N268" s="48" t="s">
        <v>23</v>
      </c>
      <c r="O268" s="47" t="s">
        <v>24</v>
      </c>
    </row>
    <row r="269" ht="14.25" customHeight="1" spans="1:15">
      <c r="A269" s="43" t="s">
        <v>701</v>
      </c>
      <c r="B269" s="44">
        <v>46087</v>
      </c>
      <c r="C269" s="45">
        <v>0.822916666666667</v>
      </c>
      <c r="D269" s="46">
        <f t="shared" si="0"/>
        <v>19</v>
      </c>
      <c r="E269" s="47" t="str">
        <f t="shared" si="1"/>
        <v>Friday</v>
      </c>
      <c r="F269" s="47" t="s">
        <v>107</v>
      </c>
      <c r="G269" s="47" t="s">
        <v>103</v>
      </c>
      <c r="H269" s="43" t="s">
        <v>37</v>
      </c>
      <c r="I269" s="48">
        <v>1</v>
      </c>
      <c r="J269" s="49">
        <v>5000</v>
      </c>
      <c r="K269" s="49">
        <f>I269*J269</f>
        <v>5000</v>
      </c>
      <c r="L269" s="47" t="s">
        <v>22</v>
      </c>
      <c r="M269" s="46">
        <v>0</v>
      </c>
      <c r="N269" s="48">
        <v>4</v>
      </c>
      <c r="O269" s="47" t="s">
        <v>33</v>
      </c>
    </row>
    <row r="270" ht="14.25" customHeight="1" spans="1:15">
      <c r="A270" s="43" t="s">
        <v>702</v>
      </c>
      <c r="B270" s="44">
        <v>46087</v>
      </c>
      <c r="C270" s="45">
        <v>0.829166666666667</v>
      </c>
      <c r="D270" s="46">
        <f t="shared" si="0"/>
        <v>19</v>
      </c>
      <c r="E270" s="47" t="str">
        <f t="shared" si="1"/>
        <v>Friday</v>
      </c>
      <c r="F270" s="47" t="s">
        <v>16</v>
      </c>
      <c r="G270" s="47" t="s">
        <v>17</v>
      </c>
      <c r="H270" s="43" t="s">
        <v>18</v>
      </c>
      <c r="I270" s="48">
        <v>1</v>
      </c>
      <c r="J270" s="49">
        <v>1000</v>
      </c>
      <c r="K270" s="49">
        <v>1000</v>
      </c>
      <c r="L270" s="47" t="s">
        <v>22</v>
      </c>
      <c r="M270" s="46">
        <v>0</v>
      </c>
      <c r="N270" s="48" t="s">
        <v>23</v>
      </c>
      <c r="O270" s="47" t="s">
        <v>40</v>
      </c>
    </row>
    <row r="271" ht="14.25" customHeight="1" spans="1:15">
      <c r="A271" s="43" t="s">
        <v>704</v>
      </c>
      <c r="B271" s="44">
        <v>46087</v>
      </c>
      <c r="C271" s="45">
        <v>0.840277777777778</v>
      </c>
      <c r="D271" s="46">
        <f t="shared" si="0"/>
        <v>20</v>
      </c>
      <c r="E271" s="47" t="str">
        <f t="shared" si="1"/>
        <v>Friday</v>
      </c>
      <c r="F271" s="47" t="s">
        <v>16</v>
      </c>
      <c r="G271" s="47" t="s">
        <v>63</v>
      </c>
      <c r="H271" s="43" t="s">
        <v>18</v>
      </c>
      <c r="I271" s="48">
        <v>1</v>
      </c>
      <c r="J271" s="49">
        <v>1500</v>
      </c>
      <c r="K271" s="49">
        <v>1500</v>
      </c>
      <c r="L271" s="47" t="s">
        <v>22</v>
      </c>
      <c r="M271" s="46">
        <v>0</v>
      </c>
      <c r="N271" s="48">
        <v>4</v>
      </c>
      <c r="O271" s="47" t="s">
        <v>40</v>
      </c>
    </row>
    <row r="272" ht="14.25" customHeight="1" spans="1:15">
      <c r="A272" s="43" t="s">
        <v>705</v>
      </c>
      <c r="B272" s="44">
        <v>46087</v>
      </c>
      <c r="C272" s="45">
        <v>0.85625</v>
      </c>
      <c r="D272" s="46">
        <f t="shared" si="0"/>
        <v>20</v>
      </c>
      <c r="E272" s="47" t="str">
        <f t="shared" si="1"/>
        <v>Friday</v>
      </c>
      <c r="F272" s="47" t="s">
        <v>16</v>
      </c>
      <c r="G272" s="43" t="s">
        <v>36</v>
      </c>
      <c r="H272" s="43" t="s">
        <v>37</v>
      </c>
      <c r="I272" s="48">
        <v>2</v>
      </c>
      <c r="J272" s="49">
        <v>3000</v>
      </c>
      <c r="K272" s="49">
        <f>I272*J272</f>
        <v>6000</v>
      </c>
      <c r="L272" s="47" t="s">
        <v>22</v>
      </c>
      <c r="M272" s="46">
        <v>0</v>
      </c>
      <c r="N272" s="48" t="s">
        <v>23</v>
      </c>
      <c r="O272" s="47" t="s">
        <v>24</v>
      </c>
    </row>
    <row r="273" ht="14.25" customHeight="1" spans="1:15">
      <c r="A273" s="43" t="s">
        <v>707</v>
      </c>
      <c r="B273" s="44">
        <v>46087</v>
      </c>
      <c r="C273" s="45">
        <v>0.916666666666667</v>
      </c>
      <c r="D273" s="46">
        <f t="shared" si="0"/>
        <v>22</v>
      </c>
      <c r="E273" s="47" t="str">
        <f t="shared" si="1"/>
        <v>Friday</v>
      </c>
      <c r="F273" s="47" t="s">
        <v>43</v>
      </c>
      <c r="G273" s="47" t="s">
        <v>17</v>
      </c>
      <c r="H273" s="43" t="str">
        <f>VLOOKUP(G273,'02_Menu_Lookup'!$A$2:$C$16,2,FALSE)</f>
        <v>Beverages</v>
      </c>
      <c r="I273" s="48">
        <v>1</v>
      </c>
      <c r="J273" s="49">
        <v>1000</v>
      </c>
      <c r="K273" s="50">
        <v>850</v>
      </c>
      <c r="L273" s="47" t="s">
        <v>22</v>
      </c>
      <c r="M273" s="51">
        <v>0.15</v>
      </c>
      <c r="N273" s="48" t="s">
        <v>23</v>
      </c>
      <c r="O273" s="47" t="s">
        <v>24</v>
      </c>
    </row>
    <row r="274" ht="14.25" customHeight="1" spans="1:15">
      <c r="A274" s="43" t="s">
        <v>709</v>
      </c>
      <c r="B274" s="44">
        <v>46087</v>
      </c>
      <c r="C274" s="45">
        <v>0.938194444444444</v>
      </c>
      <c r="D274" s="46">
        <f t="shared" si="0"/>
        <v>22</v>
      </c>
      <c r="E274" s="47" t="str">
        <f t="shared" si="1"/>
        <v>Friday</v>
      </c>
      <c r="F274" s="47" t="s">
        <v>16</v>
      </c>
      <c r="G274" s="47" t="s">
        <v>17</v>
      </c>
      <c r="H274" s="43" t="s">
        <v>18</v>
      </c>
      <c r="I274" s="48">
        <v>1</v>
      </c>
      <c r="J274" s="49">
        <v>1000</v>
      </c>
      <c r="K274" s="50">
        <v>1000</v>
      </c>
      <c r="L274" s="47" t="s">
        <v>22</v>
      </c>
      <c r="M274" s="46">
        <v>0</v>
      </c>
      <c r="N274" s="48" t="s">
        <v>23</v>
      </c>
      <c r="O274" s="47" t="s">
        <v>73</v>
      </c>
    </row>
    <row r="275" ht="14.25" customHeight="1" spans="1:15">
      <c r="A275" s="43" t="s">
        <v>711</v>
      </c>
      <c r="B275" s="44">
        <v>46087</v>
      </c>
      <c r="C275" s="45">
        <v>0.960416666666667</v>
      </c>
      <c r="D275" s="46">
        <f t="shared" si="0"/>
        <v>23</v>
      </c>
      <c r="E275" s="47" t="str">
        <f t="shared" si="1"/>
        <v>Friday</v>
      </c>
      <c r="F275" s="47" t="s">
        <v>16</v>
      </c>
      <c r="G275" s="47" t="s">
        <v>27</v>
      </c>
      <c r="H275" s="43" t="s">
        <v>28</v>
      </c>
      <c r="I275" s="48">
        <v>1</v>
      </c>
      <c r="J275" s="49">
        <v>15000</v>
      </c>
      <c r="K275" s="49">
        <v>15000</v>
      </c>
      <c r="L275" s="47" t="s">
        <v>22</v>
      </c>
      <c r="M275" s="46">
        <v>0</v>
      </c>
      <c r="N275" s="48" t="s">
        <v>23</v>
      </c>
      <c r="O275" s="47" t="s">
        <v>33</v>
      </c>
    </row>
    <row r="276" ht="14.25" customHeight="1" spans="1:15">
      <c r="A276" s="43" t="s">
        <v>713</v>
      </c>
      <c r="B276" s="44">
        <v>46087</v>
      </c>
      <c r="C276" s="45">
        <v>0.982638888888889</v>
      </c>
      <c r="D276" s="46">
        <f t="shared" si="0"/>
        <v>23</v>
      </c>
      <c r="E276" s="47" t="str">
        <f t="shared" si="1"/>
        <v>Friday</v>
      </c>
      <c r="F276" s="47" t="s">
        <v>16</v>
      </c>
      <c r="G276" s="47" t="s">
        <v>81</v>
      </c>
      <c r="H276" s="43" t="s">
        <v>37</v>
      </c>
      <c r="I276" s="48">
        <v>1</v>
      </c>
      <c r="J276" s="49">
        <v>6000</v>
      </c>
      <c r="K276" s="49">
        <v>6000</v>
      </c>
      <c r="L276" s="47" t="s">
        <v>32</v>
      </c>
      <c r="M276" s="46">
        <v>0</v>
      </c>
      <c r="N276" s="48">
        <v>5</v>
      </c>
      <c r="O276" s="47" t="s">
        <v>47</v>
      </c>
    </row>
    <row r="277" ht="14.25" customHeight="1" spans="1:15">
      <c r="A277" s="43" t="s">
        <v>716</v>
      </c>
      <c r="B277" s="44">
        <v>46088</v>
      </c>
      <c r="C277" s="45">
        <v>0.517361111111111</v>
      </c>
      <c r="D277" s="46">
        <f t="shared" si="0"/>
        <v>12</v>
      </c>
      <c r="E277" s="47" t="str">
        <f t="shared" si="1"/>
        <v>Saturday</v>
      </c>
      <c r="F277" s="47" t="s">
        <v>16</v>
      </c>
      <c r="G277" s="47" t="s">
        <v>50</v>
      </c>
      <c r="H277" s="43" t="s">
        <v>28</v>
      </c>
      <c r="I277" s="48">
        <v>2</v>
      </c>
      <c r="J277" s="49">
        <v>25000</v>
      </c>
      <c r="K277" s="49">
        <v>50000</v>
      </c>
      <c r="L277" s="47" t="s">
        <v>32</v>
      </c>
      <c r="M277" s="46">
        <v>0</v>
      </c>
      <c r="N277" s="48" t="s">
        <v>23</v>
      </c>
      <c r="O277" s="47" t="s">
        <v>73</v>
      </c>
    </row>
    <row r="278" ht="14.25" customHeight="1" spans="1:15">
      <c r="A278" s="43" t="s">
        <v>718</v>
      </c>
      <c r="B278" s="44">
        <v>46088</v>
      </c>
      <c r="C278" s="45">
        <v>0.623611111111111</v>
      </c>
      <c r="D278" s="46">
        <f t="shared" si="0"/>
        <v>14</v>
      </c>
      <c r="E278" s="47" t="str">
        <f t="shared" si="1"/>
        <v>Saturday</v>
      </c>
      <c r="F278" s="47" t="s">
        <v>16</v>
      </c>
      <c r="G278" s="47" t="s">
        <v>103</v>
      </c>
      <c r="H278" s="43" t="s">
        <v>37</v>
      </c>
      <c r="I278" s="48">
        <v>1</v>
      </c>
      <c r="J278" s="49">
        <v>5000</v>
      </c>
      <c r="K278" s="50">
        <v>4250</v>
      </c>
      <c r="L278" s="47" t="s">
        <v>22</v>
      </c>
      <c r="M278" s="51">
        <v>0.15</v>
      </c>
      <c r="N278" s="48" t="s">
        <v>23</v>
      </c>
      <c r="O278" s="47" t="s">
        <v>24</v>
      </c>
    </row>
    <row r="279" ht="14.25" customHeight="1" spans="1:15">
      <c r="A279" s="43" t="s">
        <v>720</v>
      </c>
      <c r="B279" s="44">
        <v>46088</v>
      </c>
      <c r="C279" s="45">
        <v>0.745833333333333</v>
      </c>
      <c r="D279" s="46">
        <f t="shared" si="0"/>
        <v>17</v>
      </c>
      <c r="E279" s="47" t="str">
        <f t="shared" si="1"/>
        <v>Saturday</v>
      </c>
      <c r="F279" s="47" t="s">
        <v>107</v>
      </c>
      <c r="G279" s="47" t="s">
        <v>103</v>
      </c>
      <c r="H279" s="43" t="s">
        <v>37</v>
      </c>
      <c r="I279" s="48">
        <v>1</v>
      </c>
      <c r="J279" s="49">
        <v>5000</v>
      </c>
      <c r="K279" s="49">
        <v>5000</v>
      </c>
      <c r="L279" s="47" t="s">
        <v>22</v>
      </c>
      <c r="M279" s="46">
        <v>0</v>
      </c>
      <c r="N279" s="48" t="s">
        <v>23</v>
      </c>
      <c r="O279" s="47" t="s">
        <v>47</v>
      </c>
    </row>
    <row r="280" ht="14.25" customHeight="1" spans="1:15">
      <c r="A280" s="43" t="s">
        <v>722</v>
      </c>
      <c r="B280" s="44">
        <v>46088</v>
      </c>
      <c r="C280" s="45">
        <v>0.792361111111111</v>
      </c>
      <c r="D280" s="46">
        <f t="shared" si="0"/>
        <v>19</v>
      </c>
      <c r="E280" s="47" t="str">
        <f t="shared" si="1"/>
        <v>Saturday</v>
      </c>
      <c r="F280" s="47" t="s">
        <v>16</v>
      </c>
      <c r="G280" s="47" t="s">
        <v>81</v>
      </c>
      <c r="H280" s="43" t="s">
        <v>37</v>
      </c>
      <c r="I280" s="48">
        <v>2</v>
      </c>
      <c r="J280" s="49">
        <v>6000</v>
      </c>
      <c r="K280" s="49">
        <v>12000</v>
      </c>
      <c r="L280" s="47" t="s">
        <v>22</v>
      </c>
      <c r="M280" s="46">
        <v>0</v>
      </c>
      <c r="N280" s="48">
        <v>3</v>
      </c>
      <c r="O280" s="47" t="s">
        <v>24</v>
      </c>
    </row>
    <row r="281" ht="14.25" customHeight="1" spans="1:15">
      <c r="A281" s="43" t="s">
        <v>723</v>
      </c>
      <c r="B281" s="44">
        <v>46088</v>
      </c>
      <c r="C281" s="45">
        <v>0.798611111111111</v>
      </c>
      <c r="D281" s="46">
        <f t="shared" si="0"/>
        <v>19</v>
      </c>
      <c r="E281" s="47" t="str">
        <f t="shared" si="1"/>
        <v>Saturday</v>
      </c>
      <c r="F281" s="47" t="s">
        <v>16</v>
      </c>
      <c r="G281" s="47" t="s">
        <v>63</v>
      </c>
      <c r="H281" s="43" t="s">
        <v>18</v>
      </c>
      <c r="I281" s="48">
        <v>1</v>
      </c>
      <c r="J281" s="49">
        <v>1500</v>
      </c>
      <c r="K281" s="50">
        <v>1500</v>
      </c>
      <c r="L281" s="47" t="s">
        <v>22</v>
      </c>
      <c r="M281" s="46">
        <v>0</v>
      </c>
      <c r="N281" s="48">
        <v>5</v>
      </c>
      <c r="O281" s="47" t="s">
        <v>24</v>
      </c>
    </row>
    <row r="282" ht="14.25" customHeight="1" spans="1:15">
      <c r="A282" s="43" t="s">
        <v>725</v>
      </c>
      <c r="B282" s="44">
        <v>46088</v>
      </c>
      <c r="C282" s="45">
        <v>0.853472222222222</v>
      </c>
      <c r="D282" s="46">
        <f t="shared" si="0"/>
        <v>20</v>
      </c>
      <c r="E282" s="47" t="str">
        <f t="shared" si="1"/>
        <v>Saturday</v>
      </c>
      <c r="F282" s="47" t="s">
        <v>43</v>
      </c>
      <c r="G282" s="43" t="s">
        <v>36</v>
      </c>
      <c r="H282" s="43" t="s">
        <v>37</v>
      </c>
      <c r="I282" s="48">
        <v>2</v>
      </c>
      <c r="J282" s="49">
        <v>3000</v>
      </c>
      <c r="K282" s="49">
        <v>6000</v>
      </c>
      <c r="L282" s="47" t="s">
        <v>22</v>
      </c>
      <c r="M282" s="46">
        <v>0</v>
      </c>
      <c r="N282" s="48">
        <v>5</v>
      </c>
      <c r="O282" s="47" t="s">
        <v>33</v>
      </c>
    </row>
    <row r="283" ht="14.25" customHeight="1" spans="1:15">
      <c r="A283" s="43" t="s">
        <v>726</v>
      </c>
      <c r="B283" s="44">
        <v>46088</v>
      </c>
      <c r="C283" s="45">
        <v>0.870138888888889</v>
      </c>
      <c r="D283" s="46">
        <f t="shared" si="0"/>
        <v>20</v>
      </c>
      <c r="E283" s="47" t="str">
        <f t="shared" si="1"/>
        <v>Saturday</v>
      </c>
      <c r="F283" s="47" t="s">
        <v>16</v>
      </c>
      <c r="G283" s="47" t="s">
        <v>81</v>
      </c>
      <c r="H283" s="43" t="s">
        <v>37</v>
      </c>
      <c r="I283" s="48">
        <v>1</v>
      </c>
      <c r="J283" s="49">
        <v>6000</v>
      </c>
      <c r="K283" s="49">
        <v>6000</v>
      </c>
      <c r="L283" s="47" t="s">
        <v>22</v>
      </c>
      <c r="M283" s="46">
        <v>0</v>
      </c>
      <c r="N283" s="48">
        <v>5</v>
      </c>
      <c r="O283" s="47" t="s">
        <v>24</v>
      </c>
    </row>
    <row r="284" ht="14.25" customHeight="1" spans="1:15">
      <c r="A284" s="43" t="s">
        <v>728</v>
      </c>
      <c r="B284" s="44">
        <v>46145</v>
      </c>
      <c r="C284" s="45">
        <v>0.805555555555556</v>
      </c>
      <c r="D284" s="46">
        <f t="shared" si="0"/>
        <v>19</v>
      </c>
      <c r="E284" s="47" t="str">
        <f t="shared" si="1"/>
        <v>Sunday</v>
      </c>
      <c r="F284" s="47" t="s">
        <v>16</v>
      </c>
      <c r="G284" s="47" t="s">
        <v>50</v>
      </c>
      <c r="H284" s="43" t="s">
        <v>28</v>
      </c>
      <c r="I284" s="48">
        <v>1</v>
      </c>
      <c r="J284" s="49">
        <v>25000</v>
      </c>
      <c r="K284" s="50">
        <v>21250</v>
      </c>
      <c r="L284" s="47" t="s">
        <v>22</v>
      </c>
      <c r="M284" s="51">
        <v>0.15</v>
      </c>
      <c r="N284" s="48">
        <v>5</v>
      </c>
      <c r="O284" s="47" t="s">
        <v>47</v>
      </c>
    </row>
    <row r="285" ht="14.25" customHeight="1" spans="1:15">
      <c r="A285" s="43" t="s">
        <v>731</v>
      </c>
      <c r="B285" s="44">
        <v>46088</v>
      </c>
      <c r="C285" s="45">
        <v>0.940972222222222</v>
      </c>
      <c r="D285" s="46">
        <f t="shared" si="0"/>
        <v>22</v>
      </c>
      <c r="E285" s="47" t="str">
        <f t="shared" si="1"/>
        <v>Saturday</v>
      </c>
      <c r="F285" s="47" t="s">
        <v>16</v>
      </c>
      <c r="G285" s="47" t="s">
        <v>50</v>
      </c>
      <c r="H285" s="43" t="s">
        <v>28</v>
      </c>
      <c r="I285" s="48">
        <v>1</v>
      </c>
      <c r="J285" s="50">
        <v>25000</v>
      </c>
      <c r="K285" s="49">
        <v>25000</v>
      </c>
      <c r="L285" s="47" t="s">
        <v>22</v>
      </c>
      <c r="M285" s="46">
        <v>0</v>
      </c>
      <c r="N285" s="48" t="s">
        <v>23</v>
      </c>
      <c r="O285" s="47" t="s">
        <v>24</v>
      </c>
    </row>
    <row r="286" ht="14.25" customHeight="1" spans="1:15">
      <c r="A286" s="43" t="s">
        <v>735</v>
      </c>
      <c r="B286" s="44">
        <v>46088</v>
      </c>
      <c r="C286" s="45">
        <v>0.975</v>
      </c>
      <c r="D286" s="46">
        <f t="shared" si="0"/>
        <v>23</v>
      </c>
      <c r="E286" s="47" t="str">
        <f t="shared" si="1"/>
        <v>Saturday</v>
      </c>
      <c r="F286" s="47" t="s">
        <v>16</v>
      </c>
      <c r="G286" s="47" t="s">
        <v>103</v>
      </c>
      <c r="H286" s="43" t="s">
        <v>37</v>
      </c>
      <c r="I286" s="48">
        <v>1</v>
      </c>
      <c r="J286" s="49">
        <v>5000</v>
      </c>
      <c r="K286" s="49">
        <v>5000</v>
      </c>
      <c r="L286" s="47" t="s">
        <v>22</v>
      </c>
      <c r="M286" s="46">
        <v>0</v>
      </c>
      <c r="N286" s="48" t="s">
        <v>23</v>
      </c>
      <c r="O286" s="47" t="s">
        <v>33</v>
      </c>
    </row>
    <row r="287" ht="14.25" customHeight="1" spans="1:15">
      <c r="A287" s="43" t="s">
        <v>737</v>
      </c>
      <c r="B287" s="44">
        <v>46089</v>
      </c>
      <c r="C287" s="45">
        <v>0.7125</v>
      </c>
      <c r="D287" s="46">
        <f t="shared" si="0"/>
        <v>17</v>
      </c>
      <c r="E287" s="47" t="str">
        <f t="shared" si="1"/>
        <v>Sunday</v>
      </c>
      <c r="F287" s="47" t="s">
        <v>43</v>
      </c>
      <c r="G287" s="47" t="s">
        <v>63</v>
      </c>
      <c r="H287" s="43" t="s">
        <v>18</v>
      </c>
      <c r="I287" s="48">
        <v>1</v>
      </c>
      <c r="J287" s="49">
        <v>1500</v>
      </c>
      <c r="K287" s="49">
        <v>1500</v>
      </c>
      <c r="L287" s="47" t="s">
        <v>22</v>
      </c>
      <c r="M287" s="46">
        <v>0</v>
      </c>
      <c r="N287" s="48" t="s">
        <v>23</v>
      </c>
      <c r="O287" s="47" t="s">
        <v>40</v>
      </c>
    </row>
    <row r="288" ht="14.25" customHeight="1" spans="1:15">
      <c r="A288" s="43" t="s">
        <v>740</v>
      </c>
      <c r="B288" s="44">
        <v>46089</v>
      </c>
      <c r="C288" s="45">
        <v>0.838888888888889</v>
      </c>
      <c r="D288" s="46">
        <f t="shared" si="0"/>
        <v>20</v>
      </c>
      <c r="E288" s="47" t="str">
        <f t="shared" si="1"/>
        <v>Sunday</v>
      </c>
      <c r="F288" s="47" t="s">
        <v>16</v>
      </c>
      <c r="G288" s="47" t="s">
        <v>63</v>
      </c>
      <c r="H288" s="43" t="s">
        <v>18</v>
      </c>
      <c r="I288" s="48">
        <v>1</v>
      </c>
      <c r="J288" s="49">
        <v>1500</v>
      </c>
      <c r="K288" s="49">
        <v>1500</v>
      </c>
      <c r="L288" s="47" t="s">
        <v>22</v>
      </c>
      <c r="M288" s="46">
        <v>0</v>
      </c>
      <c r="N288" s="48" t="s">
        <v>23</v>
      </c>
      <c r="O288" s="47" t="s">
        <v>73</v>
      </c>
    </row>
    <row r="289" ht="14.25" customHeight="1" spans="1:15">
      <c r="A289" s="43" t="s">
        <v>741</v>
      </c>
      <c r="B289" s="44">
        <v>46089</v>
      </c>
      <c r="C289" s="45">
        <v>0.853472222222222</v>
      </c>
      <c r="D289" s="46">
        <f t="shared" si="0"/>
        <v>20</v>
      </c>
      <c r="E289" s="47" t="str">
        <f t="shared" si="1"/>
        <v>Sunday</v>
      </c>
      <c r="F289" s="47" t="s">
        <v>43</v>
      </c>
      <c r="G289" s="47" t="s">
        <v>17</v>
      </c>
      <c r="H289" s="43" t="s">
        <v>18</v>
      </c>
      <c r="I289" s="48">
        <v>2</v>
      </c>
      <c r="J289" s="49">
        <v>1000</v>
      </c>
      <c r="K289" s="50">
        <v>1800</v>
      </c>
      <c r="L289" s="47" t="s">
        <v>22</v>
      </c>
      <c r="M289" s="51">
        <v>0.1</v>
      </c>
      <c r="N289" s="48">
        <v>4</v>
      </c>
      <c r="O289" s="47" t="s">
        <v>24</v>
      </c>
    </row>
    <row r="290" ht="14.25" customHeight="1" spans="1:15">
      <c r="A290" s="43" t="s">
        <v>744</v>
      </c>
      <c r="B290" s="44">
        <v>46089</v>
      </c>
      <c r="C290" s="45">
        <v>0.857638888888889</v>
      </c>
      <c r="D290" s="46">
        <f t="shared" si="0"/>
        <v>20</v>
      </c>
      <c r="E290" s="47" t="str">
        <f t="shared" si="1"/>
        <v>Sunday</v>
      </c>
      <c r="F290" s="47" t="s">
        <v>107</v>
      </c>
      <c r="G290" s="47" t="s">
        <v>17</v>
      </c>
      <c r="H290" s="43" t="s">
        <v>18</v>
      </c>
      <c r="I290" s="48">
        <v>2</v>
      </c>
      <c r="J290" s="49">
        <v>1000</v>
      </c>
      <c r="K290" s="49">
        <v>2000</v>
      </c>
      <c r="L290" s="47" t="s">
        <v>32</v>
      </c>
      <c r="M290" s="46">
        <v>0</v>
      </c>
      <c r="N290" s="48" t="s">
        <v>23</v>
      </c>
      <c r="O290" s="47" t="s">
        <v>73</v>
      </c>
    </row>
    <row r="291" ht="14.25" customHeight="1" spans="1:15">
      <c r="A291" s="43" t="s">
        <v>746</v>
      </c>
      <c r="B291" s="44">
        <v>46089</v>
      </c>
      <c r="C291" s="45">
        <v>0.970833333333333</v>
      </c>
      <c r="D291" s="46">
        <f t="shared" si="0"/>
        <v>23</v>
      </c>
      <c r="E291" s="47" t="str">
        <f t="shared" si="1"/>
        <v>Sunday</v>
      </c>
      <c r="F291" s="47" t="s">
        <v>16</v>
      </c>
      <c r="G291" s="47" t="s">
        <v>95</v>
      </c>
      <c r="H291" s="43" t="str">
        <f>VLOOKUP(G291,'02_Menu_Lookup'!$A$2:$C$16,2,FALSE)</f>
        <v>Appetizers</v>
      </c>
      <c r="I291" s="48">
        <v>1</v>
      </c>
      <c r="J291" s="49">
        <v>5000</v>
      </c>
      <c r="K291" s="49">
        <v>5000</v>
      </c>
      <c r="L291" s="47" t="s">
        <v>22</v>
      </c>
      <c r="M291" s="46">
        <v>0</v>
      </c>
      <c r="N291" s="48" t="s">
        <v>23</v>
      </c>
      <c r="O291" s="47" t="s">
        <v>24</v>
      </c>
    </row>
    <row r="292" ht="14.25" customHeight="1" spans="1:15">
      <c r="A292" s="43" t="s">
        <v>748</v>
      </c>
      <c r="B292" s="44">
        <v>46090</v>
      </c>
      <c r="C292" s="45">
        <v>0.828472222222222</v>
      </c>
      <c r="D292" s="46">
        <f t="shared" si="0"/>
        <v>19</v>
      </c>
      <c r="E292" s="47" t="str">
        <f t="shared" si="1"/>
        <v>Monday</v>
      </c>
      <c r="F292" s="47" t="s">
        <v>16</v>
      </c>
      <c r="G292" s="43" t="s">
        <v>36</v>
      </c>
      <c r="H292" s="43" t="str">
        <f>VLOOKUP(G292,'02_Menu_Lookup'!$A$2:$C$16,2,FALSE)</f>
        <v>Sandwiches</v>
      </c>
      <c r="I292" s="48">
        <v>1</v>
      </c>
      <c r="J292" s="49">
        <v>3000</v>
      </c>
      <c r="K292" s="49">
        <v>3000</v>
      </c>
      <c r="L292" s="47" t="s">
        <v>22</v>
      </c>
      <c r="M292" s="46">
        <v>0</v>
      </c>
      <c r="N292" s="48" t="s">
        <v>23</v>
      </c>
      <c r="O292" s="47" t="s">
        <v>24</v>
      </c>
    </row>
    <row r="293" ht="14.25" customHeight="1" spans="1:15">
      <c r="A293" s="43" t="s">
        <v>751</v>
      </c>
      <c r="B293" s="44">
        <v>46090</v>
      </c>
      <c r="C293" s="45">
        <v>0.848611111111111</v>
      </c>
      <c r="D293" s="46">
        <f t="shared" si="0"/>
        <v>20</v>
      </c>
      <c r="E293" s="47" t="str">
        <f t="shared" si="1"/>
        <v>Monday</v>
      </c>
      <c r="F293" s="47" t="s">
        <v>16</v>
      </c>
      <c r="G293" s="47" t="s">
        <v>63</v>
      </c>
      <c r="H293" s="43" t="str">
        <f>VLOOKUP(G293,'02_Menu_Lookup'!$A$2:$C$16,2,FALSE)</f>
        <v>Beverages</v>
      </c>
      <c r="I293" s="48">
        <v>1</v>
      </c>
      <c r="J293" s="49">
        <v>1500</v>
      </c>
      <c r="K293" s="49">
        <v>1500</v>
      </c>
      <c r="L293" s="47" t="s">
        <v>22</v>
      </c>
      <c r="M293" s="46">
        <v>0</v>
      </c>
      <c r="N293" s="48" t="s">
        <v>23</v>
      </c>
      <c r="O293" s="47" t="s">
        <v>24</v>
      </c>
    </row>
    <row r="294" ht="14.25" customHeight="1" spans="1:15">
      <c r="A294" s="43" t="s">
        <v>754</v>
      </c>
      <c r="B294" s="44">
        <v>46090</v>
      </c>
      <c r="C294" s="45">
        <v>0.863888888888889</v>
      </c>
      <c r="D294" s="46">
        <f t="shared" si="0"/>
        <v>20</v>
      </c>
      <c r="E294" s="47" t="str">
        <f t="shared" si="1"/>
        <v>Monday</v>
      </c>
      <c r="F294" s="47" t="s">
        <v>107</v>
      </c>
      <c r="G294" s="47" t="s">
        <v>81</v>
      </c>
      <c r="H294" s="43" t="s">
        <v>37</v>
      </c>
      <c r="I294" s="48">
        <v>1</v>
      </c>
      <c r="J294" s="49">
        <v>6000</v>
      </c>
      <c r="K294" s="49">
        <v>6000</v>
      </c>
      <c r="L294" s="47" t="s">
        <v>22</v>
      </c>
      <c r="M294" s="46">
        <v>0</v>
      </c>
      <c r="N294" s="48" t="s">
        <v>23</v>
      </c>
      <c r="O294" s="47" t="s">
        <v>73</v>
      </c>
    </row>
    <row r="295" ht="14.25" customHeight="1" spans="1:15">
      <c r="A295" s="43" t="s">
        <v>756</v>
      </c>
      <c r="B295" s="44">
        <v>46090</v>
      </c>
      <c r="C295" s="45">
        <v>0.955555555555556</v>
      </c>
      <c r="D295" s="46">
        <f t="shared" si="0"/>
        <v>22</v>
      </c>
      <c r="E295" s="47" t="str">
        <f t="shared" si="1"/>
        <v>Monday</v>
      </c>
      <c r="F295" s="47" t="s">
        <v>43</v>
      </c>
      <c r="G295" s="47" t="s">
        <v>367</v>
      </c>
      <c r="H295" s="43" t="s">
        <v>109</v>
      </c>
      <c r="I295" s="48">
        <v>1</v>
      </c>
      <c r="J295" s="49">
        <f>K295/I295</f>
        <v>7000</v>
      </c>
      <c r="K295" s="49">
        <v>7000</v>
      </c>
      <c r="L295" s="47" t="s">
        <v>22</v>
      </c>
      <c r="M295" s="46">
        <v>0</v>
      </c>
      <c r="N295" s="48" t="s">
        <v>23</v>
      </c>
      <c r="O295" s="47" t="s">
        <v>33</v>
      </c>
    </row>
    <row r="296" ht="14.25" customHeight="1" spans="1:15">
      <c r="A296" s="43" t="s">
        <v>758</v>
      </c>
      <c r="B296" s="44">
        <v>46091</v>
      </c>
      <c r="C296" s="45">
        <v>0.650694444444444</v>
      </c>
      <c r="D296" s="46">
        <f t="shared" si="0"/>
        <v>15</v>
      </c>
      <c r="E296" s="47" t="str">
        <f t="shared" si="1"/>
        <v>Tuesday</v>
      </c>
      <c r="F296" s="47" t="s">
        <v>16</v>
      </c>
      <c r="G296" s="43" t="s">
        <v>647</v>
      </c>
      <c r="H296" s="43" t="str">
        <f>VLOOKUP(G296,'02_Menu_Lookup'!$A$2:$C$16,2,FALSE)</f>
        <v>Appetizers</v>
      </c>
      <c r="I296" s="48">
        <v>2</v>
      </c>
      <c r="J296" s="49">
        <v>4500</v>
      </c>
      <c r="K296" s="49">
        <v>9000</v>
      </c>
      <c r="L296" s="47" t="s">
        <v>22</v>
      </c>
      <c r="M296" s="46">
        <v>0</v>
      </c>
      <c r="N296" s="48" t="s">
        <v>23</v>
      </c>
      <c r="O296" s="47" t="s">
        <v>33</v>
      </c>
    </row>
    <row r="297" ht="14.25" customHeight="1" spans="1:15">
      <c r="A297" s="43" t="s">
        <v>762</v>
      </c>
      <c r="B297" s="44">
        <v>46091</v>
      </c>
      <c r="C297" s="45">
        <v>0.90625</v>
      </c>
      <c r="D297" s="46">
        <f t="shared" si="0"/>
        <v>21</v>
      </c>
      <c r="E297" s="47" t="str">
        <f t="shared" si="1"/>
        <v>Tuesday</v>
      </c>
      <c r="F297" s="47" t="s">
        <v>16</v>
      </c>
      <c r="G297" s="47" t="s">
        <v>17</v>
      </c>
      <c r="H297" s="43" t="s">
        <v>18</v>
      </c>
      <c r="I297" s="48">
        <v>2</v>
      </c>
      <c r="J297" s="49">
        <v>1000</v>
      </c>
      <c r="K297" s="49">
        <v>2000</v>
      </c>
      <c r="L297" s="47" t="s">
        <v>22</v>
      </c>
      <c r="M297" s="46">
        <v>0</v>
      </c>
      <c r="N297" s="48" t="s">
        <v>23</v>
      </c>
      <c r="O297" s="47" t="s">
        <v>33</v>
      </c>
    </row>
    <row r="298" ht="14.25" customHeight="1" spans="1:15">
      <c r="A298" s="43" t="s">
        <v>764</v>
      </c>
      <c r="B298" s="44">
        <v>46091</v>
      </c>
      <c r="C298" s="45">
        <v>0.935416666666667</v>
      </c>
      <c r="D298" s="46">
        <f t="shared" si="0"/>
        <v>22</v>
      </c>
      <c r="E298" s="47" t="str">
        <f t="shared" si="1"/>
        <v>Tuesday</v>
      </c>
      <c r="F298" s="47" t="s">
        <v>107</v>
      </c>
      <c r="G298" s="47" t="s">
        <v>63</v>
      </c>
      <c r="H298" s="43" t="s">
        <v>18</v>
      </c>
      <c r="I298" s="48">
        <v>1</v>
      </c>
      <c r="J298" s="49">
        <v>1500</v>
      </c>
      <c r="K298" s="49">
        <v>1500</v>
      </c>
      <c r="L298" s="47" t="s">
        <v>22</v>
      </c>
      <c r="M298" s="46">
        <v>0</v>
      </c>
      <c r="N298" s="48">
        <v>4</v>
      </c>
      <c r="O298" s="47" t="s">
        <v>47</v>
      </c>
    </row>
    <row r="299" ht="14.25" customHeight="1" spans="1:15">
      <c r="A299" s="43" t="s">
        <v>766</v>
      </c>
      <c r="B299" s="44">
        <v>46092</v>
      </c>
      <c r="C299" s="45">
        <v>0.463194444444444</v>
      </c>
      <c r="D299" s="46">
        <f t="shared" si="0"/>
        <v>11</v>
      </c>
      <c r="E299" s="47" t="str">
        <f t="shared" si="1"/>
        <v>Wednesday</v>
      </c>
      <c r="F299" s="47" t="s">
        <v>16</v>
      </c>
      <c r="G299" s="43" t="s">
        <v>165</v>
      </c>
      <c r="H299" s="43" t="s">
        <v>109</v>
      </c>
      <c r="I299" s="48">
        <v>1</v>
      </c>
      <c r="J299" s="49">
        <v>6000</v>
      </c>
      <c r="K299" s="49">
        <v>6000</v>
      </c>
      <c r="L299" s="47" t="s">
        <v>32</v>
      </c>
      <c r="M299" s="46">
        <v>0</v>
      </c>
      <c r="N299" s="48" t="s">
        <v>23</v>
      </c>
      <c r="O299" s="47" t="s">
        <v>33</v>
      </c>
    </row>
    <row r="300" ht="14.25" customHeight="1" spans="1:15">
      <c r="A300" s="43" t="s">
        <v>770</v>
      </c>
      <c r="B300" s="44">
        <v>46092</v>
      </c>
      <c r="C300" s="45">
        <v>0.491666666666667</v>
      </c>
      <c r="D300" s="46">
        <f t="shared" si="0"/>
        <v>11</v>
      </c>
      <c r="E300" s="47" t="str">
        <f t="shared" si="1"/>
        <v>Wednesday</v>
      </c>
      <c r="F300" s="47" t="s">
        <v>16</v>
      </c>
      <c r="G300" s="47" t="s">
        <v>146</v>
      </c>
      <c r="H300" s="43" t="s">
        <v>28</v>
      </c>
      <c r="I300" s="48">
        <v>1</v>
      </c>
      <c r="J300" s="49">
        <v>16000</v>
      </c>
      <c r="K300" s="49">
        <v>16000</v>
      </c>
      <c r="L300" s="47" t="s">
        <v>32</v>
      </c>
      <c r="M300" s="46">
        <v>0</v>
      </c>
      <c r="N300" s="48">
        <v>4</v>
      </c>
      <c r="O300" s="47" t="s">
        <v>73</v>
      </c>
    </row>
    <row r="301" ht="14.25" customHeight="1" spans="1:15">
      <c r="A301" s="43" t="s">
        <v>772</v>
      </c>
      <c r="B301" s="44">
        <v>46092</v>
      </c>
      <c r="C301" s="45">
        <v>0.839583333333333</v>
      </c>
      <c r="D301" s="46">
        <f t="shared" si="0"/>
        <v>20</v>
      </c>
      <c r="E301" s="47" t="str">
        <f t="shared" si="1"/>
        <v>Wednesday</v>
      </c>
      <c r="F301" s="47" t="s">
        <v>16</v>
      </c>
      <c r="G301" s="43" t="s">
        <v>165</v>
      </c>
      <c r="H301" s="43" t="str">
        <f>VLOOKUP(G301,'02_Menu_Lookup'!$A$2:$C$16,2,FALSE)</f>
        <v>Desserts</v>
      </c>
      <c r="I301" s="48">
        <v>2</v>
      </c>
      <c r="J301" s="49">
        <v>6000</v>
      </c>
      <c r="K301" s="49">
        <v>12000</v>
      </c>
      <c r="L301" s="47" t="s">
        <v>22</v>
      </c>
      <c r="M301" s="46">
        <v>0</v>
      </c>
      <c r="N301" s="48">
        <v>4</v>
      </c>
      <c r="O301" s="47" t="s">
        <v>40</v>
      </c>
    </row>
    <row r="302" ht="14.25" customHeight="1" spans="1:15">
      <c r="A302" s="43" t="s">
        <v>773</v>
      </c>
      <c r="B302" s="44">
        <v>46092</v>
      </c>
      <c r="C302" s="45">
        <v>0.999305555555556</v>
      </c>
      <c r="D302" s="46">
        <f t="shared" si="0"/>
        <v>23</v>
      </c>
      <c r="E302" s="47" t="str">
        <f t="shared" si="1"/>
        <v>Wednesday</v>
      </c>
      <c r="F302" s="47" t="s">
        <v>16</v>
      </c>
      <c r="G302" s="47" t="s">
        <v>103</v>
      </c>
      <c r="H302" s="43" t="s">
        <v>37</v>
      </c>
      <c r="I302" s="48">
        <v>1</v>
      </c>
      <c r="J302" s="49">
        <f>K302/I302</f>
        <v>5000</v>
      </c>
      <c r="K302" s="50">
        <v>5000</v>
      </c>
      <c r="L302" s="47" t="s">
        <v>32</v>
      </c>
      <c r="M302" s="46">
        <v>0</v>
      </c>
      <c r="N302" s="48" t="s">
        <v>23</v>
      </c>
      <c r="O302" s="47" t="s">
        <v>24</v>
      </c>
    </row>
    <row r="303" ht="14.25" customHeight="1" spans="1:15">
      <c r="A303" s="43" t="s">
        <v>776</v>
      </c>
      <c r="B303" s="44">
        <v>46093</v>
      </c>
      <c r="C303" s="45">
        <v>0.523611111111111</v>
      </c>
      <c r="D303" s="46">
        <f t="shared" si="0"/>
        <v>12</v>
      </c>
      <c r="E303" s="47" t="str">
        <f t="shared" si="1"/>
        <v>Thursday</v>
      </c>
      <c r="F303" s="47" t="s">
        <v>107</v>
      </c>
      <c r="G303" s="47" t="s">
        <v>17</v>
      </c>
      <c r="H303" s="47" t="s">
        <v>18</v>
      </c>
      <c r="I303" s="48">
        <v>3</v>
      </c>
      <c r="J303" s="49">
        <v>1000</v>
      </c>
      <c r="K303" s="49">
        <v>3000</v>
      </c>
      <c r="L303" s="47" t="s">
        <v>32</v>
      </c>
      <c r="M303" s="46">
        <v>0</v>
      </c>
      <c r="N303" s="48" t="s">
        <v>23</v>
      </c>
      <c r="O303" s="47" t="s">
        <v>24</v>
      </c>
    </row>
    <row r="304" ht="14.25" customHeight="1" spans="1:15">
      <c r="A304" s="43" t="s">
        <v>779</v>
      </c>
      <c r="B304" s="44">
        <v>46093</v>
      </c>
      <c r="C304" s="45">
        <v>0.548611111111111</v>
      </c>
      <c r="D304" s="46">
        <f t="shared" si="0"/>
        <v>13</v>
      </c>
      <c r="E304" s="47" t="str">
        <f t="shared" si="1"/>
        <v>Thursday</v>
      </c>
      <c r="F304" s="47" t="s">
        <v>16</v>
      </c>
      <c r="G304" s="47" t="s">
        <v>44</v>
      </c>
      <c r="H304" s="43" t="s">
        <v>45</v>
      </c>
      <c r="I304" s="48">
        <v>2</v>
      </c>
      <c r="J304" s="49">
        <v>4000</v>
      </c>
      <c r="K304" s="49">
        <v>8000</v>
      </c>
      <c r="L304" s="47" t="s">
        <v>22</v>
      </c>
      <c r="M304" s="46">
        <v>0</v>
      </c>
      <c r="N304" s="48">
        <v>3</v>
      </c>
      <c r="O304" s="47" t="s">
        <v>33</v>
      </c>
    </row>
    <row r="305" ht="14.25" customHeight="1" spans="1:15">
      <c r="A305" s="43" t="s">
        <v>782</v>
      </c>
      <c r="B305" s="44">
        <v>46093</v>
      </c>
      <c r="C305" s="45">
        <v>0.725</v>
      </c>
      <c r="D305" s="46">
        <f t="shared" si="0"/>
        <v>17</v>
      </c>
      <c r="E305" s="47" t="str">
        <f t="shared" si="1"/>
        <v>Thursday</v>
      </c>
      <c r="F305" s="47" t="s">
        <v>43</v>
      </c>
      <c r="G305" s="47" t="s">
        <v>17</v>
      </c>
      <c r="H305" s="43" t="s">
        <v>18</v>
      </c>
      <c r="I305" s="48">
        <v>3</v>
      </c>
      <c r="J305" s="49">
        <v>1000</v>
      </c>
      <c r="K305" s="49">
        <v>3000</v>
      </c>
      <c r="L305" s="47" t="s">
        <v>32</v>
      </c>
      <c r="M305" s="46">
        <v>0</v>
      </c>
      <c r="N305" s="48">
        <v>5</v>
      </c>
      <c r="O305" s="47" t="s">
        <v>73</v>
      </c>
    </row>
    <row r="306" ht="14.25" customHeight="1" spans="1:15">
      <c r="A306" s="43" t="s">
        <v>784</v>
      </c>
      <c r="B306" s="44">
        <v>46093</v>
      </c>
      <c r="C306" s="45">
        <v>0.746527777777778</v>
      </c>
      <c r="D306" s="46">
        <f t="shared" si="0"/>
        <v>17</v>
      </c>
      <c r="E306" s="47" t="str">
        <f t="shared" si="1"/>
        <v>Thursday</v>
      </c>
      <c r="F306" s="47" t="s">
        <v>43</v>
      </c>
      <c r="G306" s="47" t="s">
        <v>81</v>
      </c>
      <c r="H306" s="43" t="s">
        <v>37</v>
      </c>
      <c r="I306" s="48">
        <v>1</v>
      </c>
      <c r="J306" s="49">
        <v>6000</v>
      </c>
      <c r="K306" s="49">
        <v>6000</v>
      </c>
      <c r="L306" s="47" t="s">
        <v>22</v>
      </c>
      <c r="M306" s="46">
        <v>0</v>
      </c>
      <c r="N306" s="48" t="s">
        <v>23</v>
      </c>
      <c r="O306" s="47" t="s">
        <v>73</v>
      </c>
    </row>
    <row r="307" ht="14.25" customHeight="1" spans="1:15">
      <c r="A307" s="43" t="s">
        <v>786</v>
      </c>
      <c r="B307" s="44">
        <v>46093</v>
      </c>
      <c r="C307" s="45">
        <v>0.884027777777778</v>
      </c>
      <c r="D307" s="46">
        <f t="shared" si="0"/>
        <v>21</v>
      </c>
      <c r="E307" s="47" t="str">
        <f t="shared" si="1"/>
        <v>Thursday</v>
      </c>
      <c r="F307" s="47" t="s">
        <v>16</v>
      </c>
      <c r="G307" s="47" t="s">
        <v>50</v>
      </c>
      <c r="H307" s="43" t="s">
        <v>28</v>
      </c>
      <c r="I307" s="48">
        <v>2</v>
      </c>
      <c r="J307" s="49">
        <v>25000</v>
      </c>
      <c r="K307" s="49">
        <v>50000</v>
      </c>
      <c r="L307" s="47" t="s">
        <v>22</v>
      </c>
      <c r="M307" s="46">
        <v>0</v>
      </c>
      <c r="N307" s="48">
        <v>5</v>
      </c>
      <c r="O307" s="47" t="s">
        <v>73</v>
      </c>
    </row>
    <row r="308" ht="14.25" customHeight="1" spans="1:15">
      <c r="A308" s="43" t="s">
        <v>787</v>
      </c>
      <c r="B308" s="44">
        <v>46094</v>
      </c>
      <c r="C308" s="45">
        <v>0.586805555555556</v>
      </c>
      <c r="D308" s="46">
        <f t="shared" si="0"/>
        <v>14</v>
      </c>
      <c r="E308" s="47" t="str">
        <f t="shared" si="1"/>
        <v>Friday</v>
      </c>
      <c r="F308" s="47" t="s">
        <v>16</v>
      </c>
      <c r="G308" s="47" t="s">
        <v>95</v>
      </c>
      <c r="H308" s="43" t="s">
        <v>45</v>
      </c>
      <c r="I308" s="48">
        <v>2</v>
      </c>
      <c r="J308" s="49">
        <v>5000</v>
      </c>
      <c r="K308" s="50">
        <v>8500</v>
      </c>
      <c r="L308" s="47" t="s">
        <v>32</v>
      </c>
      <c r="M308" s="51">
        <v>0.15</v>
      </c>
      <c r="N308" s="48" t="s">
        <v>23</v>
      </c>
      <c r="O308" s="47" t="s">
        <v>33</v>
      </c>
    </row>
    <row r="309" ht="14.25" customHeight="1" spans="1:15">
      <c r="A309" s="43" t="s">
        <v>790</v>
      </c>
      <c r="B309" s="44">
        <v>46094</v>
      </c>
      <c r="C309" s="45">
        <v>0.604166666666667</v>
      </c>
      <c r="D309" s="46">
        <f t="shared" si="0"/>
        <v>14</v>
      </c>
      <c r="E309" s="47" t="str">
        <f t="shared" si="1"/>
        <v>Friday</v>
      </c>
      <c r="F309" s="47" t="s">
        <v>16</v>
      </c>
      <c r="G309" s="47" t="s">
        <v>63</v>
      </c>
      <c r="H309" s="43" t="s">
        <v>18</v>
      </c>
      <c r="I309" s="48">
        <v>1</v>
      </c>
      <c r="J309" s="49">
        <v>1500</v>
      </c>
      <c r="K309" s="49">
        <v>1500</v>
      </c>
      <c r="L309" s="47" t="s">
        <v>22</v>
      </c>
      <c r="M309" s="46">
        <v>0</v>
      </c>
      <c r="N309" s="48">
        <v>5</v>
      </c>
      <c r="O309" s="47" t="s">
        <v>73</v>
      </c>
    </row>
    <row r="310" ht="14.25" customHeight="1" spans="1:15">
      <c r="A310" s="43" t="s">
        <v>793</v>
      </c>
      <c r="B310" s="44">
        <v>46094</v>
      </c>
      <c r="C310" s="45">
        <v>0.750694444444444</v>
      </c>
      <c r="D310" s="46">
        <f t="shared" si="0"/>
        <v>18</v>
      </c>
      <c r="E310" s="47" t="str">
        <f t="shared" si="1"/>
        <v>Friday</v>
      </c>
      <c r="F310" s="47" t="s">
        <v>16</v>
      </c>
      <c r="G310" s="47" t="s">
        <v>17</v>
      </c>
      <c r="H310" s="43" t="s">
        <v>18</v>
      </c>
      <c r="I310" s="48">
        <f>K310/J310</f>
        <v>1</v>
      </c>
      <c r="J310" s="49">
        <v>1000</v>
      </c>
      <c r="K310" s="49">
        <v>1000</v>
      </c>
      <c r="L310" s="47" t="s">
        <v>22</v>
      </c>
      <c r="M310" s="46">
        <v>0</v>
      </c>
      <c r="N310" s="48">
        <v>3</v>
      </c>
      <c r="O310" s="47" t="s">
        <v>47</v>
      </c>
    </row>
    <row r="311" ht="14.25" customHeight="1" spans="1:15">
      <c r="A311" s="43" t="s">
        <v>795</v>
      </c>
      <c r="B311" s="44">
        <v>46094</v>
      </c>
      <c r="C311" s="45">
        <v>0.755555555555556</v>
      </c>
      <c r="D311" s="46">
        <f t="shared" si="0"/>
        <v>18</v>
      </c>
      <c r="E311" s="47" t="str">
        <f t="shared" si="1"/>
        <v>Friday</v>
      </c>
      <c r="F311" s="47" t="s">
        <v>16</v>
      </c>
      <c r="G311" s="47" t="s">
        <v>17</v>
      </c>
      <c r="H311" s="43" t="s">
        <v>18</v>
      </c>
      <c r="I311" s="48">
        <v>1</v>
      </c>
      <c r="J311" s="49">
        <v>1000</v>
      </c>
      <c r="K311" s="50">
        <v>800</v>
      </c>
      <c r="L311" s="47" t="s">
        <v>22</v>
      </c>
      <c r="M311" s="51">
        <v>0.2</v>
      </c>
      <c r="N311" s="48">
        <v>3</v>
      </c>
      <c r="O311" s="47" t="s">
        <v>33</v>
      </c>
    </row>
    <row r="312" ht="14.25" customHeight="1" spans="1:15">
      <c r="A312" s="43" t="s">
        <v>798</v>
      </c>
      <c r="B312" s="44">
        <v>46094</v>
      </c>
      <c r="C312" s="45">
        <v>0.757638888888889</v>
      </c>
      <c r="D312" s="46">
        <f t="shared" si="0"/>
        <v>18</v>
      </c>
      <c r="E312" s="47" t="str">
        <f t="shared" si="1"/>
        <v>Friday</v>
      </c>
      <c r="F312" s="47" t="s">
        <v>43</v>
      </c>
      <c r="G312" s="47" t="s">
        <v>17</v>
      </c>
      <c r="H312" s="43" t="s">
        <v>18</v>
      </c>
      <c r="I312" s="48">
        <v>1</v>
      </c>
      <c r="J312" s="49">
        <v>1000</v>
      </c>
      <c r="K312" s="49">
        <v>1000</v>
      </c>
      <c r="L312" s="47" t="s">
        <v>22</v>
      </c>
      <c r="M312" s="46">
        <v>0</v>
      </c>
      <c r="N312" s="48" t="s">
        <v>23</v>
      </c>
      <c r="O312" s="47" t="s">
        <v>24</v>
      </c>
    </row>
    <row r="313" ht="14.25" customHeight="1" spans="1:15">
      <c r="A313" s="43" t="s">
        <v>800</v>
      </c>
      <c r="B313" s="44">
        <v>46094</v>
      </c>
      <c r="C313" s="45">
        <v>0.795833333333333</v>
      </c>
      <c r="D313" s="46">
        <f t="shared" si="0"/>
        <v>19</v>
      </c>
      <c r="E313" s="47" t="str">
        <f t="shared" si="1"/>
        <v>Friday</v>
      </c>
      <c r="F313" s="47" t="s">
        <v>107</v>
      </c>
      <c r="G313" s="47" t="s">
        <v>17</v>
      </c>
      <c r="H313" s="43" t="s">
        <v>18</v>
      </c>
      <c r="I313" s="48">
        <v>2</v>
      </c>
      <c r="J313" s="49">
        <v>1000</v>
      </c>
      <c r="K313" s="49">
        <f>I313*J313</f>
        <v>2000</v>
      </c>
      <c r="L313" s="47" t="s">
        <v>22</v>
      </c>
      <c r="M313" s="46">
        <v>0</v>
      </c>
      <c r="N313" s="48" t="s">
        <v>23</v>
      </c>
      <c r="O313" s="47" t="s">
        <v>33</v>
      </c>
    </row>
    <row r="314" ht="14.25" customHeight="1" spans="1:15">
      <c r="A314" s="43" t="s">
        <v>801</v>
      </c>
      <c r="B314" s="44">
        <v>46094</v>
      </c>
      <c r="C314" s="45">
        <v>0.801388888888889</v>
      </c>
      <c r="D314" s="46">
        <f t="shared" si="0"/>
        <v>19</v>
      </c>
      <c r="E314" s="47" t="str">
        <f t="shared" si="1"/>
        <v>Friday</v>
      </c>
      <c r="F314" s="47" t="s">
        <v>43</v>
      </c>
      <c r="G314" s="47" t="s">
        <v>63</v>
      </c>
      <c r="H314" s="43" t="s">
        <v>18</v>
      </c>
      <c r="I314" s="48">
        <v>1</v>
      </c>
      <c r="J314" s="49">
        <v>1500</v>
      </c>
      <c r="K314" s="49">
        <v>1500</v>
      </c>
      <c r="L314" s="47" t="s">
        <v>22</v>
      </c>
      <c r="M314" s="46">
        <v>0</v>
      </c>
      <c r="N314" s="48">
        <v>3</v>
      </c>
      <c r="O314" s="47" t="s">
        <v>33</v>
      </c>
    </row>
    <row r="315" ht="14.25" customHeight="1" spans="1:15">
      <c r="A315" s="43" t="s">
        <v>803</v>
      </c>
      <c r="B315" s="44">
        <v>46094</v>
      </c>
      <c r="C315" s="45">
        <v>0.811111111111111</v>
      </c>
      <c r="D315" s="46">
        <f t="shared" si="0"/>
        <v>19</v>
      </c>
      <c r="E315" s="47" t="str">
        <f t="shared" si="1"/>
        <v>Friday</v>
      </c>
      <c r="F315" s="47" t="s">
        <v>16</v>
      </c>
      <c r="G315" s="47" t="s">
        <v>27</v>
      </c>
      <c r="H315" s="43" t="s">
        <v>28</v>
      </c>
      <c r="I315" s="48">
        <v>1</v>
      </c>
      <c r="J315" s="49">
        <v>15000</v>
      </c>
      <c r="K315" s="49">
        <f>I315*J315</f>
        <v>15000</v>
      </c>
      <c r="L315" s="47" t="s">
        <v>22</v>
      </c>
      <c r="M315" s="46">
        <v>0</v>
      </c>
      <c r="N315" s="48" t="s">
        <v>23</v>
      </c>
      <c r="O315" s="47" t="s">
        <v>33</v>
      </c>
    </row>
    <row r="316" ht="14.25" customHeight="1" spans="1:15">
      <c r="A316" s="43" t="s">
        <v>805</v>
      </c>
      <c r="B316" s="44">
        <v>46094</v>
      </c>
      <c r="C316" s="45">
        <v>0.870138888888889</v>
      </c>
      <c r="D316" s="46">
        <f t="shared" si="0"/>
        <v>20</v>
      </c>
      <c r="E316" s="47" t="str">
        <f t="shared" si="1"/>
        <v>Friday</v>
      </c>
      <c r="F316" s="47" t="s">
        <v>16</v>
      </c>
      <c r="G316" s="47" t="s">
        <v>103</v>
      </c>
      <c r="H316" s="43" t="s">
        <v>37</v>
      </c>
      <c r="I316" s="48">
        <v>1</v>
      </c>
      <c r="J316" s="49">
        <v>5000</v>
      </c>
      <c r="K316" s="49">
        <v>5000</v>
      </c>
      <c r="L316" s="47" t="s">
        <v>22</v>
      </c>
      <c r="M316" s="46">
        <v>0</v>
      </c>
      <c r="N316" s="48" t="s">
        <v>23</v>
      </c>
      <c r="O316" s="47" t="s">
        <v>47</v>
      </c>
    </row>
    <row r="317" ht="14.25" customHeight="1" spans="1:15">
      <c r="A317" s="43" t="s">
        <v>806</v>
      </c>
      <c r="B317" s="44">
        <v>46094</v>
      </c>
      <c r="C317" s="45">
        <v>0.885416666666667</v>
      </c>
      <c r="D317" s="46">
        <f t="shared" si="0"/>
        <v>21</v>
      </c>
      <c r="E317" s="47" t="str">
        <f t="shared" si="1"/>
        <v>Friday</v>
      </c>
      <c r="F317" s="47" t="s">
        <v>16</v>
      </c>
      <c r="G317" s="47" t="s">
        <v>367</v>
      </c>
      <c r="H317" s="43" t="s">
        <v>109</v>
      </c>
      <c r="I317" s="48">
        <v>2</v>
      </c>
      <c r="J317" s="49">
        <v>7000</v>
      </c>
      <c r="K317" s="49">
        <v>14000</v>
      </c>
      <c r="L317" s="47" t="s">
        <v>22</v>
      </c>
      <c r="M317" s="46">
        <v>0</v>
      </c>
      <c r="N317" s="48">
        <v>4</v>
      </c>
      <c r="O317" s="47" t="s">
        <v>40</v>
      </c>
    </row>
    <row r="318" ht="14.25" customHeight="1" spans="1:15">
      <c r="A318" s="43" t="s">
        <v>808</v>
      </c>
      <c r="B318" s="44">
        <v>46094</v>
      </c>
      <c r="C318" s="45">
        <v>0.902777777777778</v>
      </c>
      <c r="D318" s="46">
        <f t="shared" si="0"/>
        <v>21</v>
      </c>
      <c r="E318" s="47" t="str">
        <f t="shared" si="1"/>
        <v>Friday</v>
      </c>
      <c r="F318" s="47" t="s">
        <v>16</v>
      </c>
      <c r="G318" s="43" t="s">
        <v>647</v>
      </c>
      <c r="H318" s="43" t="s">
        <v>45</v>
      </c>
      <c r="I318" s="48">
        <v>1</v>
      </c>
      <c r="J318" s="49">
        <v>4500</v>
      </c>
      <c r="K318" s="49">
        <v>4500</v>
      </c>
      <c r="L318" s="47" t="s">
        <v>32</v>
      </c>
      <c r="M318" s="46">
        <v>0</v>
      </c>
      <c r="N318" s="48">
        <v>2</v>
      </c>
      <c r="O318" s="47" t="s">
        <v>47</v>
      </c>
    </row>
    <row r="319" ht="14.25" customHeight="1" spans="1:15">
      <c r="A319" s="43" t="s">
        <v>810</v>
      </c>
      <c r="B319" s="44">
        <v>46094</v>
      </c>
      <c r="C319" s="45">
        <v>0.924305555555556</v>
      </c>
      <c r="D319" s="46">
        <f t="shared" si="0"/>
        <v>22</v>
      </c>
      <c r="E319" s="47" t="str">
        <f t="shared" si="1"/>
        <v>Friday</v>
      </c>
      <c r="F319" s="47" t="s">
        <v>107</v>
      </c>
      <c r="G319" s="47" t="s">
        <v>103</v>
      </c>
      <c r="H319" s="43" t="s">
        <v>37</v>
      </c>
      <c r="I319" s="48">
        <v>1</v>
      </c>
      <c r="J319" s="49">
        <v>5000</v>
      </c>
      <c r="K319" s="50">
        <v>4500</v>
      </c>
      <c r="L319" s="47" t="s">
        <v>22</v>
      </c>
      <c r="M319" s="51">
        <v>0.1</v>
      </c>
      <c r="N319" s="48">
        <v>4</v>
      </c>
      <c r="O319" s="47" t="s">
        <v>47</v>
      </c>
    </row>
    <row r="320" ht="14.25" customHeight="1" spans="1:15">
      <c r="A320" s="43" t="s">
        <v>812</v>
      </c>
      <c r="B320" s="44">
        <v>46094</v>
      </c>
      <c r="C320" s="45">
        <v>0.929861111111111</v>
      </c>
      <c r="D320" s="46">
        <f t="shared" si="0"/>
        <v>22</v>
      </c>
      <c r="E320" s="47" t="str">
        <f t="shared" si="1"/>
        <v>Friday</v>
      </c>
      <c r="F320" s="47" t="s">
        <v>107</v>
      </c>
      <c r="G320" s="47" t="s">
        <v>50</v>
      </c>
      <c r="H320" s="43" t="s">
        <v>28</v>
      </c>
      <c r="I320" s="48">
        <v>2</v>
      </c>
      <c r="J320" s="49">
        <v>25000</v>
      </c>
      <c r="K320" s="49">
        <v>50000</v>
      </c>
      <c r="L320" s="47" t="s">
        <v>22</v>
      </c>
      <c r="M320" s="46">
        <v>0</v>
      </c>
      <c r="N320" s="48">
        <v>3</v>
      </c>
      <c r="O320" s="47" t="s">
        <v>40</v>
      </c>
    </row>
    <row r="321" ht="14.25" customHeight="1" spans="1:15">
      <c r="A321" s="43" t="s">
        <v>813</v>
      </c>
      <c r="B321" s="44">
        <v>46095</v>
      </c>
      <c r="C321" s="45">
        <v>0.48125</v>
      </c>
      <c r="D321" s="46">
        <f t="shared" si="0"/>
        <v>11</v>
      </c>
      <c r="E321" s="47" t="str">
        <f t="shared" si="1"/>
        <v>Saturday</v>
      </c>
      <c r="F321" s="47" t="s">
        <v>16</v>
      </c>
      <c r="G321" s="47" t="s">
        <v>63</v>
      </c>
      <c r="H321" s="43" t="str">
        <f>VLOOKUP(G321,'02_Menu_Lookup'!$A$2:$C$16,2,FALSE)</f>
        <v>Beverages</v>
      </c>
      <c r="I321" s="48">
        <v>1</v>
      </c>
      <c r="J321" s="49">
        <v>1500</v>
      </c>
      <c r="K321" s="50">
        <v>1500</v>
      </c>
      <c r="L321" s="47" t="s">
        <v>22</v>
      </c>
      <c r="M321" s="46">
        <v>0</v>
      </c>
      <c r="N321" s="48" t="s">
        <v>23</v>
      </c>
      <c r="O321" s="47" t="s">
        <v>40</v>
      </c>
    </row>
    <row r="322" ht="14.25" customHeight="1" spans="1:15">
      <c r="A322" s="43" t="s">
        <v>817</v>
      </c>
      <c r="B322" s="44">
        <v>46095</v>
      </c>
      <c r="C322" s="45">
        <v>0.621527777777778</v>
      </c>
      <c r="D322" s="46">
        <f t="shared" si="0"/>
        <v>14</v>
      </c>
      <c r="E322" s="47" t="str">
        <f t="shared" si="1"/>
        <v>Saturday</v>
      </c>
      <c r="F322" s="47" t="s">
        <v>16</v>
      </c>
      <c r="G322" s="47" t="s">
        <v>146</v>
      </c>
      <c r="H322" s="43" t="s">
        <v>28</v>
      </c>
      <c r="I322" s="48">
        <v>1</v>
      </c>
      <c r="J322" s="49">
        <v>16000</v>
      </c>
      <c r="K322" s="49">
        <v>16000</v>
      </c>
      <c r="L322" s="47" t="s">
        <v>22</v>
      </c>
      <c r="M322" s="46">
        <v>0</v>
      </c>
      <c r="N322" s="48" t="s">
        <v>23</v>
      </c>
      <c r="O322" s="47" t="s">
        <v>40</v>
      </c>
    </row>
    <row r="323" ht="14.25" customHeight="1" spans="1:15">
      <c r="A323" s="43" t="s">
        <v>818</v>
      </c>
      <c r="B323" s="44">
        <v>46095</v>
      </c>
      <c r="C323" s="45">
        <v>0.702083333333333</v>
      </c>
      <c r="D323" s="46">
        <f t="shared" si="0"/>
        <v>16</v>
      </c>
      <c r="E323" s="47" t="str">
        <f t="shared" si="1"/>
        <v>Saturday</v>
      </c>
      <c r="F323" s="47" t="s">
        <v>16</v>
      </c>
      <c r="G323" s="47" t="s">
        <v>103</v>
      </c>
      <c r="H323" s="43" t="s">
        <v>37</v>
      </c>
      <c r="I323" s="48">
        <v>1</v>
      </c>
      <c r="J323" s="49">
        <v>5000</v>
      </c>
      <c r="K323" s="49">
        <v>5000</v>
      </c>
      <c r="L323" s="47" t="s">
        <v>32</v>
      </c>
      <c r="M323" s="46">
        <v>0</v>
      </c>
      <c r="N323" s="48">
        <v>5</v>
      </c>
      <c r="O323" s="47" t="s">
        <v>73</v>
      </c>
    </row>
    <row r="324" ht="14.25" customHeight="1" spans="1:15">
      <c r="A324" s="43" t="s">
        <v>820</v>
      </c>
      <c r="B324" s="44">
        <v>46095</v>
      </c>
      <c r="C324" s="45">
        <v>0.791666666666667</v>
      </c>
      <c r="D324" s="46">
        <f t="shared" si="0"/>
        <v>19</v>
      </c>
      <c r="E324" s="47" t="str">
        <f t="shared" si="1"/>
        <v>Saturday</v>
      </c>
      <c r="F324" s="47" t="s">
        <v>16</v>
      </c>
      <c r="G324" s="47" t="s">
        <v>81</v>
      </c>
      <c r="H324" s="43" t="s">
        <v>37</v>
      </c>
      <c r="I324" s="48">
        <v>1</v>
      </c>
      <c r="J324" s="49">
        <v>6000</v>
      </c>
      <c r="K324" s="49">
        <v>6000</v>
      </c>
      <c r="L324" s="47" t="s">
        <v>22</v>
      </c>
      <c r="M324" s="46">
        <v>0</v>
      </c>
      <c r="N324" s="48" t="s">
        <v>23</v>
      </c>
      <c r="O324" s="47" t="s">
        <v>24</v>
      </c>
    </row>
    <row r="325" ht="14.25" customHeight="1" spans="1:15">
      <c r="A325" s="43" t="s">
        <v>822</v>
      </c>
      <c r="B325" s="44">
        <v>46095</v>
      </c>
      <c r="C325" s="45">
        <v>0.825694444444444</v>
      </c>
      <c r="D325" s="46">
        <f t="shared" si="0"/>
        <v>19</v>
      </c>
      <c r="E325" s="47" t="str">
        <f t="shared" si="1"/>
        <v>Saturday</v>
      </c>
      <c r="F325" s="47" t="s">
        <v>16</v>
      </c>
      <c r="G325" s="47" t="s">
        <v>63</v>
      </c>
      <c r="H325" s="43" t="str">
        <f>VLOOKUP(G325,'02_Menu_Lookup'!$A$2:$C$16,2,FALSE)</f>
        <v>Beverages</v>
      </c>
      <c r="I325" s="48">
        <v>2</v>
      </c>
      <c r="J325" s="49">
        <v>1500</v>
      </c>
      <c r="K325" s="49">
        <v>3000</v>
      </c>
      <c r="L325" s="47" t="s">
        <v>22</v>
      </c>
      <c r="M325" s="46">
        <v>0</v>
      </c>
      <c r="N325" s="48">
        <v>4</v>
      </c>
      <c r="O325" s="47" t="s">
        <v>40</v>
      </c>
    </row>
    <row r="326" ht="14.25" customHeight="1" spans="1:15">
      <c r="A326" s="43" t="s">
        <v>825</v>
      </c>
      <c r="B326" s="44">
        <v>46095</v>
      </c>
      <c r="C326" s="45">
        <v>0.841666666666667</v>
      </c>
      <c r="D326" s="46">
        <f t="shared" si="0"/>
        <v>20</v>
      </c>
      <c r="E326" s="47" t="str">
        <f t="shared" si="1"/>
        <v>Saturday</v>
      </c>
      <c r="F326" s="47" t="s">
        <v>43</v>
      </c>
      <c r="G326" s="47" t="s">
        <v>17</v>
      </c>
      <c r="H326" s="43" t="s">
        <v>18</v>
      </c>
      <c r="I326" s="48">
        <v>1</v>
      </c>
      <c r="J326" s="49">
        <v>1000</v>
      </c>
      <c r="K326" s="50">
        <v>900</v>
      </c>
      <c r="L326" s="47" t="s">
        <v>22</v>
      </c>
      <c r="M326" s="51">
        <v>0.1</v>
      </c>
      <c r="N326" s="48">
        <v>3</v>
      </c>
      <c r="O326" s="47" t="s">
        <v>33</v>
      </c>
    </row>
    <row r="327" ht="14.25" customHeight="1" spans="1:15">
      <c r="A327" s="43" t="s">
        <v>828</v>
      </c>
      <c r="B327" s="44">
        <v>46095</v>
      </c>
      <c r="C327" s="45">
        <v>0.842361111111111</v>
      </c>
      <c r="D327" s="46">
        <f t="shared" si="0"/>
        <v>20</v>
      </c>
      <c r="E327" s="47" t="str">
        <f t="shared" si="1"/>
        <v>Saturday</v>
      </c>
      <c r="F327" s="47" t="s">
        <v>16</v>
      </c>
      <c r="G327" s="47" t="s">
        <v>103</v>
      </c>
      <c r="H327" s="43" t="s">
        <v>37</v>
      </c>
      <c r="I327" s="48">
        <v>2</v>
      </c>
      <c r="J327" s="49">
        <v>5000</v>
      </c>
      <c r="K327" s="49">
        <v>10000</v>
      </c>
      <c r="L327" s="47" t="s">
        <v>32</v>
      </c>
      <c r="M327" s="46">
        <v>0</v>
      </c>
      <c r="N327" s="48" t="s">
        <v>23</v>
      </c>
      <c r="O327" s="47" t="s">
        <v>24</v>
      </c>
    </row>
    <row r="328" ht="14.25" customHeight="1" spans="1:15">
      <c r="A328" s="43" t="s">
        <v>829</v>
      </c>
      <c r="B328" s="44">
        <v>46095</v>
      </c>
      <c r="C328" s="45">
        <v>0.845138888888889</v>
      </c>
      <c r="D328" s="46">
        <f t="shared" si="0"/>
        <v>20</v>
      </c>
      <c r="E328" s="47" t="str">
        <f t="shared" si="1"/>
        <v>Saturday</v>
      </c>
      <c r="F328" s="47" t="s">
        <v>43</v>
      </c>
      <c r="G328" s="47" t="s">
        <v>103</v>
      </c>
      <c r="H328" s="43" t="s">
        <v>37</v>
      </c>
      <c r="I328" s="48">
        <v>1</v>
      </c>
      <c r="J328" s="49">
        <v>5000</v>
      </c>
      <c r="K328" s="49">
        <v>5000</v>
      </c>
      <c r="L328" s="47" t="s">
        <v>22</v>
      </c>
      <c r="M328" s="46">
        <v>0</v>
      </c>
      <c r="N328" s="48">
        <v>4</v>
      </c>
      <c r="O328" s="47" t="s">
        <v>73</v>
      </c>
    </row>
    <row r="329" ht="14.25" customHeight="1" spans="1:15">
      <c r="A329" s="43" t="s">
        <v>833</v>
      </c>
      <c r="B329" s="44">
        <v>46095</v>
      </c>
      <c r="C329" s="45">
        <v>0.855555555555556</v>
      </c>
      <c r="D329" s="46">
        <f t="shared" si="0"/>
        <v>20</v>
      </c>
      <c r="E329" s="47" t="str">
        <f t="shared" si="1"/>
        <v>Saturday</v>
      </c>
      <c r="F329" s="47" t="s">
        <v>16</v>
      </c>
      <c r="G329" s="47" t="s">
        <v>63</v>
      </c>
      <c r="H329" s="43" t="s">
        <v>18</v>
      </c>
      <c r="I329" s="48">
        <v>1</v>
      </c>
      <c r="J329" s="49">
        <v>1500</v>
      </c>
      <c r="K329" s="49">
        <v>1500</v>
      </c>
      <c r="L329" s="47" t="s">
        <v>22</v>
      </c>
      <c r="M329" s="46">
        <v>0</v>
      </c>
      <c r="N329" s="48" t="s">
        <v>23</v>
      </c>
      <c r="O329" s="47" t="s">
        <v>47</v>
      </c>
    </row>
    <row r="330" ht="14.25" customHeight="1" spans="1:15">
      <c r="A330" s="43" t="s">
        <v>835</v>
      </c>
      <c r="B330" s="44">
        <v>46095</v>
      </c>
      <c r="C330" s="45">
        <v>0.891666666666667</v>
      </c>
      <c r="D330" s="46">
        <f t="shared" si="0"/>
        <v>21</v>
      </c>
      <c r="E330" s="47" t="str">
        <f t="shared" si="1"/>
        <v>Saturday</v>
      </c>
      <c r="F330" s="47" t="s">
        <v>43</v>
      </c>
      <c r="G330" s="47" t="s">
        <v>146</v>
      </c>
      <c r="H330" s="43" t="s">
        <v>28</v>
      </c>
      <c r="I330" s="48">
        <v>1</v>
      </c>
      <c r="J330" s="49">
        <v>16000</v>
      </c>
      <c r="K330" s="49">
        <v>16000</v>
      </c>
      <c r="L330" s="47" t="s">
        <v>22</v>
      </c>
      <c r="M330" s="46">
        <v>0</v>
      </c>
      <c r="N330" s="48">
        <v>4</v>
      </c>
      <c r="O330" s="47" t="s">
        <v>73</v>
      </c>
    </row>
    <row r="331" ht="14.25" customHeight="1" spans="1:15">
      <c r="A331" s="43" t="s">
        <v>836</v>
      </c>
      <c r="B331" s="44">
        <v>46095</v>
      </c>
      <c r="C331" s="45">
        <v>0.906944444444444</v>
      </c>
      <c r="D331" s="46">
        <f t="shared" si="0"/>
        <v>21</v>
      </c>
      <c r="E331" s="47" t="str">
        <f t="shared" si="1"/>
        <v>Saturday</v>
      </c>
      <c r="F331" s="47" t="s">
        <v>16</v>
      </c>
      <c r="G331" s="43" t="s">
        <v>165</v>
      </c>
      <c r="H331" s="43" t="s">
        <v>109</v>
      </c>
      <c r="I331" s="48">
        <v>2</v>
      </c>
      <c r="J331" s="49">
        <v>6000</v>
      </c>
      <c r="K331" s="50">
        <v>12000</v>
      </c>
      <c r="L331" s="47" t="s">
        <v>22</v>
      </c>
      <c r="M331" s="46">
        <v>0</v>
      </c>
      <c r="N331" s="48" t="s">
        <v>23</v>
      </c>
      <c r="O331" s="47" t="s">
        <v>40</v>
      </c>
    </row>
    <row r="332" ht="14.25" customHeight="1" spans="1:15">
      <c r="A332" s="43" t="s">
        <v>839</v>
      </c>
      <c r="B332" s="44">
        <v>46095</v>
      </c>
      <c r="C332" s="45">
        <v>0.915277777777778</v>
      </c>
      <c r="D332" s="46">
        <f t="shared" si="0"/>
        <v>21</v>
      </c>
      <c r="E332" s="47" t="str">
        <f t="shared" si="1"/>
        <v>Saturday</v>
      </c>
      <c r="F332" s="47" t="s">
        <v>16</v>
      </c>
      <c r="G332" s="47" t="s">
        <v>81</v>
      </c>
      <c r="H332" s="43" t="s">
        <v>37</v>
      </c>
      <c r="I332" s="48">
        <v>1</v>
      </c>
      <c r="J332" s="49">
        <v>6000</v>
      </c>
      <c r="K332" s="49">
        <v>6000</v>
      </c>
      <c r="L332" s="47" t="s">
        <v>22</v>
      </c>
      <c r="M332" s="46">
        <v>0</v>
      </c>
      <c r="N332" s="48">
        <v>4</v>
      </c>
      <c r="O332" s="47" t="s">
        <v>73</v>
      </c>
    </row>
    <row r="333" ht="14.25" customHeight="1" spans="1:15">
      <c r="A333" s="43" t="s">
        <v>841</v>
      </c>
      <c r="B333" s="44">
        <v>46095</v>
      </c>
      <c r="C333" s="45">
        <v>0.938194444444444</v>
      </c>
      <c r="D333" s="46">
        <f t="shared" si="0"/>
        <v>22</v>
      </c>
      <c r="E333" s="47" t="str">
        <f t="shared" si="1"/>
        <v>Saturday</v>
      </c>
      <c r="F333" s="47" t="s">
        <v>16</v>
      </c>
      <c r="G333" s="47" t="s">
        <v>63</v>
      </c>
      <c r="H333" s="43" t="s">
        <v>18</v>
      </c>
      <c r="I333" s="48">
        <v>1</v>
      </c>
      <c r="J333" s="49">
        <v>1500</v>
      </c>
      <c r="K333" s="49">
        <v>1500</v>
      </c>
      <c r="L333" s="47" t="s">
        <v>22</v>
      </c>
      <c r="M333" s="46">
        <v>0</v>
      </c>
      <c r="N333" s="48">
        <v>4</v>
      </c>
      <c r="O333" s="47" t="s">
        <v>40</v>
      </c>
    </row>
    <row r="334" ht="14.25" customHeight="1" spans="1:15">
      <c r="A334" s="43" t="s">
        <v>842</v>
      </c>
      <c r="B334" s="44">
        <v>46096</v>
      </c>
      <c r="C334" s="45">
        <v>0.513194444444444</v>
      </c>
      <c r="D334" s="46">
        <f t="shared" si="0"/>
        <v>12</v>
      </c>
      <c r="E334" s="47" t="str">
        <f t="shared" si="1"/>
        <v>Sunday</v>
      </c>
      <c r="F334" s="47" t="s">
        <v>107</v>
      </c>
      <c r="G334" s="43" t="s">
        <v>36</v>
      </c>
      <c r="H334" s="43" t="s">
        <v>37</v>
      </c>
      <c r="I334" s="48">
        <v>3</v>
      </c>
      <c r="J334" s="49">
        <v>3000</v>
      </c>
      <c r="K334" s="50">
        <v>8100</v>
      </c>
      <c r="L334" s="47" t="s">
        <v>22</v>
      </c>
      <c r="M334" s="51">
        <v>0.1</v>
      </c>
      <c r="N334" s="48">
        <v>3</v>
      </c>
      <c r="O334" s="47" t="s">
        <v>24</v>
      </c>
    </row>
    <row r="335" ht="14.25" customHeight="1" spans="1:15">
      <c r="A335" s="43" t="s">
        <v>846</v>
      </c>
      <c r="B335" s="44">
        <v>46096</v>
      </c>
      <c r="C335" s="45">
        <v>0.623611111111111</v>
      </c>
      <c r="D335" s="46">
        <f t="shared" si="0"/>
        <v>14</v>
      </c>
      <c r="E335" s="47" t="str">
        <f t="shared" si="1"/>
        <v>Sunday</v>
      </c>
      <c r="F335" s="47" t="s">
        <v>107</v>
      </c>
      <c r="G335" s="43" t="s">
        <v>36</v>
      </c>
      <c r="H335" s="43" t="s">
        <v>37</v>
      </c>
      <c r="I335" s="48">
        <v>1</v>
      </c>
      <c r="J335" s="49">
        <v>3000</v>
      </c>
      <c r="K335" s="50">
        <v>2550</v>
      </c>
      <c r="L335" s="47" t="s">
        <v>22</v>
      </c>
      <c r="M335" s="51">
        <v>0.15</v>
      </c>
      <c r="N335" s="48" t="s">
        <v>23</v>
      </c>
      <c r="O335" s="47" t="s">
        <v>73</v>
      </c>
    </row>
    <row r="336" ht="14.25" customHeight="1" spans="1:15">
      <c r="A336" s="43" t="s">
        <v>849</v>
      </c>
      <c r="B336" s="44">
        <v>46096</v>
      </c>
      <c r="C336" s="45">
        <v>0.800694444444444</v>
      </c>
      <c r="D336" s="46">
        <f t="shared" si="0"/>
        <v>19</v>
      </c>
      <c r="E336" s="47" t="str">
        <f t="shared" si="1"/>
        <v>Sunday</v>
      </c>
      <c r="F336" s="47" t="s">
        <v>107</v>
      </c>
      <c r="G336" s="43" t="s">
        <v>36</v>
      </c>
      <c r="H336" s="43" t="s">
        <v>37</v>
      </c>
      <c r="I336" s="48">
        <v>1</v>
      </c>
      <c r="J336" s="49">
        <v>3000</v>
      </c>
      <c r="K336" s="49">
        <v>3000</v>
      </c>
      <c r="L336" s="47" t="s">
        <v>22</v>
      </c>
      <c r="M336" s="46">
        <v>0</v>
      </c>
      <c r="N336" s="48" t="s">
        <v>23</v>
      </c>
      <c r="O336" s="47" t="s">
        <v>24</v>
      </c>
    </row>
    <row r="337" ht="14.25" customHeight="1" spans="1:15">
      <c r="A337" s="43" t="s">
        <v>851</v>
      </c>
      <c r="B337" s="44">
        <v>46096</v>
      </c>
      <c r="C337" s="45">
        <v>0.872916666666667</v>
      </c>
      <c r="D337" s="46">
        <f t="shared" si="0"/>
        <v>20</v>
      </c>
      <c r="E337" s="47" t="str">
        <f t="shared" si="1"/>
        <v>Sunday</v>
      </c>
      <c r="F337" s="47" t="s">
        <v>43</v>
      </c>
      <c r="G337" s="47" t="s">
        <v>17</v>
      </c>
      <c r="H337" s="43" t="s">
        <v>18</v>
      </c>
      <c r="I337" s="48">
        <v>3</v>
      </c>
      <c r="J337" s="49">
        <v>1000</v>
      </c>
      <c r="K337" s="49">
        <v>3000</v>
      </c>
      <c r="L337" s="47" t="s">
        <v>22</v>
      </c>
      <c r="M337" s="46">
        <v>0</v>
      </c>
      <c r="N337" s="48" t="s">
        <v>23</v>
      </c>
      <c r="O337" s="47" t="s">
        <v>40</v>
      </c>
    </row>
    <row r="338" ht="14.25" customHeight="1" spans="1:15">
      <c r="A338" s="43" t="s">
        <v>852</v>
      </c>
      <c r="B338" s="44">
        <v>46096</v>
      </c>
      <c r="C338" s="45">
        <v>0.895833333333333</v>
      </c>
      <c r="D338" s="46">
        <f t="shared" si="0"/>
        <v>21</v>
      </c>
      <c r="E338" s="47" t="str">
        <f t="shared" si="1"/>
        <v>Sunday</v>
      </c>
      <c r="F338" s="47" t="s">
        <v>43</v>
      </c>
      <c r="G338" s="47" t="s">
        <v>146</v>
      </c>
      <c r="H338" s="43" t="s">
        <v>28</v>
      </c>
      <c r="I338" s="48">
        <v>1</v>
      </c>
      <c r="J338" s="49">
        <v>16000</v>
      </c>
      <c r="K338" s="49">
        <v>16000</v>
      </c>
      <c r="L338" s="47" t="s">
        <v>22</v>
      </c>
      <c r="M338" s="46">
        <v>0</v>
      </c>
      <c r="N338" s="48">
        <v>3</v>
      </c>
      <c r="O338" s="47" t="s">
        <v>47</v>
      </c>
    </row>
    <row r="339" ht="14.25" customHeight="1" spans="1:15">
      <c r="A339" s="43" t="s">
        <v>855</v>
      </c>
      <c r="B339" s="44">
        <v>46097</v>
      </c>
      <c r="C339" s="45">
        <v>0.847916666666667</v>
      </c>
      <c r="D339" s="46">
        <f t="shared" si="0"/>
        <v>20</v>
      </c>
      <c r="E339" s="47" t="str">
        <f t="shared" si="1"/>
        <v>Monday</v>
      </c>
      <c r="F339" s="47" t="s">
        <v>43</v>
      </c>
      <c r="G339" s="47" t="s">
        <v>95</v>
      </c>
      <c r="H339" s="43" t="s">
        <v>45</v>
      </c>
      <c r="I339" s="48">
        <v>1</v>
      </c>
      <c r="J339" s="49">
        <v>5000</v>
      </c>
      <c r="K339" s="49">
        <v>5000</v>
      </c>
      <c r="L339" s="47" t="s">
        <v>22</v>
      </c>
      <c r="M339" s="46">
        <v>0</v>
      </c>
      <c r="N339" s="48">
        <v>4</v>
      </c>
      <c r="O339" s="47" t="s">
        <v>33</v>
      </c>
    </row>
    <row r="340" ht="14.25" customHeight="1" spans="1:15">
      <c r="A340" s="43" t="s">
        <v>857</v>
      </c>
      <c r="B340" s="44">
        <v>46097</v>
      </c>
      <c r="C340" s="45">
        <v>0.863888888888889</v>
      </c>
      <c r="D340" s="46">
        <f t="shared" si="0"/>
        <v>20</v>
      </c>
      <c r="E340" s="47" t="str">
        <f t="shared" si="1"/>
        <v>Monday</v>
      </c>
      <c r="F340" s="47" t="s">
        <v>16</v>
      </c>
      <c r="G340" s="43" t="s">
        <v>36</v>
      </c>
      <c r="H340" s="43" t="s">
        <v>37</v>
      </c>
      <c r="I340" s="48">
        <v>2</v>
      </c>
      <c r="J340" s="49">
        <v>3000</v>
      </c>
      <c r="K340" s="49">
        <v>6000</v>
      </c>
      <c r="L340" s="47" t="s">
        <v>22</v>
      </c>
      <c r="M340" s="46">
        <v>0</v>
      </c>
      <c r="N340" s="48" t="s">
        <v>23</v>
      </c>
      <c r="O340" s="47" t="s">
        <v>33</v>
      </c>
    </row>
    <row r="341" ht="14.25" customHeight="1" spans="1:15">
      <c r="A341" s="43" t="s">
        <v>858</v>
      </c>
      <c r="B341" s="44">
        <v>46097</v>
      </c>
      <c r="C341" s="45">
        <v>0.871527777777778</v>
      </c>
      <c r="D341" s="46">
        <f t="shared" si="0"/>
        <v>20</v>
      </c>
      <c r="E341" s="47" t="str">
        <f t="shared" si="1"/>
        <v>Monday</v>
      </c>
      <c r="F341" s="47" t="s">
        <v>16</v>
      </c>
      <c r="G341" s="47" t="s">
        <v>95</v>
      </c>
      <c r="H341" s="43" t="str">
        <f>VLOOKUP(G341,'02_Menu_Lookup'!$A$2:$C$16,2,FALSE)</f>
        <v>Appetizers</v>
      </c>
      <c r="I341" s="48">
        <v>3</v>
      </c>
      <c r="J341" s="49">
        <v>5000</v>
      </c>
      <c r="K341" s="49">
        <v>15000</v>
      </c>
      <c r="L341" s="47" t="s">
        <v>22</v>
      </c>
      <c r="M341" s="46">
        <v>0</v>
      </c>
      <c r="N341" s="48" t="s">
        <v>23</v>
      </c>
      <c r="O341" s="47" t="s">
        <v>24</v>
      </c>
    </row>
    <row r="342" ht="14.25" customHeight="1" spans="1:15">
      <c r="A342" s="43" t="s">
        <v>860</v>
      </c>
      <c r="B342" s="44">
        <v>46098</v>
      </c>
      <c r="C342" s="45">
        <v>0.629861111111111</v>
      </c>
      <c r="D342" s="46">
        <f t="shared" si="0"/>
        <v>15</v>
      </c>
      <c r="E342" s="47" t="str">
        <f t="shared" si="1"/>
        <v>Tuesday</v>
      </c>
      <c r="F342" s="47" t="s">
        <v>107</v>
      </c>
      <c r="G342" s="47" t="s">
        <v>44</v>
      </c>
      <c r="H342" s="43" t="s">
        <v>45</v>
      </c>
      <c r="I342" s="48">
        <f>K342/J342</f>
        <v>1</v>
      </c>
      <c r="J342" s="49">
        <v>4000</v>
      </c>
      <c r="K342" s="49">
        <v>4000</v>
      </c>
      <c r="L342" s="47" t="s">
        <v>32</v>
      </c>
      <c r="M342" s="46">
        <v>0</v>
      </c>
      <c r="N342" s="48">
        <v>5</v>
      </c>
      <c r="O342" s="47" t="s">
        <v>40</v>
      </c>
    </row>
    <row r="343" ht="14.25" customHeight="1" spans="1:15">
      <c r="A343" s="43" t="s">
        <v>863</v>
      </c>
      <c r="B343" s="44">
        <v>46098</v>
      </c>
      <c r="C343" s="45">
        <v>0.6375</v>
      </c>
      <c r="D343" s="46">
        <f t="shared" si="0"/>
        <v>15</v>
      </c>
      <c r="E343" s="47" t="str">
        <f t="shared" si="1"/>
        <v>Tuesday</v>
      </c>
      <c r="F343" s="47" t="s">
        <v>107</v>
      </c>
      <c r="G343" s="47" t="s">
        <v>81</v>
      </c>
      <c r="H343" s="43" t="s">
        <v>37</v>
      </c>
      <c r="I343" s="48">
        <v>1</v>
      </c>
      <c r="J343" s="49">
        <v>6000</v>
      </c>
      <c r="K343" s="49">
        <v>6000</v>
      </c>
      <c r="L343" s="47" t="s">
        <v>32</v>
      </c>
      <c r="M343" s="46">
        <v>0</v>
      </c>
      <c r="N343" s="48" t="s">
        <v>23</v>
      </c>
      <c r="O343" s="47" t="s">
        <v>24</v>
      </c>
    </row>
    <row r="344" ht="14.25" customHeight="1" spans="1:15">
      <c r="A344" s="43" t="s">
        <v>865</v>
      </c>
      <c r="B344" s="44">
        <v>46098</v>
      </c>
      <c r="C344" s="45">
        <v>0.940277777777778</v>
      </c>
      <c r="D344" s="46">
        <f t="shared" si="0"/>
        <v>22</v>
      </c>
      <c r="E344" s="47" t="str">
        <f t="shared" si="1"/>
        <v>Tuesday</v>
      </c>
      <c r="F344" s="47" t="s">
        <v>43</v>
      </c>
      <c r="G344" s="47" t="s">
        <v>17</v>
      </c>
      <c r="H344" s="47" t="s">
        <v>18</v>
      </c>
      <c r="I344" s="48">
        <v>2</v>
      </c>
      <c r="J344" s="49">
        <v>1000</v>
      </c>
      <c r="K344" s="49">
        <v>2000</v>
      </c>
      <c r="L344" s="47" t="s">
        <v>22</v>
      </c>
      <c r="M344" s="46">
        <v>0</v>
      </c>
      <c r="N344" s="48" t="s">
        <v>23</v>
      </c>
      <c r="O344" s="47" t="s">
        <v>40</v>
      </c>
    </row>
    <row r="345" ht="14.25" customHeight="1" spans="1:15">
      <c r="A345" s="43" t="s">
        <v>867</v>
      </c>
      <c r="B345" s="44">
        <v>46099</v>
      </c>
      <c r="C345" s="45">
        <v>0.614583333333333</v>
      </c>
      <c r="D345" s="46">
        <f t="shared" si="0"/>
        <v>14</v>
      </c>
      <c r="E345" s="47" t="str">
        <f t="shared" si="1"/>
        <v>Wednesday</v>
      </c>
      <c r="F345" s="47" t="s">
        <v>16</v>
      </c>
      <c r="G345" s="47" t="s">
        <v>63</v>
      </c>
      <c r="H345" s="43" t="s">
        <v>18</v>
      </c>
      <c r="I345" s="48">
        <v>2</v>
      </c>
      <c r="J345" s="49">
        <v>1500</v>
      </c>
      <c r="K345" s="49">
        <v>3000</v>
      </c>
      <c r="L345" s="47" t="s">
        <v>32</v>
      </c>
      <c r="M345" s="46">
        <v>0</v>
      </c>
      <c r="N345" s="48">
        <v>4</v>
      </c>
      <c r="O345" s="47" t="s">
        <v>33</v>
      </c>
    </row>
    <row r="346" ht="14.25" customHeight="1" spans="1:15">
      <c r="A346" s="43" t="s">
        <v>870</v>
      </c>
      <c r="B346" s="44">
        <v>46099</v>
      </c>
      <c r="C346" s="45">
        <v>0.621527777777778</v>
      </c>
      <c r="D346" s="46">
        <f t="shared" si="0"/>
        <v>14</v>
      </c>
      <c r="E346" s="47" t="str">
        <f t="shared" si="1"/>
        <v>Wednesday</v>
      </c>
      <c r="F346" s="47" t="s">
        <v>16</v>
      </c>
      <c r="G346" s="43" t="s">
        <v>165</v>
      </c>
      <c r="H346" s="43" t="s">
        <v>109</v>
      </c>
      <c r="I346" s="48">
        <v>1</v>
      </c>
      <c r="J346" s="49">
        <v>6000</v>
      </c>
      <c r="K346" s="50">
        <v>6000</v>
      </c>
      <c r="L346" s="47" t="s">
        <v>22</v>
      </c>
      <c r="M346" s="46">
        <v>0</v>
      </c>
      <c r="N346" s="48" t="s">
        <v>23</v>
      </c>
      <c r="O346" s="47" t="s">
        <v>47</v>
      </c>
    </row>
    <row r="347" ht="14.25" customHeight="1" spans="1:15">
      <c r="A347" s="43" t="s">
        <v>872</v>
      </c>
      <c r="B347" s="44">
        <v>46099</v>
      </c>
      <c r="C347" s="45">
        <v>0.630555555555556</v>
      </c>
      <c r="D347" s="46">
        <f t="shared" si="0"/>
        <v>15</v>
      </c>
      <c r="E347" s="47" t="str">
        <f t="shared" si="1"/>
        <v>Wednesday</v>
      </c>
      <c r="F347" s="47" t="s">
        <v>107</v>
      </c>
      <c r="G347" s="47" t="s">
        <v>367</v>
      </c>
      <c r="H347" s="43" t="s">
        <v>109</v>
      </c>
      <c r="I347" s="48">
        <v>1</v>
      </c>
      <c r="J347" s="49">
        <v>7000</v>
      </c>
      <c r="K347" s="49">
        <v>7000</v>
      </c>
      <c r="L347" s="47" t="s">
        <v>32</v>
      </c>
      <c r="M347" s="46">
        <v>0</v>
      </c>
      <c r="N347" s="48" t="s">
        <v>23</v>
      </c>
      <c r="O347" s="47" t="s">
        <v>73</v>
      </c>
    </row>
    <row r="348" ht="14.25" customHeight="1" spans="1:15">
      <c r="A348" s="43" t="s">
        <v>873</v>
      </c>
      <c r="B348" s="44">
        <v>46099</v>
      </c>
      <c r="C348" s="45">
        <v>0.661111111111111</v>
      </c>
      <c r="D348" s="46">
        <f t="shared" si="0"/>
        <v>15</v>
      </c>
      <c r="E348" s="47" t="str">
        <f t="shared" si="1"/>
        <v>Wednesday</v>
      </c>
      <c r="F348" s="47" t="s">
        <v>16</v>
      </c>
      <c r="G348" s="47" t="s">
        <v>95</v>
      </c>
      <c r="H348" s="43" t="s">
        <v>45</v>
      </c>
      <c r="I348" s="48">
        <v>1</v>
      </c>
      <c r="J348" s="49">
        <v>5000</v>
      </c>
      <c r="K348" s="49">
        <v>5000</v>
      </c>
      <c r="L348" s="47" t="s">
        <v>22</v>
      </c>
      <c r="M348" s="46">
        <v>0</v>
      </c>
      <c r="N348" s="48" t="s">
        <v>23</v>
      </c>
      <c r="O348" s="47" t="s">
        <v>40</v>
      </c>
    </row>
    <row r="349" ht="14.25" customHeight="1" spans="1:15">
      <c r="A349" s="43" t="s">
        <v>875</v>
      </c>
      <c r="B349" s="44">
        <v>46099</v>
      </c>
      <c r="C349" s="45">
        <v>0.85625</v>
      </c>
      <c r="D349" s="46">
        <f t="shared" si="0"/>
        <v>20</v>
      </c>
      <c r="E349" s="47" t="str">
        <f t="shared" si="1"/>
        <v>Wednesday</v>
      </c>
      <c r="F349" s="47" t="s">
        <v>16</v>
      </c>
      <c r="G349" s="47" t="s">
        <v>95</v>
      </c>
      <c r="H349" s="43" t="str">
        <f>VLOOKUP(G349,'02_Menu_Lookup'!$A$2:$C$16,2,FALSE)</f>
        <v>Appetizers</v>
      </c>
      <c r="I349" s="48">
        <v>1</v>
      </c>
      <c r="J349" s="49">
        <v>5000</v>
      </c>
      <c r="K349" s="49">
        <v>5000</v>
      </c>
      <c r="L349" s="47" t="s">
        <v>22</v>
      </c>
      <c r="M349" s="46">
        <v>0</v>
      </c>
      <c r="N349" s="48">
        <v>5</v>
      </c>
      <c r="O349" s="47" t="s">
        <v>73</v>
      </c>
    </row>
    <row r="350" ht="14.25" customHeight="1" spans="1:15">
      <c r="A350" s="43" t="s">
        <v>876</v>
      </c>
      <c r="B350" s="44">
        <v>46099</v>
      </c>
      <c r="C350" s="45">
        <v>0.86875</v>
      </c>
      <c r="D350" s="46">
        <f t="shared" si="0"/>
        <v>20</v>
      </c>
      <c r="E350" s="47" t="str">
        <f t="shared" si="1"/>
        <v>Wednesday</v>
      </c>
      <c r="F350" s="47" t="s">
        <v>16</v>
      </c>
      <c r="G350" s="47" t="s">
        <v>146</v>
      </c>
      <c r="H350" s="43" t="s">
        <v>28</v>
      </c>
      <c r="I350" s="48">
        <v>1</v>
      </c>
      <c r="J350" s="49">
        <v>16000</v>
      </c>
      <c r="K350" s="49">
        <v>16000</v>
      </c>
      <c r="L350" s="47" t="s">
        <v>22</v>
      </c>
      <c r="M350" s="46">
        <v>0</v>
      </c>
      <c r="N350" s="48">
        <v>5</v>
      </c>
      <c r="O350" s="47" t="s">
        <v>33</v>
      </c>
    </row>
    <row r="351" ht="14.25" customHeight="1" spans="1:15">
      <c r="A351" s="43" t="s">
        <v>877</v>
      </c>
      <c r="B351" s="44">
        <v>46099</v>
      </c>
      <c r="C351" s="45">
        <v>0.886805555555556</v>
      </c>
      <c r="D351" s="46">
        <f t="shared" si="0"/>
        <v>21</v>
      </c>
      <c r="E351" s="47" t="str">
        <f t="shared" si="1"/>
        <v>Wednesday</v>
      </c>
      <c r="F351" s="47" t="s">
        <v>16</v>
      </c>
      <c r="G351" s="47" t="s">
        <v>17</v>
      </c>
      <c r="H351" s="43" t="s">
        <v>18</v>
      </c>
      <c r="I351" s="48">
        <v>1</v>
      </c>
      <c r="J351" s="49">
        <v>1000</v>
      </c>
      <c r="K351" s="49">
        <v>1000</v>
      </c>
      <c r="L351" s="47" t="s">
        <v>32</v>
      </c>
      <c r="M351" s="46">
        <v>0</v>
      </c>
      <c r="N351" s="48" t="s">
        <v>23</v>
      </c>
      <c r="O351" s="47" t="s">
        <v>33</v>
      </c>
    </row>
    <row r="352" ht="14.25" customHeight="1" spans="1:15">
      <c r="A352" s="43" t="s">
        <v>878</v>
      </c>
      <c r="B352" s="44">
        <v>46099</v>
      </c>
      <c r="C352" s="45">
        <v>0.889583333333333</v>
      </c>
      <c r="D352" s="46">
        <f t="shared" si="0"/>
        <v>21</v>
      </c>
      <c r="E352" s="47" t="str">
        <f t="shared" si="1"/>
        <v>Wednesday</v>
      </c>
      <c r="F352" s="47" t="s">
        <v>107</v>
      </c>
      <c r="G352" s="47" t="s">
        <v>17</v>
      </c>
      <c r="H352" s="43" t="s">
        <v>18</v>
      </c>
      <c r="I352" s="48">
        <v>2</v>
      </c>
      <c r="J352" s="50">
        <v>1000</v>
      </c>
      <c r="K352" s="49">
        <v>2000</v>
      </c>
      <c r="L352" s="47" t="s">
        <v>32</v>
      </c>
      <c r="M352" s="46">
        <v>0</v>
      </c>
      <c r="N352" s="48" t="s">
        <v>23</v>
      </c>
      <c r="O352" s="47" t="s">
        <v>73</v>
      </c>
    </row>
    <row r="353" ht="14.25" customHeight="1" spans="1:15">
      <c r="A353" s="43" t="s">
        <v>880</v>
      </c>
      <c r="B353" s="44">
        <v>46099</v>
      </c>
      <c r="C353" s="45">
        <v>0.890972222222222</v>
      </c>
      <c r="D353" s="46">
        <f t="shared" si="0"/>
        <v>21</v>
      </c>
      <c r="E353" s="47" t="str">
        <f t="shared" si="1"/>
        <v>Wednesday</v>
      </c>
      <c r="F353" s="47" t="s">
        <v>16</v>
      </c>
      <c r="G353" s="47" t="s">
        <v>103</v>
      </c>
      <c r="H353" s="43" t="s">
        <v>37</v>
      </c>
      <c r="I353" s="48">
        <f>K353/J353</f>
        <v>1</v>
      </c>
      <c r="J353" s="49">
        <v>5000</v>
      </c>
      <c r="K353" s="49">
        <v>5000</v>
      </c>
      <c r="L353" s="47" t="s">
        <v>22</v>
      </c>
      <c r="M353" s="46">
        <v>0</v>
      </c>
      <c r="N353" s="48" t="s">
        <v>23</v>
      </c>
      <c r="O353" s="47" t="s">
        <v>33</v>
      </c>
    </row>
    <row r="354" ht="14.25" customHeight="1" spans="1:15">
      <c r="A354" s="43" t="s">
        <v>882</v>
      </c>
      <c r="B354" s="44">
        <v>46100</v>
      </c>
      <c r="C354" s="45">
        <v>0.567361111111111</v>
      </c>
      <c r="D354" s="46">
        <f t="shared" si="0"/>
        <v>13</v>
      </c>
      <c r="E354" s="47" t="str">
        <f t="shared" si="1"/>
        <v>Thursday</v>
      </c>
      <c r="F354" s="47" t="s">
        <v>16</v>
      </c>
      <c r="G354" s="47" t="s">
        <v>57</v>
      </c>
      <c r="H354" s="43" t="s">
        <v>28</v>
      </c>
      <c r="I354" s="48">
        <v>2</v>
      </c>
      <c r="J354" s="49">
        <v>18000</v>
      </c>
      <c r="K354" s="50">
        <v>32400</v>
      </c>
      <c r="L354" s="47" t="s">
        <v>22</v>
      </c>
      <c r="M354" s="51">
        <v>0.1</v>
      </c>
      <c r="N354" s="48" t="s">
        <v>23</v>
      </c>
      <c r="O354" s="47" t="s">
        <v>24</v>
      </c>
    </row>
    <row r="355" ht="14.25" customHeight="1" spans="1:15">
      <c r="A355" s="43" t="s">
        <v>885</v>
      </c>
      <c r="B355" s="44">
        <v>46100</v>
      </c>
      <c r="C355" s="45">
        <v>0.679166666666667</v>
      </c>
      <c r="D355" s="46">
        <f t="shared" si="0"/>
        <v>16</v>
      </c>
      <c r="E355" s="47" t="str">
        <f t="shared" si="1"/>
        <v>Thursday</v>
      </c>
      <c r="F355" s="47" t="s">
        <v>107</v>
      </c>
      <c r="G355" s="43" t="s">
        <v>36</v>
      </c>
      <c r="H355" s="43" t="str">
        <f>VLOOKUP(G355,'02_Menu_Lookup'!$A$2:$C$16,2,FALSE)</f>
        <v>Sandwiches</v>
      </c>
      <c r="I355" s="48">
        <v>1</v>
      </c>
      <c r="J355" s="49">
        <v>3000</v>
      </c>
      <c r="K355" s="49">
        <v>3000</v>
      </c>
      <c r="L355" s="47" t="s">
        <v>22</v>
      </c>
      <c r="M355" s="46">
        <v>0</v>
      </c>
      <c r="N355" s="48" t="s">
        <v>23</v>
      </c>
      <c r="O355" s="47" t="s">
        <v>24</v>
      </c>
    </row>
    <row r="356" ht="14.25" customHeight="1" spans="1:15">
      <c r="A356" s="43" t="s">
        <v>887</v>
      </c>
      <c r="B356" s="44">
        <v>46100</v>
      </c>
      <c r="C356" s="45">
        <v>0.727083333333333</v>
      </c>
      <c r="D356" s="46">
        <f t="shared" si="0"/>
        <v>17</v>
      </c>
      <c r="E356" s="47" t="str">
        <f t="shared" si="1"/>
        <v>Thursday</v>
      </c>
      <c r="F356" s="47" t="s">
        <v>43</v>
      </c>
      <c r="G356" s="47" t="s">
        <v>103</v>
      </c>
      <c r="H356" s="47" t="s">
        <v>37</v>
      </c>
      <c r="I356" s="48">
        <v>1</v>
      </c>
      <c r="J356" s="49">
        <v>5000</v>
      </c>
      <c r="K356" s="49">
        <v>5000</v>
      </c>
      <c r="L356" s="47" t="s">
        <v>22</v>
      </c>
      <c r="M356" s="46">
        <v>0</v>
      </c>
      <c r="N356" s="48" t="s">
        <v>23</v>
      </c>
      <c r="O356" s="47" t="s">
        <v>33</v>
      </c>
    </row>
    <row r="357" ht="14.25" customHeight="1" spans="1:15">
      <c r="A357" s="43" t="s">
        <v>889</v>
      </c>
      <c r="B357" s="44">
        <v>46100</v>
      </c>
      <c r="C357" s="45">
        <v>0.782638888888889</v>
      </c>
      <c r="D357" s="46">
        <f t="shared" si="0"/>
        <v>18</v>
      </c>
      <c r="E357" s="47" t="str">
        <f t="shared" si="1"/>
        <v>Thursday</v>
      </c>
      <c r="F357" s="47" t="s">
        <v>16</v>
      </c>
      <c r="G357" s="47" t="s">
        <v>81</v>
      </c>
      <c r="H357" s="43" t="s">
        <v>37</v>
      </c>
      <c r="I357" s="48">
        <v>3</v>
      </c>
      <c r="J357" s="49">
        <v>6000</v>
      </c>
      <c r="K357" s="49">
        <v>18000</v>
      </c>
      <c r="L357" s="47" t="s">
        <v>32</v>
      </c>
      <c r="M357" s="46">
        <v>0</v>
      </c>
      <c r="N357" s="48">
        <v>5</v>
      </c>
      <c r="O357" s="47" t="s">
        <v>33</v>
      </c>
    </row>
    <row r="358" ht="14.25" customHeight="1" spans="1:15">
      <c r="A358" s="43" t="s">
        <v>892</v>
      </c>
      <c r="B358" s="44">
        <v>46100</v>
      </c>
      <c r="C358" s="45">
        <v>0.865972222222222</v>
      </c>
      <c r="D358" s="46">
        <f t="shared" si="0"/>
        <v>20</v>
      </c>
      <c r="E358" s="47" t="str">
        <f t="shared" si="1"/>
        <v>Thursday</v>
      </c>
      <c r="F358" s="47" t="s">
        <v>16</v>
      </c>
      <c r="G358" s="47" t="s">
        <v>81</v>
      </c>
      <c r="H358" s="43" t="s">
        <v>37</v>
      </c>
      <c r="I358" s="48">
        <v>1</v>
      </c>
      <c r="J358" s="49">
        <v>6000</v>
      </c>
      <c r="K358" s="49">
        <v>6000</v>
      </c>
      <c r="L358" s="47" t="s">
        <v>22</v>
      </c>
      <c r="M358" s="46">
        <v>0</v>
      </c>
      <c r="N358" s="48" t="s">
        <v>23</v>
      </c>
      <c r="O358" s="47" t="s">
        <v>40</v>
      </c>
    </row>
    <row r="359" ht="14.25" customHeight="1" spans="1:15">
      <c r="A359" s="43" t="s">
        <v>894</v>
      </c>
      <c r="B359" s="44">
        <v>46101</v>
      </c>
      <c r="C359" s="45">
        <v>0.553472222222222</v>
      </c>
      <c r="D359" s="46">
        <f t="shared" si="0"/>
        <v>13</v>
      </c>
      <c r="E359" s="47" t="str">
        <f t="shared" si="1"/>
        <v>Friday</v>
      </c>
      <c r="F359" s="47" t="s">
        <v>16</v>
      </c>
      <c r="G359" s="47" t="s">
        <v>103</v>
      </c>
      <c r="H359" s="43" t="s">
        <v>37</v>
      </c>
      <c r="I359" s="48">
        <v>2</v>
      </c>
      <c r="J359" s="49">
        <v>5000</v>
      </c>
      <c r="K359" s="49">
        <v>10000</v>
      </c>
      <c r="L359" s="47" t="s">
        <v>22</v>
      </c>
      <c r="M359" s="46">
        <v>0</v>
      </c>
      <c r="N359" s="48">
        <v>4</v>
      </c>
      <c r="O359" s="47" t="s">
        <v>33</v>
      </c>
    </row>
    <row r="360" ht="14.25" customHeight="1" spans="1:15">
      <c r="A360" s="43" t="s">
        <v>898</v>
      </c>
      <c r="B360" s="44">
        <v>46101</v>
      </c>
      <c r="C360" s="45">
        <v>0.577083333333333</v>
      </c>
      <c r="D360" s="46">
        <f t="shared" si="0"/>
        <v>13</v>
      </c>
      <c r="E360" s="47" t="str">
        <f t="shared" si="1"/>
        <v>Friday</v>
      </c>
      <c r="F360" s="47" t="s">
        <v>107</v>
      </c>
      <c r="G360" s="47" t="s">
        <v>50</v>
      </c>
      <c r="H360" s="43" t="s">
        <v>28</v>
      </c>
      <c r="I360" s="48">
        <v>1</v>
      </c>
      <c r="J360" s="49">
        <v>25000</v>
      </c>
      <c r="K360" s="49">
        <v>25000</v>
      </c>
      <c r="L360" s="47" t="s">
        <v>22</v>
      </c>
      <c r="M360" s="46">
        <v>0</v>
      </c>
      <c r="N360" s="48" t="s">
        <v>23</v>
      </c>
      <c r="O360" s="47" t="s">
        <v>40</v>
      </c>
    </row>
    <row r="361" ht="14.25" customHeight="1" spans="1:15">
      <c r="A361" s="43" t="s">
        <v>900</v>
      </c>
      <c r="B361" s="44">
        <v>46101</v>
      </c>
      <c r="C361" s="45">
        <v>0.580555555555556</v>
      </c>
      <c r="D361" s="46">
        <f t="shared" si="0"/>
        <v>13</v>
      </c>
      <c r="E361" s="47" t="str">
        <f t="shared" si="1"/>
        <v>Friday</v>
      </c>
      <c r="F361" s="47" t="s">
        <v>107</v>
      </c>
      <c r="G361" s="47" t="s">
        <v>63</v>
      </c>
      <c r="H361" s="43" t="s">
        <v>18</v>
      </c>
      <c r="I361" s="48">
        <v>1</v>
      </c>
      <c r="J361" s="49">
        <v>1500</v>
      </c>
      <c r="K361" s="50">
        <v>1350</v>
      </c>
      <c r="L361" s="47" t="s">
        <v>22</v>
      </c>
      <c r="M361" s="51">
        <v>0.1</v>
      </c>
      <c r="N361" s="48" t="s">
        <v>23</v>
      </c>
      <c r="O361" s="47" t="s">
        <v>40</v>
      </c>
    </row>
    <row r="362" ht="14.25" customHeight="1" spans="1:15">
      <c r="A362" s="43" t="s">
        <v>902</v>
      </c>
      <c r="B362" s="44">
        <v>46101</v>
      </c>
      <c r="C362" s="45">
        <v>0.60625</v>
      </c>
      <c r="D362" s="46">
        <f t="shared" si="0"/>
        <v>14</v>
      </c>
      <c r="E362" s="47" t="str">
        <f t="shared" si="1"/>
        <v>Friday</v>
      </c>
      <c r="F362" s="47" t="s">
        <v>107</v>
      </c>
      <c r="G362" s="47" t="s">
        <v>50</v>
      </c>
      <c r="H362" s="43" t="str">
        <f>VLOOKUP(G362,'02_Menu_Lookup'!$A$2:$C$16,2,FALSE)</f>
        <v>Grills</v>
      </c>
      <c r="I362" s="48">
        <v>1</v>
      </c>
      <c r="J362" s="49">
        <v>25000</v>
      </c>
      <c r="K362" s="49">
        <v>25000</v>
      </c>
      <c r="L362" s="47" t="s">
        <v>22</v>
      </c>
      <c r="M362" s="46">
        <v>0</v>
      </c>
      <c r="N362" s="48" t="s">
        <v>23</v>
      </c>
      <c r="O362" s="47" t="s">
        <v>47</v>
      </c>
    </row>
    <row r="363" ht="14.25" customHeight="1" spans="1:15">
      <c r="A363" s="43" t="s">
        <v>904</v>
      </c>
      <c r="B363" s="44">
        <v>46101</v>
      </c>
      <c r="C363" s="45">
        <v>0.856944444444444</v>
      </c>
      <c r="D363" s="46">
        <f t="shared" si="0"/>
        <v>20</v>
      </c>
      <c r="E363" s="47" t="str">
        <f t="shared" si="1"/>
        <v>Friday</v>
      </c>
      <c r="F363" s="47" t="s">
        <v>43</v>
      </c>
      <c r="G363" s="47" t="s">
        <v>103</v>
      </c>
      <c r="H363" s="43" t="s">
        <v>37</v>
      </c>
      <c r="I363" s="48">
        <v>3</v>
      </c>
      <c r="J363" s="50">
        <v>5000</v>
      </c>
      <c r="K363" s="49">
        <v>15000</v>
      </c>
      <c r="L363" s="47" t="s">
        <v>22</v>
      </c>
      <c r="M363" s="46">
        <v>0</v>
      </c>
      <c r="N363" s="48">
        <v>5</v>
      </c>
      <c r="O363" s="47" t="s">
        <v>47</v>
      </c>
    </row>
    <row r="364" ht="14.25" customHeight="1" spans="1:15">
      <c r="A364" s="43" t="s">
        <v>906</v>
      </c>
      <c r="B364" s="44">
        <v>46101</v>
      </c>
      <c r="C364" s="45">
        <v>0.859027777777778</v>
      </c>
      <c r="D364" s="46">
        <f t="shared" si="0"/>
        <v>20</v>
      </c>
      <c r="E364" s="47" t="str">
        <f t="shared" si="1"/>
        <v>Friday</v>
      </c>
      <c r="F364" s="47" t="s">
        <v>107</v>
      </c>
      <c r="G364" s="47" t="s">
        <v>44</v>
      </c>
      <c r="H364" s="47" t="s">
        <v>45</v>
      </c>
      <c r="I364" s="48">
        <v>1</v>
      </c>
      <c r="J364" s="49">
        <v>4000</v>
      </c>
      <c r="K364" s="49">
        <v>4000</v>
      </c>
      <c r="L364" s="47" t="s">
        <v>22</v>
      </c>
      <c r="M364" s="46">
        <v>0</v>
      </c>
      <c r="N364" s="48" t="s">
        <v>23</v>
      </c>
      <c r="O364" s="47" t="s">
        <v>24</v>
      </c>
    </row>
    <row r="365" ht="14.25" customHeight="1" spans="1:15">
      <c r="A365" s="43" t="s">
        <v>908</v>
      </c>
      <c r="B365" s="44">
        <v>46101</v>
      </c>
      <c r="C365" s="45">
        <v>0.865277777777778</v>
      </c>
      <c r="D365" s="46">
        <f t="shared" si="0"/>
        <v>20</v>
      </c>
      <c r="E365" s="47" t="str">
        <f t="shared" si="1"/>
        <v>Friday</v>
      </c>
      <c r="F365" s="47" t="s">
        <v>107</v>
      </c>
      <c r="G365" s="43" t="s">
        <v>36</v>
      </c>
      <c r="H365" s="43" t="str">
        <f>VLOOKUP(G365,'02_Menu_Lookup'!$A$2:$C$16,2,FALSE)</f>
        <v>Sandwiches</v>
      </c>
      <c r="I365" s="48">
        <v>1</v>
      </c>
      <c r="J365" s="49">
        <v>3000</v>
      </c>
      <c r="K365" s="49">
        <v>3000</v>
      </c>
      <c r="L365" s="47" t="s">
        <v>22</v>
      </c>
      <c r="M365" s="46">
        <v>0</v>
      </c>
      <c r="N365" s="48" t="s">
        <v>23</v>
      </c>
      <c r="O365" s="47" t="s">
        <v>47</v>
      </c>
    </row>
    <row r="366" ht="14.25" customHeight="1" spans="1:15">
      <c r="A366" s="43" t="s">
        <v>910</v>
      </c>
      <c r="B366" s="44">
        <v>46101</v>
      </c>
      <c r="C366" s="45">
        <v>0.871527777777778</v>
      </c>
      <c r="D366" s="46">
        <f t="shared" si="0"/>
        <v>20</v>
      </c>
      <c r="E366" s="47" t="str">
        <f t="shared" si="1"/>
        <v>Friday</v>
      </c>
      <c r="F366" s="47" t="s">
        <v>16</v>
      </c>
      <c r="G366" s="47" t="s">
        <v>44</v>
      </c>
      <c r="H366" s="43" t="s">
        <v>45</v>
      </c>
      <c r="I366" s="48">
        <v>2</v>
      </c>
      <c r="J366" s="49">
        <v>4000</v>
      </c>
      <c r="K366" s="49">
        <v>8000</v>
      </c>
      <c r="L366" s="47" t="s">
        <v>22</v>
      </c>
      <c r="M366" s="46">
        <v>0</v>
      </c>
      <c r="N366" s="48" t="s">
        <v>23</v>
      </c>
      <c r="O366" s="47" t="s">
        <v>47</v>
      </c>
    </row>
    <row r="367" ht="14.25" customHeight="1" spans="1:15">
      <c r="A367" s="43" t="s">
        <v>911</v>
      </c>
      <c r="B367" s="44">
        <v>46101</v>
      </c>
      <c r="C367" s="45">
        <v>0.875694444444444</v>
      </c>
      <c r="D367" s="46">
        <f t="shared" si="0"/>
        <v>21</v>
      </c>
      <c r="E367" s="47" t="str">
        <f t="shared" si="1"/>
        <v>Friday</v>
      </c>
      <c r="F367" s="47" t="s">
        <v>43</v>
      </c>
      <c r="G367" s="47" t="s">
        <v>57</v>
      </c>
      <c r="H367" s="43" t="s">
        <v>28</v>
      </c>
      <c r="I367" s="48">
        <v>3</v>
      </c>
      <c r="J367" s="49">
        <v>18000</v>
      </c>
      <c r="K367" s="49">
        <v>54000</v>
      </c>
      <c r="L367" s="47" t="s">
        <v>22</v>
      </c>
      <c r="M367" s="46">
        <v>0</v>
      </c>
      <c r="N367" s="48" t="s">
        <v>23</v>
      </c>
      <c r="O367" s="47" t="s">
        <v>33</v>
      </c>
    </row>
    <row r="368" ht="14.25" customHeight="1" spans="1:15">
      <c r="A368" s="43" t="s">
        <v>914</v>
      </c>
      <c r="B368" s="44">
        <v>46101</v>
      </c>
      <c r="C368" s="45">
        <v>0.893055555555556</v>
      </c>
      <c r="D368" s="46">
        <f t="shared" si="0"/>
        <v>21</v>
      </c>
      <c r="E368" s="47" t="str">
        <f t="shared" si="1"/>
        <v>Friday</v>
      </c>
      <c r="F368" s="47" t="s">
        <v>16</v>
      </c>
      <c r="G368" s="47" t="s">
        <v>50</v>
      </c>
      <c r="H368" s="43" t="s">
        <v>28</v>
      </c>
      <c r="I368" s="48">
        <v>1</v>
      </c>
      <c r="J368" s="49">
        <f>K368/I368</f>
        <v>25000</v>
      </c>
      <c r="K368" s="49">
        <v>25000</v>
      </c>
      <c r="L368" s="47" t="s">
        <v>22</v>
      </c>
      <c r="M368" s="46">
        <v>0</v>
      </c>
      <c r="N368" s="48" t="s">
        <v>23</v>
      </c>
      <c r="O368" s="47" t="s">
        <v>40</v>
      </c>
    </row>
    <row r="369" ht="14.25" customHeight="1" spans="1:15">
      <c r="A369" s="43" t="s">
        <v>915</v>
      </c>
      <c r="B369" s="44">
        <v>46101</v>
      </c>
      <c r="C369" s="45">
        <v>0.904166666666667</v>
      </c>
      <c r="D369" s="46">
        <f t="shared" si="0"/>
        <v>21</v>
      </c>
      <c r="E369" s="47" t="str">
        <f t="shared" si="1"/>
        <v>Friday</v>
      </c>
      <c r="F369" s="47" t="s">
        <v>43</v>
      </c>
      <c r="G369" s="47" t="s">
        <v>27</v>
      </c>
      <c r="H369" s="43" t="s">
        <v>28</v>
      </c>
      <c r="I369" s="48">
        <v>2</v>
      </c>
      <c r="J369" s="49">
        <v>15000</v>
      </c>
      <c r="K369" s="49">
        <v>30000</v>
      </c>
      <c r="L369" s="47" t="s">
        <v>22</v>
      </c>
      <c r="M369" s="46">
        <v>0</v>
      </c>
      <c r="N369" s="48" t="s">
        <v>23</v>
      </c>
      <c r="O369" s="47" t="s">
        <v>24</v>
      </c>
    </row>
    <row r="370" ht="14.25" customHeight="1" spans="1:15">
      <c r="A370" s="43" t="s">
        <v>916</v>
      </c>
      <c r="B370" s="44">
        <v>46102</v>
      </c>
      <c r="C370" s="45">
        <v>0.508333333333333</v>
      </c>
      <c r="D370" s="46">
        <f t="shared" si="0"/>
        <v>12</v>
      </c>
      <c r="E370" s="47" t="str">
        <f t="shared" si="1"/>
        <v>Saturday</v>
      </c>
      <c r="F370" s="47" t="s">
        <v>16</v>
      </c>
      <c r="G370" s="47" t="s">
        <v>103</v>
      </c>
      <c r="H370" s="43" t="s">
        <v>37</v>
      </c>
      <c r="I370" s="48">
        <v>1</v>
      </c>
      <c r="J370" s="49">
        <v>5000</v>
      </c>
      <c r="K370" s="49">
        <v>5000</v>
      </c>
      <c r="L370" s="47" t="s">
        <v>32</v>
      </c>
      <c r="M370" s="46">
        <v>0</v>
      </c>
      <c r="N370" s="48">
        <v>5</v>
      </c>
      <c r="O370" s="47" t="s">
        <v>73</v>
      </c>
    </row>
    <row r="371" ht="14.25" customHeight="1" spans="1:15">
      <c r="A371" s="43" t="s">
        <v>918</v>
      </c>
      <c r="B371" s="44">
        <v>46102</v>
      </c>
      <c r="C371" s="45">
        <v>0.525</v>
      </c>
      <c r="D371" s="46">
        <f t="shared" si="0"/>
        <v>12</v>
      </c>
      <c r="E371" s="47" t="str">
        <f t="shared" si="1"/>
        <v>Saturday</v>
      </c>
      <c r="F371" s="47" t="s">
        <v>107</v>
      </c>
      <c r="G371" s="43" t="s">
        <v>647</v>
      </c>
      <c r="H371" s="43" t="s">
        <v>45</v>
      </c>
      <c r="I371" s="48">
        <v>1</v>
      </c>
      <c r="J371" s="49">
        <v>4500</v>
      </c>
      <c r="K371" s="49">
        <v>4500</v>
      </c>
      <c r="L371" s="47" t="s">
        <v>32</v>
      </c>
      <c r="M371" s="46">
        <v>0</v>
      </c>
      <c r="N371" s="48" t="s">
        <v>23</v>
      </c>
      <c r="O371" s="47" t="s">
        <v>24</v>
      </c>
    </row>
    <row r="372" ht="14.25" customHeight="1" spans="1:15">
      <c r="A372" s="43" t="s">
        <v>920</v>
      </c>
      <c r="B372" s="44">
        <v>46102</v>
      </c>
      <c r="C372" s="45">
        <v>0.547916666666667</v>
      </c>
      <c r="D372" s="46">
        <f t="shared" si="0"/>
        <v>13</v>
      </c>
      <c r="E372" s="47" t="str">
        <f t="shared" si="1"/>
        <v>Saturday</v>
      </c>
      <c r="F372" s="47" t="s">
        <v>16</v>
      </c>
      <c r="G372" s="47" t="s">
        <v>103</v>
      </c>
      <c r="H372" s="43" t="s">
        <v>37</v>
      </c>
      <c r="I372" s="48">
        <v>1</v>
      </c>
      <c r="J372" s="49">
        <v>5000</v>
      </c>
      <c r="K372" s="50">
        <v>4250</v>
      </c>
      <c r="L372" s="47" t="s">
        <v>22</v>
      </c>
      <c r="M372" s="51">
        <v>0.15</v>
      </c>
      <c r="N372" s="48" t="s">
        <v>23</v>
      </c>
      <c r="O372" s="47" t="s">
        <v>24</v>
      </c>
    </row>
    <row r="373" ht="14.25" customHeight="1" spans="1:15">
      <c r="A373" s="43" t="s">
        <v>921</v>
      </c>
      <c r="B373" s="44">
        <v>46102</v>
      </c>
      <c r="C373" s="45">
        <v>0.584027777777778</v>
      </c>
      <c r="D373" s="46">
        <f t="shared" si="0"/>
        <v>14</v>
      </c>
      <c r="E373" s="47" t="str">
        <f t="shared" si="1"/>
        <v>Saturday</v>
      </c>
      <c r="F373" s="47" t="s">
        <v>16</v>
      </c>
      <c r="G373" s="47" t="s">
        <v>44</v>
      </c>
      <c r="H373" s="43" t="s">
        <v>45</v>
      </c>
      <c r="I373" s="48">
        <v>1</v>
      </c>
      <c r="J373" s="49">
        <v>4000</v>
      </c>
      <c r="K373" s="49">
        <f>I373*J373</f>
        <v>4000</v>
      </c>
      <c r="L373" s="47" t="s">
        <v>22</v>
      </c>
      <c r="M373" s="46">
        <v>0</v>
      </c>
      <c r="N373" s="48" t="s">
        <v>23</v>
      </c>
      <c r="O373" s="47" t="s">
        <v>33</v>
      </c>
    </row>
    <row r="374" ht="14.25" customHeight="1" spans="1:15">
      <c r="A374" s="43" t="s">
        <v>923</v>
      </c>
      <c r="B374" s="44">
        <v>46102</v>
      </c>
      <c r="C374" s="45">
        <v>0.613194444444444</v>
      </c>
      <c r="D374" s="46">
        <f t="shared" si="0"/>
        <v>14</v>
      </c>
      <c r="E374" s="47" t="str">
        <f t="shared" si="1"/>
        <v>Saturday</v>
      </c>
      <c r="F374" s="47" t="s">
        <v>16</v>
      </c>
      <c r="G374" s="43" t="s">
        <v>199</v>
      </c>
      <c r="H374" s="43" t="s">
        <v>18</v>
      </c>
      <c r="I374" s="48">
        <v>3</v>
      </c>
      <c r="J374" s="49">
        <v>3000</v>
      </c>
      <c r="K374" s="49">
        <v>9000</v>
      </c>
      <c r="L374" s="47" t="s">
        <v>22</v>
      </c>
      <c r="M374" s="46">
        <v>0</v>
      </c>
      <c r="N374" s="48" t="s">
        <v>23</v>
      </c>
      <c r="O374" s="47" t="s">
        <v>47</v>
      </c>
    </row>
    <row r="375" ht="14.25" customHeight="1" spans="1:15">
      <c r="A375" s="43" t="s">
        <v>925</v>
      </c>
      <c r="B375" s="44">
        <v>46102</v>
      </c>
      <c r="C375" s="45">
        <v>0.647222222222222</v>
      </c>
      <c r="D375" s="46">
        <f t="shared" si="0"/>
        <v>15</v>
      </c>
      <c r="E375" s="47" t="str">
        <f t="shared" si="1"/>
        <v>Saturday</v>
      </c>
      <c r="F375" s="47" t="s">
        <v>107</v>
      </c>
      <c r="G375" s="47" t="s">
        <v>103</v>
      </c>
      <c r="H375" s="43" t="s">
        <v>37</v>
      </c>
      <c r="I375" s="48">
        <v>1</v>
      </c>
      <c r="J375" s="49">
        <v>5000</v>
      </c>
      <c r="K375" s="49">
        <v>5000</v>
      </c>
      <c r="L375" s="47" t="s">
        <v>22</v>
      </c>
      <c r="M375" s="46">
        <v>0</v>
      </c>
      <c r="N375" s="48" t="s">
        <v>23</v>
      </c>
      <c r="O375" s="47" t="s">
        <v>47</v>
      </c>
    </row>
    <row r="376" ht="14.25" customHeight="1" spans="1:15">
      <c r="A376" s="43" t="s">
        <v>927</v>
      </c>
      <c r="B376" s="44">
        <v>46102</v>
      </c>
      <c r="C376" s="45">
        <v>0.759027777777778</v>
      </c>
      <c r="D376" s="46">
        <f t="shared" si="0"/>
        <v>18</v>
      </c>
      <c r="E376" s="47" t="str">
        <f t="shared" si="1"/>
        <v>Saturday</v>
      </c>
      <c r="F376" s="47" t="s">
        <v>43</v>
      </c>
      <c r="G376" s="47" t="s">
        <v>50</v>
      </c>
      <c r="H376" s="43" t="s">
        <v>28</v>
      </c>
      <c r="I376" s="48">
        <v>1</v>
      </c>
      <c r="J376" s="49">
        <f>K376/I376</f>
        <v>25000</v>
      </c>
      <c r="K376" s="49">
        <v>25000</v>
      </c>
      <c r="L376" s="47" t="s">
        <v>22</v>
      </c>
      <c r="M376" s="46">
        <v>0</v>
      </c>
      <c r="N376" s="48" t="s">
        <v>23</v>
      </c>
      <c r="O376" s="47" t="s">
        <v>47</v>
      </c>
    </row>
    <row r="377" ht="14.25" customHeight="1" spans="1:15">
      <c r="A377" s="43" t="s">
        <v>928</v>
      </c>
      <c r="B377" s="44">
        <v>46102</v>
      </c>
      <c r="C377" s="45">
        <v>0.813194444444444</v>
      </c>
      <c r="D377" s="46">
        <f t="shared" si="0"/>
        <v>19</v>
      </c>
      <c r="E377" s="47" t="str">
        <f t="shared" si="1"/>
        <v>Saturday</v>
      </c>
      <c r="F377" s="47" t="s">
        <v>16</v>
      </c>
      <c r="G377" s="47" t="s">
        <v>17</v>
      </c>
      <c r="H377" s="43" t="s">
        <v>18</v>
      </c>
      <c r="I377" s="48">
        <v>2</v>
      </c>
      <c r="J377" s="49">
        <v>1000</v>
      </c>
      <c r="K377" s="49">
        <v>2000</v>
      </c>
      <c r="L377" s="47" t="s">
        <v>22</v>
      </c>
      <c r="M377" s="46">
        <v>0</v>
      </c>
      <c r="N377" s="48">
        <v>3</v>
      </c>
      <c r="O377" s="47" t="s">
        <v>40</v>
      </c>
    </row>
    <row r="378" ht="14.25" customHeight="1" spans="1:15">
      <c r="A378" s="43" t="s">
        <v>930</v>
      </c>
      <c r="B378" s="44">
        <v>46102</v>
      </c>
      <c r="C378" s="45">
        <v>0.854166666666667</v>
      </c>
      <c r="D378" s="46">
        <f t="shared" si="0"/>
        <v>20</v>
      </c>
      <c r="E378" s="47" t="str">
        <f t="shared" si="1"/>
        <v>Saturday</v>
      </c>
      <c r="F378" s="47" t="s">
        <v>16</v>
      </c>
      <c r="G378" s="47" t="s">
        <v>146</v>
      </c>
      <c r="H378" s="43" t="s">
        <v>28</v>
      </c>
      <c r="I378" s="48">
        <v>1</v>
      </c>
      <c r="J378" s="49">
        <v>16000</v>
      </c>
      <c r="K378" s="50">
        <v>14400</v>
      </c>
      <c r="L378" s="47" t="s">
        <v>22</v>
      </c>
      <c r="M378" s="51">
        <v>0.1</v>
      </c>
      <c r="N378" s="48">
        <v>3</v>
      </c>
      <c r="O378" s="47" t="s">
        <v>24</v>
      </c>
    </row>
    <row r="379" ht="14.25" customHeight="1" spans="1:15">
      <c r="A379" s="43" t="s">
        <v>932</v>
      </c>
      <c r="B379" s="44">
        <v>46102</v>
      </c>
      <c r="C379" s="45">
        <v>0.8625</v>
      </c>
      <c r="D379" s="46">
        <f t="shared" si="0"/>
        <v>20</v>
      </c>
      <c r="E379" s="47" t="str">
        <f t="shared" si="1"/>
        <v>Saturday</v>
      </c>
      <c r="F379" s="47" t="s">
        <v>107</v>
      </c>
      <c r="G379" s="47" t="s">
        <v>367</v>
      </c>
      <c r="H379" s="43" t="s">
        <v>109</v>
      </c>
      <c r="I379" s="48">
        <v>1</v>
      </c>
      <c r="J379" s="49">
        <v>7000</v>
      </c>
      <c r="K379" s="49">
        <v>7000</v>
      </c>
      <c r="L379" s="47" t="s">
        <v>22</v>
      </c>
      <c r="M379" s="46">
        <v>0</v>
      </c>
      <c r="N379" s="48" t="s">
        <v>23</v>
      </c>
      <c r="O379" s="47" t="s">
        <v>47</v>
      </c>
    </row>
    <row r="380" ht="14.25" customHeight="1" spans="1:15">
      <c r="A380" s="43" t="s">
        <v>935</v>
      </c>
      <c r="B380" s="44">
        <v>46102</v>
      </c>
      <c r="C380" s="45">
        <v>0.892361111111111</v>
      </c>
      <c r="D380" s="46">
        <f t="shared" si="0"/>
        <v>21</v>
      </c>
      <c r="E380" s="47" t="str">
        <f t="shared" si="1"/>
        <v>Saturday</v>
      </c>
      <c r="F380" s="47" t="s">
        <v>107</v>
      </c>
      <c r="G380" s="47" t="s">
        <v>63</v>
      </c>
      <c r="H380" s="43" t="s">
        <v>18</v>
      </c>
      <c r="I380" s="48">
        <v>1</v>
      </c>
      <c r="J380" s="49">
        <v>1500</v>
      </c>
      <c r="K380" s="49">
        <v>1500</v>
      </c>
      <c r="L380" s="47" t="s">
        <v>22</v>
      </c>
      <c r="M380" s="46">
        <v>0</v>
      </c>
      <c r="N380" s="48" t="s">
        <v>23</v>
      </c>
      <c r="O380" s="47" t="s">
        <v>33</v>
      </c>
    </row>
    <row r="381" ht="14.25" customHeight="1" spans="1:15">
      <c r="A381" s="43" t="s">
        <v>936</v>
      </c>
      <c r="B381" s="44">
        <v>46102</v>
      </c>
      <c r="C381" s="45">
        <v>0.9</v>
      </c>
      <c r="D381" s="46">
        <f t="shared" si="0"/>
        <v>21</v>
      </c>
      <c r="E381" s="47" t="str">
        <f t="shared" si="1"/>
        <v>Saturday</v>
      </c>
      <c r="F381" s="47" t="s">
        <v>107</v>
      </c>
      <c r="G381" s="47" t="s">
        <v>63</v>
      </c>
      <c r="H381" s="43" t="s">
        <v>18</v>
      </c>
      <c r="I381" s="48">
        <v>1</v>
      </c>
      <c r="J381" s="49">
        <v>1500</v>
      </c>
      <c r="K381" s="49">
        <v>1500</v>
      </c>
      <c r="L381" s="47" t="s">
        <v>22</v>
      </c>
      <c r="M381" s="46">
        <v>0</v>
      </c>
      <c r="N381" s="48" t="s">
        <v>23</v>
      </c>
      <c r="O381" s="47" t="s">
        <v>47</v>
      </c>
    </row>
    <row r="382" ht="14.25" customHeight="1" spans="1:15">
      <c r="A382" s="43" t="s">
        <v>938</v>
      </c>
      <c r="B382" s="44">
        <v>46102</v>
      </c>
      <c r="C382" s="45">
        <v>0.925694444444444</v>
      </c>
      <c r="D382" s="46">
        <f t="shared" si="0"/>
        <v>22</v>
      </c>
      <c r="E382" s="47" t="str">
        <f t="shared" si="1"/>
        <v>Saturday</v>
      </c>
      <c r="F382" s="47" t="s">
        <v>16</v>
      </c>
      <c r="G382" s="47" t="s">
        <v>17</v>
      </c>
      <c r="H382" s="43" t="s">
        <v>18</v>
      </c>
      <c r="I382" s="48">
        <v>1</v>
      </c>
      <c r="J382" s="49">
        <v>1000</v>
      </c>
      <c r="K382" s="50">
        <v>900</v>
      </c>
      <c r="L382" s="47" t="s">
        <v>22</v>
      </c>
      <c r="M382" s="51">
        <v>0.1</v>
      </c>
      <c r="N382" s="48" t="s">
        <v>23</v>
      </c>
      <c r="O382" s="47" t="s">
        <v>24</v>
      </c>
    </row>
    <row r="383" ht="14.25" customHeight="1" spans="1:15">
      <c r="A383" s="43" t="s">
        <v>939</v>
      </c>
      <c r="B383" s="44">
        <v>46102</v>
      </c>
      <c r="C383" s="45">
        <v>0.984722222222222</v>
      </c>
      <c r="D383" s="46">
        <f t="shared" si="0"/>
        <v>23</v>
      </c>
      <c r="E383" s="47" t="str">
        <f t="shared" si="1"/>
        <v>Saturday</v>
      </c>
      <c r="F383" s="47" t="s">
        <v>43</v>
      </c>
      <c r="G383" s="47" t="s">
        <v>63</v>
      </c>
      <c r="H383" s="43" t="s">
        <v>18</v>
      </c>
      <c r="I383" s="48">
        <v>1</v>
      </c>
      <c r="J383" s="49">
        <v>1500</v>
      </c>
      <c r="K383" s="49">
        <v>1500</v>
      </c>
      <c r="L383" s="47" t="s">
        <v>32</v>
      </c>
      <c r="M383" s="46">
        <v>0</v>
      </c>
      <c r="N383" s="48" t="s">
        <v>23</v>
      </c>
      <c r="O383" s="47" t="s">
        <v>24</v>
      </c>
    </row>
    <row r="384" ht="14.25" customHeight="1" spans="1:15">
      <c r="A384" s="43" t="s">
        <v>941</v>
      </c>
      <c r="B384" s="44">
        <v>46103</v>
      </c>
      <c r="C384" s="45">
        <v>0.7875</v>
      </c>
      <c r="D384" s="46">
        <f t="shared" si="0"/>
        <v>18</v>
      </c>
      <c r="E384" s="47" t="str">
        <f t="shared" si="1"/>
        <v>Sunday</v>
      </c>
      <c r="F384" s="47" t="s">
        <v>16</v>
      </c>
      <c r="G384" s="47" t="s">
        <v>103</v>
      </c>
      <c r="H384" s="43" t="s">
        <v>37</v>
      </c>
      <c r="I384" s="48">
        <v>1</v>
      </c>
      <c r="J384" s="49">
        <v>5000</v>
      </c>
      <c r="K384" s="50">
        <v>4250</v>
      </c>
      <c r="L384" s="47" t="s">
        <v>22</v>
      </c>
      <c r="M384" s="51">
        <v>0.15</v>
      </c>
      <c r="N384" s="48" t="s">
        <v>23</v>
      </c>
      <c r="O384" s="47" t="s">
        <v>73</v>
      </c>
    </row>
    <row r="385" ht="14.25" customHeight="1" spans="1:15">
      <c r="A385" s="43" t="s">
        <v>944</v>
      </c>
      <c r="B385" s="44">
        <v>46103</v>
      </c>
      <c r="C385" s="45">
        <v>0.961111111111111</v>
      </c>
      <c r="D385" s="46">
        <f t="shared" si="0"/>
        <v>23</v>
      </c>
      <c r="E385" s="47" t="str">
        <f t="shared" si="1"/>
        <v>Sunday</v>
      </c>
      <c r="F385" s="47" t="s">
        <v>16</v>
      </c>
      <c r="G385" s="47" t="s">
        <v>17</v>
      </c>
      <c r="H385" s="43" t="s">
        <v>18</v>
      </c>
      <c r="I385" s="48">
        <v>1</v>
      </c>
      <c r="J385" s="49">
        <f>K385/I385</f>
        <v>1000</v>
      </c>
      <c r="K385" s="49">
        <v>1000</v>
      </c>
      <c r="L385" s="47" t="s">
        <v>32</v>
      </c>
      <c r="M385" s="46">
        <v>0</v>
      </c>
      <c r="N385" s="48" t="s">
        <v>23</v>
      </c>
      <c r="O385" s="47" t="s">
        <v>33</v>
      </c>
    </row>
    <row r="386" ht="14.25" customHeight="1" spans="1:15">
      <c r="A386" s="43" t="s">
        <v>946</v>
      </c>
      <c r="B386" s="44">
        <v>46104</v>
      </c>
      <c r="C386" s="45">
        <v>0.479166666666667</v>
      </c>
      <c r="D386" s="46">
        <f t="shared" si="0"/>
        <v>11</v>
      </c>
      <c r="E386" s="47" t="str">
        <f t="shared" si="1"/>
        <v>Monday</v>
      </c>
      <c r="F386" s="47" t="s">
        <v>16</v>
      </c>
      <c r="G386" s="47" t="s">
        <v>63</v>
      </c>
      <c r="H386" s="43" t="s">
        <v>18</v>
      </c>
      <c r="I386" s="48">
        <v>1</v>
      </c>
      <c r="J386" s="49">
        <v>1500</v>
      </c>
      <c r="K386" s="49">
        <v>1500</v>
      </c>
      <c r="L386" s="47" t="s">
        <v>22</v>
      </c>
      <c r="M386" s="46">
        <v>0</v>
      </c>
      <c r="N386" s="48">
        <v>4</v>
      </c>
      <c r="O386" s="47" t="s">
        <v>40</v>
      </c>
    </row>
    <row r="387" ht="14.25" customHeight="1" spans="1:15">
      <c r="A387" s="43" t="s">
        <v>949</v>
      </c>
      <c r="B387" s="44">
        <v>46104</v>
      </c>
      <c r="C387" s="45">
        <v>0.574305555555556</v>
      </c>
      <c r="D387" s="46">
        <f t="shared" si="0"/>
        <v>13</v>
      </c>
      <c r="E387" s="47" t="str">
        <f t="shared" si="1"/>
        <v>Monday</v>
      </c>
      <c r="F387" s="47" t="s">
        <v>16</v>
      </c>
      <c r="G387" s="47" t="s">
        <v>17</v>
      </c>
      <c r="H387" s="43" t="s">
        <v>18</v>
      </c>
      <c r="I387" s="48">
        <v>1</v>
      </c>
      <c r="J387" s="49">
        <f t="shared" ref="J387:J388" si="6">K387/I387</f>
        <v>1000</v>
      </c>
      <c r="K387" s="49">
        <v>1000</v>
      </c>
      <c r="L387" s="47" t="s">
        <v>22</v>
      </c>
      <c r="M387" s="46">
        <v>0</v>
      </c>
      <c r="N387" s="48">
        <v>4</v>
      </c>
      <c r="O387" s="47" t="s">
        <v>47</v>
      </c>
    </row>
    <row r="388" ht="14.25" customHeight="1" spans="1:15">
      <c r="A388" s="43" t="s">
        <v>951</v>
      </c>
      <c r="B388" s="44">
        <v>46104</v>
      </c>
      <c r="C388" s="45">
        <v>0.709722222222222</v>
      </c>
      <c r="D388" s="46">
        <f t="shared" si="0"/>
        <v>17</v>
      </c>
      <c r="E388" s="47" t="str">
        <f t="shared" si="1"/>
        <v>Monday</v>
      </c>
      <c r="F388" s="47" t="s">
        <v>107</v>
      </c>
      <c r="G388" s="47" t="s">
        <v>17</v>
      </c>
      <c r="H388" s="43" t="s">
        <v>18</v>
      </c>
      <c r="I388" s="48">
        <v>1</v>
      </c>
      <c r="J388" s="49">
        <f t="shared" si="6"/>
        <v>1000</v>
      </c>
      <c r="K388" s="49">
        <v>1000</v>
      </c>
      <c r="L388" s="47" t="s">
        <v>22</v>
      </c>
      <c r="M388" s="46">
        <v>0</v>
      </c>
      <c r="N388" s="48" t="s">
        <v>23</v>
      </c>
      <c r="O388" s="47" t="s">
        <v>73</v>
      </c>
    </row>
    <row r="389" ht="14.25" customHeight="1" spans="1:15">
      <c r="A389" s="43" t="s">
        <v>953</v>
      </c>
      <c r="B389" s="44">
        <v>46104</v>
      </c>
      <c r="C389" s="45">
        <v>0.805555555555556</v>
      </c>
      <c r="D389" s="46">
        <f t="shared" si="0"/>
        <v>19</v>
      </c>
      <c r="E389" s="47" t="str">
        <f t="shared" si="1"/>
        <v>Monday</v>
      </c>
      <c r="F389" s="47" t="s">
        <v>107</v>
      </c>
      <c r="G389" s="47" t="s">
        <v>103</v>
      </c>
      <c r="H389" s="43" t="s">
        <v>37</v>
      </c>
      <c r="I389" s="48">
        <v>2</v>
      </c>
      <c r="J389" s="49">
        <v>5000</v>
      </c>
      <c r="K389" s="50">
        <v>8500</v>
      </c>
      <c r="L389" s="47" t="s">
        <v>22</v>
      </c>
      <c r="M389" s="51">
        <v>0.15</v>
      </c>
      <c r="N389" s="48" t="s">
        <v>23</v>
      </c>
      <c r="O389" s="47" t="s">
        <v>73</v>
      </c>
    </row>
    <row r="390" ht="14.25" customHeight="1" spans="1:15">
      <c r="A390" s="43" t="s">
        <v>955</v>
      </c>
      <c r="B390" s="44">
        <v>46104</v>
      </c>
      <c r="C390" s="45">
        <v>0.816666666666667</v>
      </c>
      <c r="D390" s="46">
        <f t="shared" si="0"/>
        <v>19</v>
      </c>
      <c r="E390" s="47" t="str">
        <f t="shared" si="1"/>
        <v>Monday</v>
      </c>
      <c r="F390" s="47" t="s">
        <v>43</v>
      </c>
      <c r="G390" s="47" t="s">
        <v>146</v>
      </c>
      <c r="H390" s="43" t="s">
        <v>28</v>
      </c>
      <c r="I390" s="48">
        <v>2</v>
      </c>
      <c r="J390" s="49">
        <v>16000</v>
      </c>
      <c r="K390" s="49">
        <v>32000</v>
      </c>
      <c r="L390" s="47" t="s">
        <v>22</v>
      </c>
      <c r="M390" s="46">
        <v>0</v>
      </c>
      <c r="N390" s="48" t="s">
        <v>23</v>
      </c>
      <c r="O390" s="47" t="s">
        <v>33</v>
      </c>
    </row>
    <row r="391" ht="14.25" customHeight="1" spans="1:15">
      <c r="A391" s="43" t="s">
        <v>957</v>
      </c>
      <c r="B391" s="44">
        <v>46104</v>
      </c>
      <c r="C391" s="45">
        <v>0.818055555555556</v>
      </c>
      <c r="D391" s="46">
        <f t="shared" si="0"/>
        <v>19</v>
      </c>
      <c r="E391" s="47" t="str">
        <f t="shared" si="1"/>
        <v>Monday</v>
      </c>
      <c r="F391" s="47" t="s">
        <v>16</v>
      </c>
      <c r="G391" s="47" t="s">
        <v>63</v>
      </c>
      <c r="H391" s="43" t="s">
        <v>18</v>
      </c>
      <c r="I391" s="48">
        <v>1</v>
      </c>
      <c r="J391" s="49">
        <v>1500</v>
      </c>
      <c r="K391" s="49">
        <v>1500</v>
      </c>
      <c r="L391" s="47" t="s">
        <v>32</v>
      </c>
      <c r="M391" s="46">
        <v>0</v>
      </c>
      <c r="N391" s="48" t="s">
        <v>23</v>
      </c>
      <c r="O391" s="47" t="s">
        <v>33</v>
      </c>
    </row>
    <row r="392" ht="14.25" customHeight="1" spans="1:15">
      <c r="A392" s="43" t="s">
        <v>958</v>
      </c>
      <c r="B392" s="44">
        <v>46104</v>
      </c>
      <c r="C392" s="45">
        <v>0.846527777777778</v>
      </c>
      <c r="D392" s="46">
        <f t="shared" si="0"/>
        <v>20</v>
      </c>
      <c r="E392" s="47" t="str">
        <f t="shared" si="1"/>
        <v>Monday</v>
      </c>
      <c r="F392" s="47" t="s">
        <v>107</v>
      </c>
      <c r="G392" s="47" t="s">
        <v>50</v>
      </c>
      <c r="H392" s="43" t="s">
        <v>28</v>
      </c>
      <c r="I392" s="48">
        <v>1</v>
      </c>
      <c r="J392" s="50">
        <v>25000</v>
      </c>
      <c r="K392" s="49">
        <v>25000</v>
      </c>
      <c r="L392" s="47" t="s">
        <v>32</v>
      </c>
      <c r="M392" s="46">
        <v>0</v>
      </c>
      <c r="N392" s="48" t="s">
        <v>23</v>
      </c>
      <c r="O392" s="47" t="s">
        <v>24</v>
      </c>
    </row>
    <row r="393" ht="14.25" customHeight="1" spans="1:15">
      <c r="A393" s="43" t="s">
        <v>960</v>
      </c>
      <c r="B393" s="44">
        <v>46104</v>
      </c>
      <c r="C393" s="45">
        <v>0.850694444444444</v>
      </c>
      <c r="D393" s="46">
        <f t="shared" si="0"/>
        <v>20</v>
      </c>
      <c r="E393" s="47" t="str">
        <f t="shared" si="1"/>
        <v>Monday</v>
      </c>
      <c r="F393" s="47" t="s">
        <v>16</v>
      </c>
      <c r="G393" s="47" t="s">
        <v>44</v>
      </c>
      <c r="H393" s="43" t="s">
        <v>45</v>
      </c>
      <c r="I393" s="48">
        <v>1</v>
      </c>
      <c r="J393" s="49">
        <v>4000</v>
      </c>
      <c r="K393" s="49">
        <v>4000</v>
      </c>
      <c r="L393" s="47" t="s">
        <v>22</v>
      </c>
      <c r="M393" s="46">
        <v>0</v>
      </c>
      <c r="N393" s="48" t="s">
        <v>23</v>
      </c>
      <c r="O393" s="47" t="s">
        <v>47</v>
      </c>
    </row>
    <row r="394" ht="14.25" customHeight="1" spans="1:15">
      <c r="A394" s="43" t="s">
        <v>961</v>
      </c>
      <c r="B394" s="44">
        <v>46104</v>
      </c>
      <c r="C394" s="45">
        <v>0.851388888888889</v>
      </c>
      <c r="D394" s="46">
        <f t="shared" si="0"/>
        <v>20</v>
      </c>
      <c r="E394" s="47" t="str">
        <f t="shared" si="1"/>
        <v>Monday</v>
      </c>
      <c r="F394" s="47" t="s">
        <v>16</v>
      </c>
      <c r="G394" s="43" t="s">
        <v>165</v>
      </c>
      <c r="H394" s="43" t="s">
        <v>109</v>
      </c>
      <c r="I394" s="48">
        <v>2</v>
      </c>
      <c r="J394" s="49">
        <v>6000</v>
      </c>
      <c r="K394" s="49">
        <v>12000</v>
      </c>
      <c r="L394" s="47" t="s">
        <v>32</v>
      </c>
      <c r="M394" s="46">
        <v>0</v>
      </c>
      <c r="N394" s="48" t="s">
        <v>23</v>
      </c>
      <c r="O394" s="47" t="s">
        <v>47</v>
      </c>
    </row>
    <row r="395" ht="14.25" customHeight="1" spans="1:15">
      <c r="A395" s="43" t="s">
        <v>962</v>
      </c>
      <c r="B395" s="44">
        <v>46104</v>
      </c>
      <c r="C395" s="45">
        <v>0.852083333333333</v>
      </c>
      <c r="D395" s="46">
        <f t="shared" si="0"/>
        <v>20</v>
      </c>
      <c r="E395" s="47" t="str">
        <f t="shared" si="1"/>
        <v>Monday</v>
      </c>
      <c r="F395" s="47" t="s">
        <v>16</v>
      </c>
      <c r="G395" s="47" t="s">
        <v>103</v>
      </c>
      <c r="H395" s="43" t="s">
        <v>37</v>
      </c>
      <c r="I395" s="48">
        <v>1</v>
      </c>
      <c r="J395" s="49">
        <v>5000</v>
      </c>
      <c r="K395" s="50">
        <v>5000</v>
      </c>
      <c r="L395" s="47" t="s">
        <v>22</v>
      </c>
      <c r="M395" s="46">
        <v>0</v>
      </c>
      <c r="N395" s="48" t="s">
        <v>23</v>
      </c>
      <c r="O395" s="47" t="s">
        <v>47</v>
      </c>
    </row>
    <row r="396" ht="14.25" customHeight="1" spans="1:15">
      <c r="A396" s="43" t="s">
        <v>965</v>
      </c>
      <c r="B396" s="44">
        <v>46104</v>
      </c>
      <c r="C396" s="45">
        <v>0.85625</v>
      </c>
      <c r="D396" s="46">
        <f t="shared" si="0"/>
        <v>20</v>
      </c>
      <c r="E396" s="47" t="str">
        <f t="shared" si="1"/>
        <v>Monday</v>
      </c>
      <c r="F396" s="47" t="s">
        <v>43</v>
      </c>
      <c r="G396" s="47" t="s">
        <v>17</v>
      </c>
      <c r="H396" s="43" t="s">
        <v>18</v>
      </c>
      <c r="I396" s="48">
        <v>1</v>
      </c>
      <c r="J396" s="49">
        <v>1000</v>
      </c>
      <c r="K396" s="49">
        <v>1000</v>
      </c>
      <c r="L396" s="47" t="s">
        <v>22</v>
      </c>
      <c r="M396" s="46">
        <v>0</v>
      </c>
      <c r="N396" s="48" t="s">
        <v>23</v>
      </c>
      <c r="O396" s="47" t="s">
        <v>47</v>
      </c>
    </row>
    <row r="397" ht="14.25" customHeight="1" spans="1:15">
      <c r="A397" s="43" t="s">
        <v>966</v>
      </c>
      <c r="B397" s="44">
        <v>46104</v>
      </c>
      <c r="C397" s="45">
        <v>0.899305555555556</v>
      </c>
      <c r="D397" s="46">
        <f t="shared" si="0"/>
        <v>21</v>
      </c>
      <c r="E397" s="47" t="str">
        <f t="shared" si="1"/>
        <v>Monday</v>
      </c>
      <c r="F397" s="47" t="s">
        <v>107</v>
      </c>
      <c r="G397" s="47" t="s">
        <v>95</v>
      </c>
      <c r="H397" s="43" t="s">
        <v>45</v>
      </c>
      <c r="I397" s="48">
        <v>1</v>
      </c>
      <c r="J397" s="49">
        <v>5000</v>
      </c>
      <c r="K397" s="49">
        <v>5000</v>
      </c>
      <c r="L397" s="47" t="s">
        <v>22</v>
      </c>
      <c r="M397" s="46">
        <v>0</v>
      </c>
      <c r="N397" s="48" t="s">
        <v>23</v>
      </c>
      <c r="O397" s="47" t="s">
        <v>24</v>
      </c>
    </row>
    <row r="398" ht="14.25" customHeight="1" spans="1:15">
      <c r="A398" s="43" t="s">
        <v>968</v>
      </c>
      <c r="B398" s="44">
        <v>46104</v>
      </c>
      <c r="C398" s="45">
        <v>0.903472222222222</v>
      </c>
      <c r="D398" s="46">
        <f t="shared" si="0"/>
        <v>21</v>
      </c>
      <c r="E398" s="47" t="str">
        <f t="shared" si="1"/>
        <v>Monday</v>
      </c>
      <c r="F398" s="47" t="s">
        <v>16</v>
      </c>
      <c r="G398" s="47" t="s">
        <v>81</v>
      </c>
      <c r="H398" s="43" t="s">
        <v>37</v>
      </c>
      <c r="I398" s="48">
        <v>1</v>
      </c>
      <c r="J398" s="49">
        <v>6000</v>
      </c>
      <c r="K398" s="49">
        <v>6000</v>
      </c>
      <c r="L398" s="47" t="s">
        <v>22</v>
      </c>
      <c r="M398" s="46">
        <v>0</v>
      </c>
      <c r="N398" s="48" t="s">
        <v>23</v>
      </c>
      <c r="O398" s="47" t="s">
        <v>33</v>
      </c>
    </row>
    <row r="399" ht="14.25" customHeight="1" spans="1:15">
      <c r="A399" s="43" t="s">
        <v>969</v>
      </c>
      <c r="B399" s="44">
        <v>46104</v>
      </c>
      <c r="C399" s="45">
        <v>0.911805555555556</v>
      </c>
      <c r="D399" s="46">
        <f t="shared" si="0"/>
        <v>21</v>
      </c>
      <c r="E399" s="47" t="str">
        <f t="shared" si="1"/>
        <v>Monday</v>
      </c>
      <c r="F399" s="47" t="s">
        <v>16</v>
      </c>
      <c r="G399" s="47" t="s">
        <v>367</v>
      </c>
      <c r="H399" s="43" t="s">
        <v>109</v>
      </c>
      <c r="I399" s="48">
        <v>1</v>
      </c>
      <c r="J399" s="49">
        <v>7000</v>
      </c>
      <c r="K399" s="50">
        <v>7000</v>
      </c>
      <c r="L399" s="47" t="s">
        <v>32</v>
      </c>
      <c r="M399" s="46">
        <v>0</v>
      </c>
      <c r="N399" s="48" t="s">
        <v>23</v>
      </c>
      <c r="O399" s="47" t="s">
        <v>40</v>
      </c>
    </row>
    <row r="400" ht="14.25" customHeight="1" spans="1:15">
      <c r="A400" s="43" t="s">
        <v>973</v>
      </c>
      <c r="B400" s="44">
        <v>46105</v>
      </c>
      <c r="C400" s="45">
        <v>0.775694444444444</v>
      </c>
      <c r="D400" s="46">
        <f t="shared" si="0"/>
        <v>18</v>
      </c>
      <c r="E400" s="47" t="str">
        <f t="shared" si="1"/>
        <v>Tuesday</v>
      </c>
      <c r="F400" s="47" t="s">
        <v>16</v>
      </c>
      <c r="G400" s="47" t="s">
        <v>95</v>
      </c>
      <c r="H400" s="43" t="s">
        <v>45</v>
      </c>
      <c r="I400" s="48">
        <v>1</v>
      </c>
      <c r="J400" s="49">
        <v>5000</v>
      </c>
      <c r="K400" s="49">
        <f>I400*J400</f>
        <v>5000</v>
      </c>
      <c r="L400" s="47" t="s">
        <v>32</v>
      </c>
      <c r="M400" s="46">
        <v>0</v>
      </c>
      <c r="N400" s="48" t="s">
        <v>23</v>
      </c>
      <c r="O400" s="47" t="s">
        <v>33</v>
      </c>
    </row>
    <row r="401" ht="14.25" customHeight="1" spans="1:15">
      <c r="A401" s="43" t="s">
        <v>977</v>
      </c>
      <c r="B401" s="44">
        <v>46105</v>
      </c>
      <c r="C401" s="45">
        <v>0.855555555555556</v>
      </c>
      <c r="D401" s="46">
        <f t="shared" si="0"/>
        <v>20</v>
      </c>
      <c r="E401" s="47" t="str">
        <f t="shared" si="1"/>
        <v>Tuesday</v>
      </c>
      <c r="F401" s="47" t="s">
        <v>16</v>
      </c>
      <c r="G401" s="47" t="s">
        <v>95</v>
      </c>
      <c r="H401" s="43" t="s">
        <v>45</v>
      </c>
      <c r="I401" s="48">
        <v>1</v>
      </c>
      <c r="J401" s="49">
        <v>5000</v>
      </c>
      <c r="K401" s="50">
        <v>4000</v>
      </c>
      <c r="L401" s="47" t="s">
        <v>32</v>
      </c>
      <c r="M401" s="51">
        <v>0.2</v>
      </c>
      <c r="N401" s="48" t="s">
        <v>23</v>
      </c>
      <c r="O401" s="47" t="s">
        <v>24</v>
      </c>
    </row>
    <row r="402" ht="14.25" customHeight="1" spans="1:15">
      <c r="A402" s="43" t="s">
        <v>979</v>
      </c>
      <c r="B402" s="44">
        <v>46105</v>
      </c>
      <c r="C402" s="45">
        <v>0.870138888888889</v>
      </c>
      <c r="D402" s="46">
        <f t="shared" si="0"/>
        <v>20</v>
      </c>
      <c r="E402" s="47" t="str">
        <f t="shared" si="1"/>
        <v>Tuesday</v>
      </c>
      <c r="F402" s="47" t="s">
        <v>16</v>
      </c>
      <c r="G402" s="47" t="s">
        <v>95</v>
      </c>
      <c r="H402" s="43" t="s">
        <v>45</v>
      </c>
      <c r="I402" s="48">
        <v>1</v>
      </c>
      <c r="J402" s="49">
        <v>5000</v>
      </c>
      <c r="K402" s="49">
        <v>5000</v>
      </c>
      <c r="L402" s="47" t="s">
        <v>22</v>
      </c>
      <c r="M402" s="46">
        <v>0</v>
      </c>
      <c r="N402" s="48">
        <v>5</v>
      </c>
      <c r="O402" s="47" t="s">
        <v>33</v>
      </c>
    </row>
    <row r="403" ht="14.25" customHeight="1" spans="1:15">
      <c r="A403" s="43" t="s">
        <v>980</v>
      </c>
      <c r="B403" s="44">
        <v>46105</v>
      </c>
      <c r="C403" s="45">
        <v>0.871527777777778</v>
      </c>
      <c r="D403" s="46">
        <f t="shared" si="0"/>
        <v>20</v>
      </c>
      <c r="E403" s="47" t="str">
        <f t="shared" si="1"/>
        <v>Tuesday</v>
      </c>
      <c r="F403" s="47" t="s">
        <v>16</v>
      </c>
      <c r="G403" s="43" t="s">
        <v>199</v>
      </c>
      <c r="H403" s="43" t="s">
        <v>18</v>
      </c>
      <c r="I403" s="48">
        <v>1</v>
      </c>
      <c r="J403" s="49">
        <v>3000</v>
      </c>
      <c r="K403" s="49">
        <v>3000</v>
      </c>
      <c r="L403" s="47" t="s">
        <v>22</v>
      </c>
      <c r="M403" s="46">
        <v>0</v>
      </c>
      <c r="N403" s="48" t="s">
        <v>23</v>
      </c>
      <c r="O403" s="47" t="s">
        <v>40</v>
      </c>
    </row>
    <row r="404" ht="14.25" customHeight="1" spans="1:15">
      <c r="A404" s="43" t="s">
        <v>981</v>
      </c>
      <c r="B404" s="44">
        <v>46106</v>
      </c>
      <c r="C404" s="45">
        <v>0.545138888888889</v>
      </c>
      <c r="D404" s="46">
        <f t="shared" si="0"/>
        <v>13</v>
      </c>
      <c r="E404" s="47" t="str">
        <f t="shared" si="1"/>
        <v>Wednesday</v>
      </c>
      <c r="F404" s="47" t="s">
        <v>16</v>
      </c>
      <c r="G404" s="47" t="s">
        <v>103</v>
      </c>
      <c r="H404" s="43" t="s">
        <v>37</v>
      </c>
      <c r="I404" s="48">
        <v>2</v>
      </c>
      <c r="J404" s="50">
        <v>5000</v>
      </c>
      <c r="K404" s="49">
        <v>10000</v>
      </c>
      <c r="L404" s="47" t="s">
        <v>22</v>
      </c>
      <c r="M404" s="46">
        <v>0</v>
      </c>
      <c r="N404" s="48" t="s">
        <v>23</v>
      </c>
      <c r="O404" s="47" t="s">
        <v>73</v>
      </c>
    </row>
    <row r="405" ht="14.25" customHeight="1" spans="1:15">
      <c r="A405" s="43" t="s">
        <v>984</v>
      </c>
      <c r="B405" s="44">
        <v>46106</v>
      </c>
      <c r="C405" s="45">
        <v>0.552083333333333</v>
      </c>
      <c r="D405" s="46">
        <f t="shared" si="0"/>
        <v>13</v>
      </c>
      <c r="E405" s="47" t="str">
        <f t="shared" si="1"/>
        <v>Wednesday</v>
      </c>
      <c r="F405" s="47" t="s">
        <v>16</v>
      </c>
      <c r="G405" s="47" t="s">
        <v>44</v>
      </c>
      <c r="H405" s="43" t="str">
        <f>VLOOKUP(G405,'02_Menu_Lookup'!$A$2:$C$16,2,FALSE)</f>
        <v>Appetizers</v>
      </c>
      <c r="I405" s="48">
        <v>1</v>
      </c>
      <c r="J405" s="49">
        <v>4000</v>
      </c>
      <c r="K405" s="49">
        <v>4000</v>
      </c>
      <c r="L405" s="47" t="s">
        <v>32</v>
      </c>
      <c r="M405" s="46">
        <v>0</v>
      </c>
      <c r="N405" s="48" t="s">
        <v>23</v>
      </c>
      <c r="O405" s="47" t="s">
        <v>24</v>
      </c>
    </row>
    <row r="406" ht="14.25" customHeight="1" spans="1:15">
      <c r="A406" s="43" t="s">
        <v>985</v>
      </c>
      <c r="B406" s="44">
        <v>46106</v>
      </c>
      <c r="C406" s="45">
        <v>0.845833333333333</v>
      </c>
      <c r="D406" s="46">
        <f t="shared" si="0"/>
        <v>20</v>
      </c>
      <c r="E406" s="47" t="str">
        <f t="shared" si="1"/>
        <v>Wednesday</v>
      </c>
      <c r="F406" s="47" t="s">
        <v>16</v>
      </c>
      <c r="G406" s="43" t="s">
        <v>36</v>
      </c>
      <c r="H406" s="43" t="s">
        <v>37</v>
      </c>
      <c r="I406" s="48">
        <v>1</v>
      </c>
      <c r="J406" s="49">
        <v>3000</v>
      </c>
      <c r="K406" s="50">
        <v>2400</v>
      </c>
      <c r="L406" s="47" t="s">
        <v>32</v>
      </c>
      <c r="M406" s="51">
        <v>0.2</v>
      </c>
      <c r="N406" s="48" t="s">
        <v>23</v>
      </c>
      <c r="O406" s="47" t="s">
        <v>33</v>
      </c>
    </row>
    <row r="407" ht="14.25" customHeight="1" spans="1:15">
      <c r="A407" s="43" t="s">
        <v>988</v>
      </c>
      <c r="B407" s="44">
        <v>46106</v>
      </c>
      <c r="C407" s="45">
        <v>0.859027777777778</v>
      </c>
      <c r="D407" s="46">
        <f t="shared" si="0"/>
        <v>20</v>
      </c>
      <c r="E407" s="47" t="str">
        <f t="shared" si="1"/>
        <v>Wednesday</v>
      </c>
      <c r="F407" s="47" t="s">
        <v>16</v>
      </c>
      <c r="G407" s="47" t="s">
        <v>63</v>
      </c>
      <c r="H407" s="43" t="s">
        <v>18</v>
      </c>
      <c r="I407" s="48">
        <v>1</v>
      </c>
      <c r="J407" s="49">
        <v>1500</v>
      </c>
      <c r="K407" s="49">
        <v>1500</v>
      </c>
      <c r="L407" s="47" t="s">
        <v>22</v>
      </c>
      <c r="M407" s="46">
        <v>0</v>
      </c>
      <c r="N407" s="48" t="s">
        <v>23</v>
      </c>
      <c r="O407" s="47" t="s">
        <v>24</v>
      </c>
    </row>
    <row r="408" ht="14.25" customHeight="1" spans="1:15">
      <c r="A408" s="43" t="s">
        <v>989</v>
      </c>
      <c r="B408" s="44">
        <v>46106</v>
      </c>
      <c r="C408" s="45">
        <v>0.860416666666667</v>
      </c>
      <c r="D408" s="46">
        <f t="shared" si="0"/>
        <v>20</v>
      </c>
      <c r="E408" s="47" t="str">
        <f t="shared" si="1"/>
        <v>Wednesday</v>
      </c>
      <c r="F408" s="47" t="s">
        <v>107</v>
      </c>
      <c r="G408" s="43" t="s">
        <v>165</v>
      </c>
      <c r="H408" s="43" t="s">
        <v>109</v>
      </c>
      <c r="I408" s="48">
        <v>1</v>
      </c>
      <c r="J408" s="49">
        <v>6000</v>
      </c>
      <c r="K408" s="49">
        <v>6000</v>
      </c>
      <c r="L408" s="47" t="s">
        <v>32</v>
      </c>
      <c r="M408" s="46">
        <v>0</v>
      </c>
      <c r="N408" s="48" t="s">
        <v>23</v>
      </c>
      <c r="O408" s="47" t="s">
        <v>40</v>
      </c>
    </row>
    <row r="409" ht="14.25" customHeight="1" spans="1:15">
      <c r="A409" s="43" t="s">
        <v>992</v>
      </c>
      <c r="B409" s="44">
        <v>46107</v>
      </c>
      <c r="C409" s="45">
        <v>0.500694444444444</v>
      </c>
      <c r="D409" s="46">
        <f t="shared" si="0"/>
        <v>12</v>
      </c>
      <c r="E409" s="47" t="str">
        <f t="shared" si="1"/>
        <v>Thursday</v>
      </c>
      <c r="F409" s="47" t="s">
        <v>107</v>
      </c>
      <c r="G409" s="47" t="s">
        <v>81</v>
      </c>
      <c r="H409" s="43" t="s">
        <v>37</v>
      </c>
      <c r="I409" s="48">
        <v>1</v>
      </c>
      <c r="J409" s="49">
        <v>6000</v>
      </c>
      <c r="K409" s="49">
        <v>6000</v>
      </c>
      <c r="L409" s="47" t="s">
        <v>22</v>
      </c>
      <c r="M409" s="46">
        <v>0</v>
      </c>
      <c r="N409" s="48">
        <v>4</v>
      </c>
      <c r="O409" s="47" t="s">
        <v>73</v>
      </c>
    </row>
    <row r="410" ht="14.25" customHeight="1" spans="1:15">
      <c r="A410" s="43" t="s">
        <v>995</v>
      </c>
      <c r="B410" s="44">
        <v>46107</v>
      </c>
      <c r="C410" s="45">
        <v>0.513888888888889</v>
      </c>
      <c r="D410" s="46">
        <f t="shared" si="0"/>
        <v>12</v>
      </c>
      <c r="E410" s="47" t="str">
        <f t="shared" si="1"/>
        <v>Thursday</v>
      </c>
      <c r="F410" s="47" t="s">
        <v>16</v>
      </c>
      <c r="G410" s="47" t="s">
        <v>50</v>
      </c>
      <c r="H410" s="43" t="s">
        <v>28</v>
      </c>
      <c r="I410" s="48">
        <v>1</v>
      </c>
      <c r="J410" s="49">
        <v>25000</v>
      </c>
      <c r="K410" s="49">
        <v>25000</v>
      </c>
      <c r="L410" s="47" t="s">
        <v>32</v>
      </c>
      <c r="M410" s="46">
        <v>0</v>
      </c>
      <c r="N410" s="48">
        <v>4</v>
      </c>
      <c r="O410" s="47" t="s">
        <v>24</v>
      </c>
    </row>
    <row r="411" ht="14.25" customHeight="1" spans="1:15">
      <c r="A411" s="43" t="s">
        <v>997</v>
      </c>
      <c r="B411" s="44">
        <v>46107</v>
      </c>
      <c r="C411" s="45">
        <v>0.538194444444444</v>
      </c>
      <c r="D411" s="46">
        <f t="shared" si="0"/>
        <v>12</v>
      </c>
      <c r="E411" s="47" t="str">
        <f t="shared" si="1"/>
        <v>Thursday</v>
      </c>
      <c r="F411" s="47" t="s">
        <v>16</v>
      </c>
      <c r="G411" s="47" t="s">
        <v>17</v>
      </c>
      <c r="H411" s="43" t="s">
        <v>18</v>
      </c>
      <c r="I411" s="48">
        <v>2</v>
      </c>
      <c r="J411" s="49">
        <v>1000</v>
      </c>
      <c r="K411" s="49">
        <v>2000</v>
      </c>
      <c r="L411" s="47" t="s">
        <v>22</v>
      </c>
      <c r="M411" s="46">
        <v>0</v>
      </c>
      <c r="N411" s="48">
        <v>5</v>
      </c>
      <c r="O411" s="47" t="s">
        <v>33</v>
      </c>
    </row>
    <row r="412" ht="14.25" customHeight="1" spans="1:15">
      <c r="A412" s="43" t="s">
        <v>998</v>
      </c>
      <c r="B412" s="44">
        <v>46107</v>
      </c>
      <c r="C412" s="45">
        <v>0.5875</v>
      </c>
      <c r="D412" s="46">
        <f t="shared" si="0"/>
        <v>14</v>
      </c>
      <c r="E412" s="47" t="str">
        <f t="shared" si="1"/>
        <v>Thursday</v>
      </c>
      <c r="F412" s="47" t="s">
        <v>16</v>
      </c>
      <c r="G412" s="47" t="s">
        <v>81</v>
      </c>
      <c r="H412" s="43" t="s">
        <v>37</v>
      </c>
      <c r="I412" s="48">
        <v>1</v>
      </c>
      <c r="J412" s="50">
        <v>6000</v>
      </c>
      <c r="K412" s="49">
        <v>6000</v>
      </c>
      <c r="L412" s="47" t="s">
        <v>22</v>
      </c>
      <c r="M412" s="46">
        <v>0</v>
      </c>
      <c r="N412" s="48" t="s">
        <v>23</v>
      </c>
      <c r="O412" s="47" t="s">
        <v>40</v>
      </c>
    </row>
    <row r="413" ht="14.25" customHeight="1" spans="1:15">
      <c r="A413" s="43" t="s">
        <v>1001</v>
      </c>
      <c r="B413" s="44">
        <v>46107</v>
      </c>
      <c r="C413" s="45">
        <v>0.596527777777778</v>
      </c>
      <c r="D413" s="46">
        <f t="shared" si="0"/>
        <v>14</v>
      </c>
      <c r="E413" s="47" t="str">
        <f t="shared" si="1"/>
        <v>Thursday</v>
      </c>
      <c r="F413" s="47" t="s">
        <v>107</v>
      </c>
      <c r="G413" s="47" t="s">
        <v>63</v>
      </c>
      <c r="H413" s="43" t="s">
        <v>18</v>
      </c>
      <c r="I413" s="48">
        <v>1</v>
      </c>
      <c r="J413" s="49">
        <f>K413/I413</f>
        <v>1500</v>
      </c>
      <c r="K413" s="49">
        <v>1500</v>
      </c>
      <c r="L413" s="47" t="s">
        <v>22</v>
      </c>
      <c r="M413" s="46">
        <v>0</v>
      </c>
      <c r="N413" s="48">
        <v>5</v>
      </c>
      <c r="O413" s="47" t="s">
        <v>47</v>
      </c>
    </row>
    <row r="414" ht="14.25" customHeight="1" spans="1:15">
      <c r="A414" s="43" t="s">
        <v>1003</v>
      </c>
      <c r="B414" s="44">
        <v>46107</v>
      </c>
      <c r="C414" s="45">
        <v>0.654166666666667</v>
      </c>
      <c r="D414" s="46">
        <f t="shared" si="0"/>
        <v>15</v>
      </c>
      <c r="E414" s="47" t="str">
        <f t="shared" si="1"/>
        <v>Thursday</v>
      </c>
      <c r="F414" s="47" t="s">
        <v>107</v>
      </c>
      <c r="G414" s="43" t="s">
        <v>36</v>
      </c>
      <c r="H414" s="43" t="s">
        <v>37</v>
      </c>
      <c r="I414" s="48">
        <v>1</v>
      </c>
      <c r="J414" s="49">
        <v>3000</v>
      </c>
      <c r="K414" s="49">
        <v>3000</v>
      </c>
      <c r="L414" s="47" t="s">
        <v>32</v>
      </c>
      <c r="M414" s="46">
        <v>0</v>
      </c>
      <c r="N414" s="48">
        <v>4</v>
      </c>
      <c r="O414" s="47" t="s">
        <v>73</v>
      </c>
    </row>
    <row r="415" ht="14.25" customHeight="1" spans="1:15">
      <c r="A415" s="43" t="s">
        <v>1005</v>
      </c>
      <c r="B415" s="44">
        <v>46107</v>
      </c>
      <c r="C415" s="45">
        <v>0.804166666666667</v>
      </c>
      <c r="D415" s="46">
        <f t="shared" si="0"/>
        <v>19</v>
      </c>
      <c r="E415" s="47" t="str">
        <f t="shared" si="1"/>
        <v>Thursday</v>
      </c>
      <c r="F415" s="47" t="s">
        <v>16</v>
      </c>
      <c r="G415" s="47" t="s">
        <v>27</v>
      </c>
      <c r="H415" s="43" t="s">
        <v>28</v>
      </c>
      <c r="I415" s="48">
        <v>2</v>
      </c>
      <c r="J415" s="49">
        <v>15000</v>
      </c>
      <c r="K415" s="49">
        <v>30000</v>
      </c>
      <c r="L415" s="47" t="s">
        <v>22</v>
      </c>
      <c r="M415" s="46">
        <v>0</v>
      </c>
      <c r="N415" s="48" t="s">
        <v>23</v>
      </c>
      <c r="O415" s="47" t="s">
        <v>33</v>
      </c>
    </row>
    <row r="416" ht="14.25" customHeight="1" spans="1:15">
      <c r="A416" s="43" t="s">
        <v>1007</v>
      </c>
      <c r="B416" s="44">
        <v>46107</v>
      </c>
      <c r="C416" s="45">
        <v>0.834027777777778</v>
      </c>
      <c r="D416" s="46">
        <f t="shared" si="0"/>
        <v>20</v>
      </c>
      <c r="E416" s="47" t="str">
        <f t="shared" si="1"/>
        <v>Thursday</v>
      </c>
      <c r="F416" s="47" t="s">
        <v>107</v>
      </c>
      <c r="G416" s="47" t="s">
        <v>50</v>
      </c>
      <c r="H416" s="43" t="str">
        <f>VLOOKUP(G416,'02_Menu_Lookup'!$A$2:$C$16,2,FALSE)</f>
        <v>Grills</v>
      </c>
      <c r="I416" s="48">
        <v>2</v>
      </c>
      <c r="J416" s="49">
        <v>25000</v>
      </c>
      <c r="K416" s="49">
        <v>50000</v>
      </c>
      <c r="L416" s="47" t="s">
        <v>22</v>
      </c>
      <c r="M416" s="46">
        <v>0</v>
      </c>
      <c r="N416" s="48">
        <v>4</v>
      </c>
      <c r="O416" s="47" t="s">
        <v>24</v>
      </c>
    </row>
    <row r="417" ht="14.25" customHeight="1" spans="1:15">
      <c r="A417" s="43" t="s">
        <v>1008</v>
      </c>
      <c r="B417" s="44">
        <v>46107</v>
      </c>
      <c r="C417" s="45">
        <v>0.839583333333333</v>
      </c>
      <c r="D417" s="46">
        <f t="shared" si="0"/>
        <v>20</v>
      </c>
      <c r="E417" s="47" t="str">
        <f t="shared" si="1"/>
        <v>Thursday</v>
      </c>
      <c r="F417" s="47" t="s">
        <v>16</v>
      </c>
      <c r="G417" s="47" t="s">
        <v>63</v>
      </c>
      <c r="H417" s="43" t="s">
        <v>18</v>
      </c>
      <c r="I417" s="48">
        <v>1</v>
      </c>
      <c r="J417" s="49">
        <v>1500</v>
      </c>
      <c r="K417" s="50">
        <v>1350</v>
      </c>
      <c r="L417" s="47" t="s">
        <v>22</v>
      </c>
      <c r="M417" s="51">
        <v>0.1</v>
      </c>
      <c r="N417" s="48" t="s">
        <v>23</v>
      </c>
      <c r="O417" s="47" t="s">
        <v>73</v>
      </c>
    </row>
    <row r="418" ht="14.25" customHeight="1" spans="1:15">
      <c r="A418" s="43" t="s">
        <v>1009</v>
      </c>
      <c r="B418" s="44">
        <v>46107</v>
      </c>
      <c r="C418" s="45">
        <v>0.886111111111111</v>
      </c>
      <c r="D418" s="46">
        <f t="shared" si="0"/>
        <v>21</v>
      </c>
      <c r="E418" s="47" t="str">
        <f t="shared" si="1"/>
        <v>Thursday</v>
      </c>
      <c r="F418" s="47" t="s">
        <v>107</v>
      </c>
      <c r="G418" s="47" t="s">
        <v>63</v>
      </c>
      <c r="H418" s="43" t="s">
        <v>18</v>
      </c>
      <c r="I418" s="48">
        <v>1</v>
      </c>
      <c r="J418" s="49">
        <v>1500</v>
      </c>
      <c r="K418" s="49">
        <v>1500</v>
      </c>
      <c r="L418" s="47" t="s">
        <v>22</v>
      </c>
      <c r="M418" s="46">
        <v>0</v>
      </c>
      <c r="N418" s="48" t="s">
        <v>23</v>
      </c>
      <c r="O418" s="47" t="s">
        <v>40</v>
      </c>
    </row>
    <row r="419" ht="14.25" customHeight="1" spans="1:15">
      <c r="A419" s="43" t="s">
        <v>1010</v>
      </c>
      <c r="B419" s="44">
        <v>46107</v>
      </c>
      <c r="C419" s="45">
        <v>0.931944444444444</v>
      </c>
      <c r="D419" s="46">
        <f t="shared" si="0"/>
        <v>22</v>
      </c>
      <c r="E419" s="47" t="str">
        <f t="shared" si="1"/>
        <v>Thursday</v>
      </c>
      <c r="F419" s="47" t="s">
        <v>16</v>
      </c>
      <c r="G419" s="47" t="s">
        <v>17</v>
      </c>
      <c r="H419" s="43" t="s">
        <v>18</v>
      </c>
      <c r="I419" s="48">
        <v>1</v>
      </c>
      <c r="J419" s="49">
        <v>1000</v>
      </c>
      <c r="K419" s="50">
        <v>800</v>
      </c>
      <c r="L419" s="47" t="s">
        <v>32</v>
      </c>
      <c r="M419" s="51">
        <v>0.2</v>
      </c>
      <c r="N419" s="48">
        <v>3</v>
      </c>
      <c r="O419" s="47" t="s">
        <v>40</v>
      </c>
    </row>
    <row r="420" ht="14.25" customHeight="1" spans="1:15">
      <c r="A420" s="43" t="s">
        <v>1012</v>
      </c>
      <c r="B420" s="44">
        <v>46107</v>
      </c>
      <c r="C420" s="45">
        <v>0.954861111111111</v>
      </c>
      <c r="D420" s="46">
        <f t="shared" si="0"/>
        <v>22</v>
      </c>
      <c r="E420" s="47" t="str">
        <f t="shared" si="1"/>
        <v>Thursday</v>
      </c>
      <c r="F420" s="47" t="s">
        <v>43</v>
      </c>
      <c r="G420" s="47" t="s">
        <v>50</v>
      </c>
      <c r="H420" s="43" t="str">
        <f>VLOOKUP(G420,'02_Menu_Lookup'!$A$2:$C$16,2,FALSE)</f>
        <v>Grills</v>
      </c>
      <c r="I420" s="48">
        <v>1</v>
      </c>
      <c r="J420" s="49">
        <v>25000</v>
      </c>
      <c r="K420" s="49">
        <v>25000</v>
      </c>
      <c r="L420" s="47" t="s">
        <v>22</v>
      </c>
      <c r="M420" s="46">
        <v>0</v>
      </c>
      <c r="N420" s="48" t="s">
        <v>23</v>
      </c>
      <c r="O420" s="47" t="s">
        <v>47</v>
      </c>
    </row>
    <row r="421" ht="14.25" customHeight="1" spans="1:15">
      <c r="A421" s="43" t="s">
        <v>1015</v>
      </c>
      <c r="B421" s="44">
        <v>46107</v>
      </c>
      <c r="C421" s="45">
        <v>0.970833333333333</v>
      </c>
      <c r="D421" s="46">
        <f t="shared" si="0"/>
        <v>23</v>
      </c>
      <c r="E421" s="47" t="str">
        <f t="shared" si="1"/>
        <v>Thursday</v>
      </c>
      <c r="F421" s="47" t="s">
        <v>16</v>
      </c>
      <c r="G421" s="47" t="s">
        <v>57</v>
      </c>
      <c r="H421" s="43" t="s">
        <v>28</v>
      </c>
      <c r="I421" s="48">
        <v>2</v>
      </c>
      <c r="J421" s="49">
        <v>18000</v>
      </c>
      <c r="K421" s="49">
        <v>36000</v>
      </c>
      <c r="L421" s="47" t="s">
        <v>32</v>
      </c>
      <c r="M421" s="46">
        <v>0</v>
      </c>
      <c r="N421" s="48">
        <v>4</v>
      </c>
      <c r="O421" s="47" t="s">
        <v>47</v>
      </c>
    </row>
    <row r="422" ht="14.25" customHeight="1" spans="1:15">
      <c r="A422" s="43" t="s">
        <v>1016</v>
      </c>
      <c r="B422" s="44">
        <v>46107</v>
      </c>
      <c r="C422" s="45">
        <v>0.977083333333333</v>
      </c>
      <c r="D422" s="46">
        <f t="shared" si="0"/>
        <v>23</v>
      </c>
      <c r="E422" s="47" t="str">
        <f t="shared" si="1"/>
        <v>Thursday</v>
      </c>
      <c r="F422" s="47" t="s">
        <v>107</v>
      </c>
      <c r="G422" s="47" t="s">
        <v>17</v>
      </c>
      <c r="H422" s="43" t="s">
        <v>18</v>
      </c>
      <c r="I422" s="48">
        <v>2</v>
      </c>
      <c r="J422" s="49">
        <v>1000</v>
      </c>
      <c r="K422" s="49">
        <v>2000</v>
      </c>
      <c r="L422" s="47" t="s">
        <v>22</v>
      </c>
      <c r="M422" s="46">
        <v>0</v>
      </c>
      <c r="N422" s="48">
        <v>4</v>
      </c>
      <c r="O422" s="47" t="s">
        <v>47</v>
      </c>
    </row>
    <row r="423" ht="14.25" customHeight="1" spans="1:15">
      <c r="A423" s="43" t="s">
        <v>1017</v>
      </c>
      <c r="B423" s="44">
        <v>46107</v>
      </c>
      <c r="C423" s="45">
        <v>0.979861111111111</v>
      </c>
      <c r="D423" s="46">
        <f t="shared" si="0"/>
        <v>23</v>
      </c>
      <c r="E423" s="47" t="str">
        <f t="shared" si="1"/>
        <v>Thursday</v>
      </c>
      <c r="F423" s="47" t="s">
        <v>16</v>
      </c>
      <c r="G423" s="47" t="s">
        <v>367</v>
      </c>
      <c r="H423" s="43" t="s">
        <v>109</v>
      </c>
      <c r="I423" s="48">
        <v>1</v>
      </c>
      <c r="J423" s="49">
        <v>7000</v>
      </c>
      <c r="K423" s="49">
        <v>7000</v>
      </c>
      <c r="L423" s="47" t="s">
        <v>32</v>
      </c>
      <c r="M423" s="46">
        <v>0</v>
      </c>
      <c r="N423" s="48">
        <v>4</v>
      </c>
      <c r="O423" s="47" t="s">
        <v>24</v>
      </c>
    </row>
    <row r="424" ht="14.25" customHeight="1" spans="1:15">
      <c r="A424" s="43" t="s">
        <v>1019</v>
      </c>
      <c r="B424" s="44">
        <v>46108</v>
      </c>
      <c r="C424" s="45">
        <v>0.660416666666667</v>
      </c>
      <c r="D424" s="46">
        <f t="shared" si="0"/>
        <v>15</v>
      </c>
      <c r="E424" s="47" t="str">
        <f t="shared" si="1"/>
        <v>Friday</v>
      </c>
      <c r="F424" s="47" t="s">
        <v>43</v>
      </c>
      <c r="G424" s="47" t="s">
        <v>103</v>
      </c>
      <c r="H424" s="43" t="s">
        <v>37</v>
      </c>
      <c r="I424" s="48">
        <v>1</v>
      </c>
      <c r="J424" s="49">
        <v>5000</v>
      </c>
      <c r="K424" s="49">
        <v>5000</v>
      </c>
      <c r="L424" s="47" t="s">
        <v>22</v>
      </c>
      <c r="M424" s="46">
        <v>0</v>
      </c>
      <c r="N424" s="48" t="s">
        <v>23</v>
      </c>
      <c r="O424" s="47" t="s">
        <v>24</v>
      </c>
    </row>
    <row r="425" ht="14.25" customHeight="1" spans="1:15">
      <c r="A425" s="43" t="s">
        <v>1022</v>
      </c>
      <c r="B425" s="44">
        <v>46108</v>
      </c>
      <c r="C425" s="45">
        <v>0.772916666666667</v>
      </c>
      <c r="D425" s="46">
        <f t="shared" si="0"/>
        <v>18</v>
      </c>
      <c r="E425" s="47" t="str">
        <f t="shared" si="1"/>
        <v>Friday</v>
      </c>
      <c r="F425" s="47" t="s">
        <v>107</v>
      </c>
      <c r="G425" s="47" t="s">
        <v>57</v>
      </c>
      <c r="H425" s="43" t="s">
        <v>28</v>
      </c>
      <c r="I425" s="48">
        <v>2</v>
      </c>
      <c r="J425" s="49">
        <v>18000</v>
      </c>
      <c r="K425" s="49">
        <v>36000</v>
      </c>
      <c r="L425" s="47" t="s">
        <v>22</v>
      </c>
      <c r="M425" s="46">
        <v>0</v>
      </c>
      <c r="N425" s="48">
        <v>5</v>
      </c>
      <c r="O425" s="47" t="s">
        <v>24</v>
      </c>
    </row>
    <row r="426" ht="14.25" customHeight="1" spans="1:15">
      <c r="A426" s="43" t="s">
        <v>1024</v>
      </c>
      <c r="B426" s="44">
        <v>46108</v>
      </c>
      <c r="C426" s="45">
        <v>0.79375</v>
      </c>
      <c r="D426" s="46">
        <f t="shared" si="0"/>
        <v>19</v>
      </c>
      <c r="E426" s="47" t="str">
        <f t="shared" si="1"/>
        <v>Friday</v>
      </c>
      <c r="F426" s="47" t="s">
        <v>43</v>
      </c>
      <c r="G426" s="47" t="s">
        <v>44</v>
      </c>
      <c r="H426" s="43" t="s">
        <v>45</v>
      </c>
      <c r="I426" s="48">
        <v>1</v>
      </c>
      <c r="J426" s="49">
        <v>4000</v>
      </c>
      <c r="K426" s="50">
        <v>3400</v>
      </c>
      <c r="L426" s="47" t="s">
        <v>32</v>
      </c>
      <c r="M426" s="51">
        <v>0.15</v>
      </c>
      <c r="N426" s="48">
        <v>4</v>
      </c>
      <c r="O426" s="47" t="s">
        <v>33</v>
      </c>
    </row>
    <row r="427" ht="14.25" customHeight="1" spans="1:15">
      <c r="A427" s="43" t="s">
        <v>1027</v>
      </c>
      <c r="B427" s="44">
        <v>46108</v>
      </c>
      <c r="C427" s="45">
        <v>0.802083333333333</v>
      </c>
      <c r="D427" s="46">
        <f t="shared" si="0"/>
        <v>19</v>
      </c>
      <c r="E427" s="47" t="str">
        <f t="shared" si="1"/>
        <v>Friday</v>
      </c>
      <c r="F427" s="47" t="s">
        <v>16</v>
      </c>
      <c r="G427" s="47" t="s">
        <v>27</v>
      </c>
      <c r="H427" s="43" t="s">
        <v>28</v>
      </c>
      <c r="I427" s="48">
        <v>1</v>
      </c>
      <c r="J427" s="49">
        <v>15000</v>
      </c>
      <c r="K427" s="49">
        <v>15000</v>
      </c>
      <c r="L427" s="47" t="s">
        <v>22</v>
      </c>
      <c r="M427" s="46">
        <v>0</v>
      </c>
      <c r="N427" s="48" t="s">
        <v>23</v>
      </c>
      <c r="O427" s="47" t="s">
        <v>73</v>
      </c>
    </row>
    <row r="428" ht="14.25" customHeight="1" spans="1:15">
      <c r="A428" s="43" t="s">
        <v>1030</v>
      </c>
      <c r="B428" s="44">
        <v>46108</v>
      </c>
      <c r="C428" s="45">
        <v>0.904166666666667</v>
      </c>
      <c r="D428" s="46">
        <f t="shared" si="0"/>
        <v>21</v>
      </c>
      <c r="E428" s="47" t="str">
        <f t="shared" si="1"/>
        <v>Friday</v>
      </c>
      <c r="F428" s="47" t="s">
        <v>16</v>
      </c>
      <c r="G428" s="47" t="s">
        <v>17</v>
      </c>
      <c r="H428" s="43" t="s">
        <v>18</v>
      </c>
      <c r="I428" s="48">
        <v>1</v>
      </c>
      <c r="J428" s="49">
        <v>1000</v>
      </c>
      <c r="K428" s="49">
        <f>I428*J428</f>
        <v>1000</v>
      </c>
      <c r="L428" s="47" t="s">
        <v>22</v>
      </c>
      <c r="M428" s="46">
        <v>0</v>
      </c>
      <c r="N428" s="48" t="s">
        <v>23</v>
      </c>
      <c r="O428" s="47" t="s">
        <v>24</v>
      </c>
    </row>
    <row r="429" ht="14.25" customHeight="1" spans="1:15">
      <c r="A429" s="43" t="s">
        <v>1031</v>
      </c>
      <c r="B429" s="44">
        <v>46108</v>
      </c>
      <c r="C429" s="45">
        <v>0.908333333333333</v>
      </c>
      <c r="D429" s="46">
        <f t="shared" si="0"/>
        <v>21</v>
      </c>
      <c r="E429" s="47" t="str">
        <f t="shared" si="1"/>
        <v>Friday</v>
      </c>
      <c r="F429" s="47" t="s">
        <v>43</v>
      </c>
      <c r="G429" s="47" t="s">
        <v>63</v>
      </c>
      <c r="H429" s="43" t="s">
        <v>18</v>
      </c>
      <c r="I429" s="48">
        <v>1</v>
      </c>
      <c r="J429" s="49">
        <v>1500</v>
      </c>
      <c r="K429" s="49">
        <v>1500</v>
      </c>
      <c r="L429" s="47" t="s">
        <v>22</v>
      </c>
      <c r="M429" s="46">
        <v>0</v>
      </c>
      <c r="N429" s="48" t="s">
        <v>23</v>
      </c>
      <c r="O429" s="47" t="s">
        <v>33</v>
      </c>
    </row>
    <row r="430" ht="14.25" customHeight="1" spans="1:15">
      <c r="A430" s="43" t="s">
        <v>1033</v>
      </c>
      <c r="B430" s="44">
        <v>46108</v>
      </c>
      <c r="C430" s="45">
        <v>0.911805555555556</v>
      </c>
      <c r="D430" s="46">
        <f t="shared" si="0"/>
        <v>21</v>
      </c>
      <c r="E430" s="47" t="str">
        <f t="shared" si="1"/>
        <v>Friday</v>
      </c>
      <c r="F430" s="47" t="s">
        <v>107</v>
      </c>
      <c r="G430" s="47" t="s">
        <v>103</v>
      </c>
      <c r="H430" s="43" t="s">
        <v>37</v>
      </c>
      <c r="I430" s="48">
        <v>1</v>
      </c>
      <c r="J430" s="49">
        <v>5000</v>
      </c>
      <c r="K430" s="50">
        <v>4500</v>
      </c>
      <c r="L430" s="47" t="s">
        <v>22</v>
      </c>
      <c r="M430" s="51">
        <v>0.1</v>
      </c>
      <c r="N430" s="48" t="s">
        <v>23</v>
      </c>
      <c r="O430" s="47" t="s">
        <v>40</v>
      </c>
    </row>
    <row r="431" ht="14.25" customHeight="1" spans="1:15">
      <c r="A431" s="43" t="s">
        <v>1034</v>
      </c>
      <c r="B431" s="44">
        <v>46108</v>
      </c>
      <c r="C431" s="45">
        <v>0.915277777777778</v>
      </c>
      <c r="D431" s="46">
        <f t="shared" si="0"/>
        <v>21</v>
      </c>
      <c r="E431" s="47" t="str">
        <f t="shared" si="1"/>
        <v>Friday</v>
      </c>
      <c r="F431" s="47" t="s">
        <v>43</v>
      </c>
      <c r="G431" s="47" t="s">
        <v>63</v>
      </c>
      <c r="H431" s="43" t="s">
        <v>18</v>
      </c>
      <c r="I431" s="48">
        <v>2</v>
      </c>
      <c r="J431" s="49">
        <v>1500</v>
      </c>
      <c r="K431" s="49">
        <v>3000</v>
      </c>
      <c r="L431" s="47" t="s">
        <v>22</v>
      </c>
      <c r="M431" s="46">
        <v>0</v>
      </c>
      <c r="N431" s="48" t="s">
        <v>23</v>
      </c>
      <c r="O431" s="47" t="s">
        <v>33</v>
      </c>
    </row>
    <row r="432" ht="14.25" customHeight="1" spans="1:15">
      <c r="A432" s="43" t="s">
        <v>1035</v>
      </c>
      <c r="B432" s="44">
        <v>46108</v>
      </c>
      <c r="C432" s="45">
        <v>0.917361111111111</v>
      </c>
      <c r="D432" s="46">
        <f t="shared" si="0"/>
        <v>22</v>
      </c>
      <c r="E432" s="47" t="str">
        <f t="shared" si="1"/>
        <v>Friday</v>
      </c>
      <c r="F432" s="47" t="s">
        <v>16</v>
      </c>
      <c r="G432" s="47" t="s">
        <v>146</v>
      </c>
      <c r="H432" s="43" t="s">
        <v>28</v>
      </c>
      <c r="I432" s="48">
        <v>1</v>
      </c>
      <c r="J432" s="49">
        <v>16000</v>
      </c>
      <c r="K432" s="49">
        <v>16000</v>
      </c>
      <c r="L432" s="47" t="s">
        <v>22</v>
      </c>
      <c r="M432" s="46">
        <v>0</v>
      </c>
      <c r="N432" s="48">
        <v>5</v>
      </c>
      <c r="O432" s="47" t="s">
        <v>33</v>
      </c>
    </row>
    <row r="433" ht="14.25" customHeight="1" spans="1:15">
      <c r="A433" s="43" t="s">
        <v>1037</v>
      </c>
      <c r="B433" s="44">
        <v>46108</v>
      </c>
      <c r="C433" s="45">
        <v>0.918055555555556</v>
      </c>
      <c r="D433" s="46">
        <f t="shared" si="0"/>
        <v>22</v>
      </c>
      <c r="E433" s="47" t="str">
        <f t="shared" si="1"/>
        <v>Friday</v>
      </c>
      <c r="F433" s="47" t="s">
        <v>16</v>
      </c>
      <c r="G433" s="47" t="s">
        <v>367</v>
      </c>
      <c r="H433" s="43" t="s">
        <v>109</v>
      </c>
      <c r="I433" s="48">
        <v>1</v>
      </c>
      <c r="J433" s="49">
        <v>7000</v>
      </c>
      <c r="K433" s="49">
        <v>7000</v>
      </c>
      <c r="L433" s="47" t="s">
        <v>22</v>
      </c>
      <c r="M433" s="46">
        <v>0</v>
      </c>
      <c r="N433" s="48" t="s">
        <v>23</v>
      </c>
      <c r="O433" s="47" t="s">
        <v>47</v>
      </c>
    </row>
    <row r="434" ht="14.25" customHeight="1" spans="1:15">
      <c r="A434" s="43" t="s">
        <v>1040</v>
      </c>
      <c r="B434" s="44">
        <v>46108</v>
      </c>
      <c r="C434" s="45">
        <v>0.928472222222222</v>
      </c>
      <c r="D434" s="46">
        <f t="shared" si="0"/>
        <v>22</v>
      </c>
      <c r="E434" s="47" t="str">
        <f t="shared" si="1"/>
        <v>Friday</v>
      </c>
      <c r="F434" s="47" t="s">
        <v>43</v>
      </c>
      <c r="G434" s="47" t="s">
        <v>50</v>
      </c>
      <c r="H434" s="43" t="s">
        <v>28</v>
      </c>
      <c r="I434" s="48">
        <v>2</v>
      </c>
      <c r="J434" s="49">
        <v>25000</v>
      </c>
      <c r="K434" s="49">
        <v>50000</v>
      </c>
      <c r="L434" s="47" t="s">
        <v>22</v>
      </c>
      <c r="M434" s="46">
        <v>0</v>
      </c>
      <c r="N434" s="48" t="s">
        <v>23</v>
      </c>
      <c r="O434" s="47" t="s">
        <v>33</v>
      </c>
    </row>
    <row r="435" ht="14.25" customHeight="1" spans="1:15">
      <c r="A435" s="43" t="s">
        <v>1041</v>
      </c>
      <c r="B435" s="44">
        <v>46108</v>
      </c>
      <c r="C435" s="45">
        <v>0.93125</v>
      </c>
      <c r="D435" s="46">
        <f t="shared" si="0"/>
        <v>22</v>
      </c>
      <c r="E435" s="47" t="str">
        <f t="shared" si="1"/>
        <v>Friday</v>
      </c>
      <c r="F435" s="47" t="s">
        <v>16</v>
      </c>
      <c r="G435" s="47" t="s">
        <v>103</v>
      </c>
      <c r="H435" s="43" t="s">
        <v>37</v>
      </c>
      <c r="I435" s="48">
        <v>1</v>
      </c>
      <c r="J435" s="49">
        <v>4500</v>
      </c>
      <c r="K435" s="50">
        <v>4050</v>
      </c>
      <c r="L435" s="47" t="s">
        <v>32</v>
      </c>
      <c r="M435" s="51">
        <v>0.1</v>
      </c>
      <c r="N435" s="48">
        <v>4</v>
      </c>
      <c r="O435" s="47" t="s">
        <v>33</v>
      </c>
    </row>
    <row r="436" ht="14.25" customHeight="1" spans="1:15">
      <c r="A436" s="43" t="s">
        <v>1043</v>
      </c>
      <c r="B436" s="44">
        <v>46109</v>
      </c>
      <c r="C436" s="45">
        <v>0.538194444444444</v>
      </c>
      <c r="D436" s="46">
        <f t="shared" si="0"/>
        <v>12</v>
      </c>
      <c r="E436" s="47" t="str">
        <f t="shared" si="1"/>
        <v>Saturday</v>
      </c>
      <c r="F436" s="47" t="s">
        <v>16</v>
      </c>
      <c r="G436" s="47" t="s">
        <v>103</v>
      </c>
      <c r="H436" s="43" t="s">
        <v>37</v>
      </c>
      <c r="I436" s="48">
        <v>1</v>
      </c>
      <c r="J436" s="49">
        <v>5000</v>
      </c>
      <c r="K436" s="49">
        <v>5000</v>
      </c>
      <c r="L436" s="47" t="s">
        <v>22</v>
      </c>
      <c r="M436" s="46">
        <v>0</v>
      </c>
      <c r="N436" s="48">
        <v>3</v>
      </c>
      <c r="O436" s="47" t="s">
        <v>24</v>
      </c>
    </row>
    <row r="437" ht="14.25" customHeight="1" spans="1:15">
      <c r="A437" s="43" t="s">
        <v>1045</v>
      </c>
      <c r="B437" s="44">
        <v>46109</v>
      </c>
      <c r="C437" s="45">
        <v>0.657638888888889</v>
      </c>
      <c r="D437" s="46">
        <f t="shared" si="0"/>
        <v>15</v>
      </c>
      <c r="E437" s="47" t="str">
        <f t="shared" si="1"/>
        <v>Saturday</v>
      </c>
      <c r="F437" s="47" t="s">
        <v>107</v>
      </c>
      <c r="G437" s="47" t="s">
        <v>63</v>
      </c>
      <c r="H437" s="43" t="s">
        <v>18</v>
      </c>
      <c r="I437" s="48">
        <v>1</v>
      </c>
      <c r="J437" s="49">
        <v>1500</v>
      </c>
      <c r="K437" s="49">
        <v>1500</v>
      </c>
      <c r="L437" s="47" t="s">
        <v>22</v>
      </c>
      <c r="M437" s="46">
        <v>0</v>
      </c>
      <c r="N437" s="48" t="s">
        <v>23</v>
      </c>
      <c r="O437" s="47" t="s">
        <v>40</v>
      </c>
    </row>
    <row r="438" ht="14.25" customHeight="1" spans="1:15">
      <c r="A438" s="43" t="s">
        <v>1047</v>
      </c>
      <c r="B438" s="44">
        <v>46109</v>
      </c>
      <c r="C438" s="45">
        <v>0.763194444444444</v>
      </c>
      <c r="D438" s="46">
        <f t="shared" si="0"/>
        <v>18</v>
      </c>
      <c r="E438" s="47" t="str">
        <f t="shared" si="1"/>
        <v>Saturday</v>
      </c>
      <c r="F438" s="47" t="s">
        <v>107</v>
      </c>
      <c r="G438" s="47" t="s">
        <v>146</v>
      </c>
      <c r="H438" s="43" t="s">
        <v>28</v>
      </c>
      <c r="I438" s="48">
        <v>1</v>
      </c>
      <c r="J438" s="50">
        <v>16000</v>
      </c>
      <c r="K438" s="49">
        <v>16000</v>
      </c>
      <c r="L438" s="47" t="s">
        <v>22</v>
      </c>
      <c r="M438" s="46">
        <v>0</v>
      </c>
      <c r="N438" s="48" t="s">
        <v>23</v>
      </c>
      <c r="O438" s="47" t="s">
        <v>33</v>
      </c>
    </row>
    <row r="439" ht="14.25" customHeight="1" spans="1:15">
      <c r="A439" s="43" t="s">
        <v>1049</v>
      </c>
      <c r="B439" s="44">
        <v>46109</v>
      </c>
      <c r="C439" s="45">
        <v>0.829166666666667</v>
      </c>
      <c r="D439" s="46">
        <f t="shared" si="0"/>
        <v>19</v>
      </c>
      <c r="E439" s="47" t="str">
        <f t="shared" si="1"/>
        <v>Saturday</v>
      </c>
      <c r="F439" s="47" t="s">
        <v>43</v>
      </c>
      <c r="G439" s="47" t="s">
        <v>81</v>
      </c>
      <c r="H439" s="43" t="str">
        <f>VLOOKUP(G439,'02_Menu_Lookup'!$A$2:$C$16,2,FALSE)</f>
        <v>Sandwiches</v>
      </c>
      <c r="I439" s="48">
        <v>2</v>
      </c>
      <c r="J439" s="49">
        <v>6000</v>
      </c>
      <c r="K439" s="50">
        <v>9600</v>
      </c>
      <c r="L439" s="47" t="s">
        <v>22</v>
      </c>
      <c r="M439" s="51">
        <v>0.2</v>
      </c>
      <c r="N439" s="48" t="s">
        <v>23</v>
      </c>
      <c r="O439" s="47" t="s">
        <v>40</v>
      </c>
    </row>
    <row r="440" ht="14.25" customHeight="1" spans="1:15">
      <c r="A440" s="43" t="s">
        <v>1051</v>
      </c>
      <c r="B440" s="44">
        <v>46109</v>
      </c>
      <c r="C440" s="45">
        <v>0.829861111111111</v>
      </c>
      <c r="D440" s="46">
        <f t="shared" si="0"/>
        <v>19</v>
      </c>
      <c r="E440" s="47" t="str">
        <f t="shared" si="1"/>
        <v>Saturday</v>
      </c>
      <c r="F440" s="47" t="s">
        <v>107</v>
      </c>
      <c r="G440" s="47" t="s">
        <v>50</v>
      </c>
      <c r="H440" s="43" t="s">
        <v>28</v>
      </c>
      <c r="I440" s="48">
        <v>2</v>
      </c>
      <c r="J440" s="49">
        <v>25000</v>
      </c>
      <c r="K440" s="49">
        <v>50000</v>
      </c>
      <c r="L440" s="47" t="s">
        <v>22</v>
      </c>
      <c r="M440" s="46">
        <v>0</v>
      </c>
      <c r="N440" s="48">
        <v>4</v>
      </c>
      <c r="O440" s="47" t="s">
        <v>40</v>
      </c>
    </row>
    <row r="441" ht="14.25" customHeight="1" spans="1:15">
      <c r="A441" s="43" t="s">
        <v>1053</v>
      </c>
      <c r="B441" s="44">
        <v>46109</v>
      </c>
      <c r="C441" s="45">
        <v>0.856944444444444</v>
      </c>
      <c r="D441" s="46">
        <f t="shared" si="0"/>
        <v>20</v>
      </c>
      <c r="E441" s="47" t="str">
        <f t="shared" si="1"/>
        <v>Saturday</v>
      </c>
      <c r="F441" s="47" t="s">
        <v>107</v>
      </c>
      <c r="G441" s="43" t="s">
        <v>36</v>
      </c>
      <c r="H441" s="43" t="s">
        <v>37</v>
      </c>
      <c r="I441" s="48">
        <v>2</v>
      </c>
      <c r="J441" s="49">
        <v>3000</v>
      </c>
      <c r="K441" s="49">
        <v>6000</v>
      </c>
      <c r="L441" s="47" t="s">
        <v>32</v>
      </c>
      <c r="M441" s="46">
        <v>0</v>
      </c>
      <c r="N441" s="48" t="s">
        <v>23</v>
      </c>
      <c r="O441" s="47" t="s">
        <v>33</v>
      </c>
    </row>
    <row r="442" ht="14.25" customHeight="1" spans="1:15">
      <c r="A442" s="43" t="s">
        <v>1054</v>
      </c>
      <c r="B442" s="44">
        <v>46109</v>
      </c>
      <c r="C442" s="45">
        <v>0.861111111111111</v>
      </c>
      <c r="D442" s="46">
        <f t="shared" si="0"/>
        <v>20</v>
      </c>
      <c r="E442" s="47" t="str">
        <f t="shared" si="1"/>
        <v>Saturday</v>
      </c>
      <c r="F442" s="47" t="s">
        <v>16</v>
      </c>
      <c r="G442" s="47" t="s">
        <v>81</v>
      </c>
      <c r="H442" s="43" t="s">
        <v>37</v>
      </c>
      <c r="I442" s="48">
        <v>1</v>
      </c>
      <c r="J442" s="49">
        <v>6000</v>
      </c>
      <c r="K442" s="49">
        <v>6000</v>
      </c>
      <c r="L442" s="47" t="s">
        <v>22</v>
      </c>
      <c r="M442" s="46">
        <v>0</v>
      </c>
      <c r="N442" s="48" t="s">
        <v>23</v>
      </c>
      <c r="O442" s="47" t="s">
        <v>24</v>
      </c>
    </row>
    <row r="443" ht="14.25" customHeight="1" spans="1:15">
      <c r="A443" s="43" t="s">
        <v>1055</v>
      </c>
      <c r="B443" s="44">
        <v>46109</v>
      </c>
      <c r="C443" s="45">
        <v>0.909027777777778</v>
      </c>
      <c r="D443" s="46">
        <f t="shared" si="0"/>
        <v>21</v>
      </c>
      <c r="E443" s="47" t="str">
        <f t="shared" si="1"/>
        <v>Saturday</v>
      </c>
      <c r="F443" s="47" t="s">
        <v>16</v>
      </c>
      <c r="G443" s="43" t="s">
        <v>36</v>
      </c>
      <c r="H443" s="43" t="s">
        <v>37</v>
      </c>
      <c r="I443" s="48">
        <v>2</v>
      </c>
      <c r="J443" s="49">
        <v>3000</v>
      </c>
      <c r="K443" s="49">
        <f>I443*J443</f>
        <v>6000</v>
      </c>
      <c r="L443" s="47" t="s">
        <v>32</v>
      </c>
      <c r="M443" s="46">
        <v>0</v>
      </c>
      <c r="N443" s="48" t="s">
        <v>23</v>
      </c>
      <c r="O443" s="47" t="s">
        <v>73</v>
      </c>
    </row>
    <row r="444" ht="14.25" customHeight="1" spans="1:15">
      <c r="A444" s="43" t="s">
        <v>1057</v>
      </c>
      <c r="B444" s="44">
        <v>46109</v>
      </c>
      <c r="C444" s="45">
        <v>0.910416666666667</v>
      </c>
      <c r="D444" s="46">
        <f t="shared" si="0"/>
        <v>21</v>
      </c>
      <c r="E444" s="47" t="str">
        <f t="shared" si="1"/>
        <v>Saturday</v>
      </c>
      <c r="F444" s="47" t="s">
        <v>16</v>
      </c>
      <c r="G444" s="47" t="s">
        <v>103</v>
      </c>
      <c r="H444" s="43" t="s">
        <v>37</v>
      </c>
      <c r="I444" s="48">
        <v>1</v>
      </c>
      <c r="J444" s="49">
        <v>5000</v>
      </c>
      <c r="K444" s="49">
        <v>5000</v>
      </c>
      <c r="L444" s="47" t="s">
        <v>32</v>
      </c>
      <c r="M444" s="46">
        <v>0</v>
      </c>
      <c r="N444" s="48" t="s">
        <v>23</v>
      </c>
      <c r="O444" s="47" t="s">
        <v>47</v>
      </c>
    </row>
    <row r="445" ht="14.25" customHeight="1" spans="1:15">
      <c r="A445" s="43" t="s">
        <v>1059</v>
      </c>
      <c r="B445" s="44">
        <v>46109</v>
      </c>
      <c r="C445" s="45">
        <v>0.911805555555556</v>
      </c>
      <c r="D445" s="46">
        <f t="shared" si="0"/>
        <v>21</v>
      </c>
      <c r="E445" s="47" t="str">
        <f t="shared" si="1"/>
        <v>Saturday</v>
      </c>
      <c r="F445" s="47" t="s">
        <v>16</v>
      </c>
      <c r="G445" s="47" t="s">
        <v>63</v>
      </c>
      <c r="H445" s="43" t="s">
        <v>18</v>
      </c>
      <c r="I445" s="48">
        <v>1</v>
      </c>
      <c r="J445" s="49">
        <v>1500</v>
      </c>
      <c r="K445" s="49">
        <v>1500</v>
      </c>
      <c r="L445" s="47" t="s">
        <v>22</v>
      </c>
      <c r="M445" s="46">
        <v>0</v>
      </c>
      <c r="N445" s="48">
        <v>4</v>
      </c>
      <c r="O445" s="47" t="s">
        <v>40</v>
      </c>
    </row>
    <row r="446" ht="14.25" customHeight="1" spans="1:15">
      <c r="A446" s="43" t="s">
        <v>1060</v>
      </c>
      <c r="B446" s="44">
        <v>46109</v>
      </c>
      <c r="C446" s="45">
        <v>0.924305555555556</v>
      </c>
      <c r="D446" s="46">
        <f t="shared" si="0"/>
        <v>22</v>
      </c>
      <c r="E446" s="47" t="str">
        <f t="shared" si="1"/>
        <v>Saturday</v>
      </c>
      <c r="F446" s="47" t="s">
        <v>43</v>
      </c>
      <c r="G446" s="47" t="s">
        <v>103</v>
      </c>
      <c r="H446" s="43" t="s">
        <v>37</v>
      </c>
      <c r="I446" s="48">
        <v>1</v>
      </c>
      <c r="J446" s="49">
        <v>5000</v>
      </c>
      <c r="K446" s="49">
        <v>5000</v>
      </c>
      <c r="L446" s="47" t="s">
        <v>22</v>
      </c>
      <c r="M446" s="46">
        <v>0</v>
      </c>
      <c r="N446" s="48" t="s">
        <v>23</v>
      </c>
      <c r="O446" s="47" t="s">
        <v>33</v>
      </c>
    </row>
    <row r="447" ht="14.25" customHeight="1" spans="1:15">
      <c r="A447" s="43" t="s">
        <v>1061</v>
      </c>
      <c r="B447" s="44">
        <v>46109</v>
      </c>
      <c r="C447" s="45">
        <v>0.990277777777778</v>
      </c>
      <c r="D447" s="46">
        <f t="shared" si="0"/>
        <v>23</v>
      </c>
      <c r="E447" s="47" t="str">
        <f t="shared" si="1"/>
        <v>Saturday</v>
      </c>
      <c r="F447" s="47" t="s">
        <v>107</v>
      </c>
      <c r="G447" s="47" t="s">
        <v>50</v>
      </c>
      <c r="H447" s="43" t="s">
        <v>28</v>
      </c>
      <c r="I447" s="48">
        <v>1</v>
      </c>
      <c r="J447" s="49">
        <v>25000</v>
      </c>
      <c r="K447" s="49">
        <v>25000</v>
      </c>
      <c r="L447" s="47" t="s">
        <v>22</v>
      </c>
      <c r="M447" s="46">
        <v>0</v>
      </c>
      <c r="N447" s="48">
        <v>5</v>
      </c>
      <c r="O447" s="47" t="s">
        <v>40</v>
      </c>
    </row>
    <row r="448" ht="14.25" customHeight="1" spans="1:15">
      <c r="A448" s="43" t="s">
        <v>1064</v>
      </c>
      <c r="B448" s="44">
        <v>46109</v>
      </c>
      <c r="C448" s="45">
        <v>0.991666666666667</v>
      </c>
      <c r="D448" s="46">
        <f t="shared" si="0"/>
        <v>23</v>
      </c>
      <c r="E448" s="47" t="str">
        <f t="shared" si="1"/>
        <v>Saturday</v>
      </c>
      <c r="F448" s="47" t="s">
        <v>107</v>
      </c>
      <c r="G448" s="47" t="s">
        <v>146</v>
      </c>
      <c r="H448" s="43" t="s">
        <v>28</v>
      </c>
      <c r="I448" s="48">
        <v>2</v>
      </c>
      <c r="J448" s="49">
        <v>16000</v>
      </c>
      <c r="K448" s="49">
        <v>32000</v>
      </c>
      <c r="L448" s="47" t="s">
        <v>32</v>
      </c>
      <c r="M448" s="46">
        <v>0</v>
      </c>
      <c r="N448" s="48" t="s">
        <v>23</v>
      </c>
      <c r="O448" s="47" t="s">
        <v>73</v>
      </c>
    </row>
    <row r="449" ht="14.25" customHeight="1" spans="1:15">
      <c r="A449" s="43" t="s">
        <v>1067</v>
      </c>
      <c r="B449" s="44">
        <v>46110</v>
      </c>
      <c r="C449" s="45">
        <v>0.852083333333333</v>
      </c>
      <c r="D449" s="46">
        <f t="shared" si="0"/>
        <v>20</v>
      </c>
      <c r="E449" s="47" t="str">
        <f t="shared" si="1"/>
        <v>Sunday</v>
      </c>
      <c r="F449" s="47" t="s">
        <v>43</v>
      </c>
      <c r="G449" s="47" t="s">
        <v>81</v>
      </c>
      <c r="H449" s="43" t="str">
        <f>VLOOKUP(G449,'02_Menu_Lookup'!$A$2:$C$16,2,FALSE)</f>
        <v>Sandwiches</v>
      </c>
      <c r="I449" s="48">
        <v>2</v>
      </c>
      <c r="J449" s="49">
        <v>6000</v>
      </c>
      <c r="K449" s="49">
        <v>12000</v>
      </c>
      <c r="L449" s="47" t="s">
        <v>22</v>
      </c>
      <c r="M449" s="46">
        <v>0</v>
      </c>
      <c r="N449" s="48" t="s">
        <v>23</v>
      </c>
      <c r="O449" s="47" t="s">
        <v>47</v>
      </c>
    </row>
    <row r="450" ht="14.25" customHeight="1" spans="1:15">
      <c r="A450" s="43" t="s">
        <v>1069</v>
      </c>
      <c r="B450" s="44">
        <v>46110</v>
      </c>
      <c r="C450" s="45">
        <v>0.859722222222222</v>
      </c>
      <c r="D450" s="46">
        <f t="shared" si="0"/>
        <v>20</v>
      </c>
      <c r="E450" s="47" t="str">
        <f t="shared" si="1"/>
        <v>Sunday</v>
      </c>
      <c r="F450" s="47" t="s">
        <v>16</v>
      </c>
      <c r="G450" s="47" t="s">
        <v>44</v>
      </c>
      <c r="H450" s="43" t="s">
        <v>45</v>
      </c>
      <c r="I450" s="48">
        <v>1</v>
      </c>
      <c r="J450" s="49">
        <v>4000</v>
      </c>
      <c r="K450" s="49">
        <v>4000</v>
      </c>
      <c r="L450" s="47" t="s">
        <v>32</v>
      </c>
      <c r="M450" s="46">
        <v>0</v>
      </c>
      <c r="N450" s="48" t="s">
        <v>23</v>
      </c>
      <c r="O450" s="47" t="s">
        <v>47</v>
      </c>
    </row>
    <row r="451" ht="14.25" customHeight="1" spans="1:15">
      <c r="A451" s="43" t="s">
        <v>1070</v>
      </c>
      <c r="B451" s="44">
        <v>46110</v>
      </c>
      <c r="C451" s="45">
        <v>0.866666666666667</v>
      </c>
      <c r="D451" s="46">
        <f t="shared" si="0"/>
        <v>20</v>
      </c>
      <c r="E451" s="47" t="str">
        <f t="shared" si="1"/>
        <v>Sunday</v>
      </c>
      <c r="F451" s="47" t="s">
        <v>16</v>
      </c>
      <c r="G451" s="47" t="s">
        <v>103</v>
      </c>
      <c r="H451" s="43" t="s">
        <v>37</v>
      </c>
      <c r="I451" s="48">
        <v>3</v>
      </c>
      <c r="J451" s="49">
        <v>5000</v>
      </c>
      <c r="K451" s="49">
        <v>15000</v>
      </c>
      <c r="L451" s="47" t="s">
        <v>22</v>
      </c>
      <c r="M451" s="46">
        <v>0</v>
      </c>
      <c r="N451" s="48">
        <v>4</v>
      </c>
      <c r="O451" s="47" t="s">
        <v>40</v>
      </c>
    </row>
    <row r="452" ht="14.25" customHeight="1" spans="1:15">
      <c r="A452" s="43" t="s">
        <v>1071</v>
      </c>
      <c r="B452" s="44">
        <v>46110</v>
      </c>
      <c r="C452" s="45">
        <v>0.883333333333333</v>
      </c>
      <c r="D452" s="46">
        <f t="shared" si="0"/>
        <v>21</v>
      </c>
      <c r="E452" s="47" t="str">
        <f t="shared" si="1"/>
        <v>Sunday</v>
      </c>
      <c r="F452" s="47" t="s">
        <v>43</v>
      </c>
      <c r="G452" s="47" t="s">
        <v>146</v>
      </c>
      <c r="H452" s="43" t="s">
        <v>28</v>
      </c>
      <c r="I452" s="48">
        <v>1</v>
      </c>
      <c r="J452" s="49">
        <v>16000</v>
      </c>
      <c r="K452" s="49">
        <v>16000</v>
      </c>
      <c r="L452" s="47" t="s">
        <v>22</v>
      </c>
      <c r="M452" s="46">
        <v>0</v>
      </c>
      <c r="N452" s="48">
        <v>5</v>
      </c>
      <c r="O452" s="47" t="s">
        <v>33</v>
      </c>
    </row>
    <row r="453" ht="14.25" customHeight="1" spans="1:15">
      <c r="A453" s="43" t="s">
        <v>1073</v>
      </c>
      <c r="B453" s="44">
        <v>46110</v>
      </c>
      <c r="C453" s="45">
        <v>0.899305555555556</v>
      </c>
      <c r="D453" s="46">
        <f t="shared" si="0"/>
        <v>21</v>
      </c>
      <c r="E453" s="47" t="str">
        <f t="shared" si="1"/>
        <v>Sunday</v>
      </c>
      <c r="F453" s="47" t="s">
        <v>43</v>
      </c>
      <c r="G453" s="47" t="s">
        <v>146</v>
      </c>
      <c r="H453" s="43" t="s">
        <v>28</v>
      </c>
      <c r="I453" s="48">
        <v>1</v>
      </c>
      <c r="J453" s="49">
        <v>16000</v>
      </c>
      <c r="K453" s="49">
        <v>16000</v>
      </c>
      <c r="L453" s="47" t="s">
        <v>22</v>
      </c>
      <c r="M453" s="46">
        <v>0</v>
      </c>
      <c r="N453" s="48" t="s">
        <v>23</v>
      </c>
      <c r="O453" s="47" t="s">
        <v>40</v>
      </c>
    </row>
    <row r="454" ht="14.25" customHeight="1" spans="1:15">
      <c r="A454" s="43" t="s">
        <v>1074</v>
      </c>
      <c r="B454" s="44">
        <v>46110</v>
      </c>
      <c r="C454" s="45">
        <v>0.936111111111111</v>
      </c>
      <c r="D454" s="46">
        <f t="shared" si="0"/>
        <v>22</v>
      </c>
      <c r="E454" s="47" t="str">
        <f t="shared" si="1"/>
        <v>Sunday</v>
      </c>
      <c r="F454" s="47" t="s">
        <v>107</v>
      </c>
      <c r="G454" s="43" t="s">
        <v>199</v>
      </c>
      <c r="H454" s="43" t="s">
        <v>18</v>
      </c>
      <c r="I454" s="48">
        <v>1</v>
      </c>
      <c r="J454" s="49">
        <v>3000</v>
      </c>
      <c r="K454" s="49">
        <v>3000</v>
      </c>
      <c r="L454" s="47" t="s">
        <v>22</v>
      </c>
      <c r="M454" s="46">
        <v>0</v>
      </c>
      <c r="N454" s="48">
        <v>4</v>
      </c>
      <c r="O454" s="47" t="s">
        <v>47</v>
      </c>
    </row>
    <row r="455" ht="14.25" customHeight="1" spans="1:15">
      <c r="A455" s="43" t="s">
        <v>1076</v>
      </c>
      <c r="B455" s="44">
        <v>46110</v>
      </c>
      <c r="C455" s="45">
        <v>0.984027777777778</v>
      </c>
      <c r="D455" s="46">
        <f t="shared" si="0"/>
        <v>23</v>
      </c>
      <c r="E455" s="47" t="str">
        <f t="shared" si="1"/>
        <v>Sunday</v>
      </c>
      <c r="F455" s="47" t="s">
        <v>43</v>
      </c>
      <c r="G455" s="47" t="s">
        <v>63</v>
      </c>
      <c r="H455" s="43" t="s">
        <v>18</v>
      </c>
      <c r="I455" s="48">
        <v>1</v>
      </c>
      <c r="J455" s="49">
        <v>1500</v>
      </c>
      <c r="K455" s="50">
        <v>1275</v>
      </c>
      <c r="L455" s="47" t="s">
        <v>22</v>
      </c>
      <c r="M455" s="51">
        <v>0.15</v>
      </c>
      <c r="N455" s="48" t="s">
        <v>23</v>
      </c>
      <c r="O455" s="47" t="s">
        <v>73</v>
      </c>
    </row>
    <row r="456" ht="14.25" customHeight="1" spans="1:15">
      <c r="A456" s="43" t="s">
        <v>1080</v>
      </c>
      <c r="B456" s="44">
        <v>46111</v>
      </c>
      <c r="C456" s="45">
        <v>0.570138888888889</v>
      </c>
      <c r="D456" s="46">
        <f t="shared" si="0"/>
        <v>13</v>
      </c>
      <c r="E456" s="47" t="str">
        <f t="shared" si="1"/>
        <v>Monday</v>
      </c>
      <c r="F456" s="47" t="s">
        <v>16</v>
      </c>
      <c r="G456" s="47" t="s">
        <v>27</v>
      </c>
      <c r="H456" s="43" t="s">
        <v>28</v>
      </c>
      <c r="I456" s="48">
        <v>1</v>
      </c>
      <c r="J456" s="49">
        <v>15000</v>
      </c>
      <c r="K456" s="49">
        <v>15000</v>
      </c>
      <c r="L456" s="47" t="s">
        <v>32</v>
      </c>
      <c r="M456" s="46">
        <v>0</v>
      </c>
      <c r="N456" s="48" t="s">
        <v>23</v>
      </c>
      <c r="O456" s="47" t="s">
        <v>47</v>
      </c>
    </row>
    <row r="457" ht="14.25" customHeight="1" spans="1:15">
      <c r="A457" s="43" t="s">
        <v>1083</v>
      </c>
      <c r="B457" s="44">
        <v>46111</v>
      </c>
      <c r="C457" s="45">
        <v>0.585416666666667</v>
      </c>
      <c r="D457" s="46">
        <f t="shared" si="0"/>
        <v>14</v>
      </c>
      <c r="E457" s="47" t="str">
        <f t="shared" si="1"/>
        <v>Monday</v>
      </c>
      <c r="F457" s="47" t="s">
        <v>16</v>
      </c>
      <c r="G457" s="47" t="s">
        <v>17</v>
      </c>
      <c r="H457" s="43" t="s">
        <v>18</v>
      </c>
      <c r="I457" s="48">
        <v>2</v>
      </c>
      <c r="J457" s="49">
        <v>1000</v>
      </c>
      <c r="K457" s="49">
        <v>2000</v>
      </c>
      <c r="L457" s="47" t="s">
        <v>32</v>
      </c>
      <c r="M457" s="46">
        <v>0</v>
      </c>
      <c r="N457" s="48" t="s">
        <v>23</v>
      </c>
      <c r="O457" s="47" t="s">
        <v>47</v>
      </c>
    </row>
    <row r="458" ht="14.25" customHeight="1" spans="1:15">
      <c r="A458" s="43" t="s">
        <v>1085</v>
      </c>
      <c r="B458" s="44">
        <v>46111</v>
      </c>
      <c r="C458" s="45">
        <v>0.915972222222222</v>
      </c>
      <c r="D458" s="46">
        <f t="shared" si="0"/>
        <v>21</v>
      </c>
      <c r="E458" s="47" t="str">
        <f t="shared" si="1"/>
        <v>Monday</v>
      </c>
      <c r="F458" s="47" t="s">
        <v>43</v>
      </c>
      <c r="G458" s="47" t="s">
        <v>50</v>
      </c>
      <c r="H458" s="43" t="str">
        <f>VLOOKUP(G458,'02_Menu_Lookup'!$A$2:$C$16,2,FALSE)</f>
        <v>Grills</v>
      </c>
      <c r="I458" s="48">
        <v>1</v>
      </c>
      <c r="J458" s="49">
        <v>25000</v>
      </c>
      <c r="K458" s="49">
        <v>25000</v>
      </c>
      <c r="L458" s="47" t="s">
        <v>22</v>
      </c>
      <c r="M458" s="46">
        <v>0</v>
      </c>
      <c r="N458" s="48" t="s">
        <v>23</v>
      </c>
      <c r="O458" s="47" t="s">
        <v>47</v>
      </c>
    </row>
    <row r="459" ht="14.25" customHeight="1" spans="1:15">
      <c r="A459" s="43" t="s">
        <v>1088</v>
      </c>
      <c r="B459" s="44">
        <v>46111</v>
      </c>
      <c r="C459" s="45">
        <v>0.947222222222222</v>
      </c>
      <c r="D459" s="46">
        <f t="shared" si="0"/>
        <v>22</v>
      </c>
      <c r="E459" s="47" t="str">
        <f t="shared" si="1"/>
        <v>Monday</v>
      </c>
      <c r="F459" s="47" t="s">
        <v>43</v>
      </c>
      <c r="G459" s="47" t="s">
        <v>57</v>
      </c>
      <c r="H459" s="43" t="s">
        <v>28</v>
      </c>
      <c r="I459" s="48">
        <v>1</v>
      </c>
      <c r="J459" s="49">
        <v>18000</v>
      </c>
      <c r="K459" s="49">
        <v>18000</v>
      </c>
      <c r="L459" s="47" t="s">
        <v>32</v>
      </c>
      <c r="M459" s="46">
        <v>0</v>
      </c>
      <c r="N459" s="48" t="s">
        <v>23</v>
      </c>
      <c r="O459" s="47" t="s">
        <v>24</v>
      </c>
    </row>
    <row r="460" ht="14.25" customHeight="1" spans="1:15">
      <c r="A460" s="43" t="s">
        <v>1089</v>
      </c>
      <c r="B460" s="44">
        <v>46112</v>
      </c>
      <c r="C460" s="45">
        <v>0.579861111111111</v>
      </c>
      <c r="D460" s="46">
        <f t="shared" si="0"/>
        <v>13</v>
      </c>
      <c r="E460" s="47" t="str">
        <f t="shared" si="1"/>
        <v>Tuesday</v>
      </c>
      <c r="F460" s="47" t="s">
        <v>16</v>
      </c>
      <c r="G460" s="47" t="s">
        <v>17</v>
      </c>
      <c r="H460" s="43" t="s">
        <v>18</v>
      </c>
      <c r="I460" s="48">
        <v>1</v>
      </c>
      <c r="J460" s="49">
        <v>1000</v>
      </c>
      <c r="K460" s="49">
        <f>I460*J460</f>
        <v>1000</v>
      </c>
      <c r="L460" s="47" t="s">
        <v>22</v>
      </c>
      <c r="M460" s="46">
        <v>0</v>
      </c>
      <c r="N460" s="48" t="s">
        <v>23</v>
      </c>
      <c r="O460" s="47" t="s">
        <v>24</v>
      </c>
    </row>
    <row r="461" ht="14.25" customHeight="1" spans="1:15">
      <c r="A461" s="43" t="s">
        <v>1091</v>
      </c>
      <c r="B461" s="44">
        <v>46112</v>
      </c>
      <c r="C461" s="45">
        <v>0.605555555555556</v>
      </c>
      <c r="D461" s="46">
        <f t="shared" si="0"/>
        <v>14</v>
      </c>
      <c r="E461" s="47" t="str">
        <f t="shared" si="1"/>
        <v>Tuesday</v>
      </c>
      <c r="F461" s="47" t="s">
        <v>16</v>
      </c>
      <c r="G461" s="47" t="s">
        <v>81</v>
      </c>
      <c r="H461" s="43" t="str">
        <f>VLOOKUP(G461,'02_Menu_Lookup'!$A$2:$C$16,2,FALSE)</f>
        <v>Sandwiches</v>
      </c>
      <c r="I461" s="48">
        <v>1</v>
      </c>
      <c r="J461" s="49">
        <v>6000</v>
      </c>
      <c r="K461" s="49">
        <v>6000</v>
      </c>
      <c r="L461" s="47" t="s">
        <v>22</v>
      </c>
      <c r="M461" s="46">
        <v>0</v>
      </c>
      <c r="N461" s="48" t="s">
        <v>23</v>
      </c>
      <c r="O461" s="47" t="s">
        <v>73</v>
      </c>
    </row>
    <row r="462" ht="14.25" customHeight="1" spans="1:15">
      <c r="A462" s="43" t="s">
        <v>1093</v>
      </c>
      <c r="B462" s="44">
        <v>46112</v>
      </c>
      <c r="C462" s="45">
        <v>0.624305555555556</v>
      </c>
      <c r="D462" s="46">
        <f t="shared" si="0"/>
        <v>14</v>
      </c>
      <c r="E462" s="47" t="str">
        <f t="shared" si="1"/>
        <v>Tuesday</v>
      </c>
      <c r="F462" s="47" t="s">
        <v>107</v>
      </c>
      <c r="G462" s="47" t="s">
        <v>17</v>
      </c>
      <c r="H462" s="43" t="s">
        <v>18</v>
      </c>
      <c r="I462" s="48">
        <v>2</v>
      </c>
      <c r="J462" s="49">
        <v>1000</v>
      </c>
      <c r="K462" s="49">
        <v>2000</v>
      </c>
      <c r="L462" s="47" t="s">
        <v>22</v>
      </c>
      <c r="M462" s="46">
        <v>0</v>
      </c>
      <c r="N462" s="48" t="s">
        <v>23</v>
      </c>
      <c r="O462" s="47" t="s">
        <v>47</v>
      </c>
    </row>
    <row r="463" ht="14.25" customHeight="1" spans="1:15">
      <c r="A463" s="43" t="s">
        <v>1096</v>
      </c>
      <c r="B463" s="44">
        <v>46112</v>
      </c>
      <c r="C463" s="45">
        <v>0.653472222222222</v>
      </c>
      <c r="D463" s="46">
        <f t="shared" si="0"/>
        <v>15</v>
      </c>
      <c r="E463" s="47" t="str">
        <f t="shared" si="1"/>
        <v>Tuesday</v>
      </c>
      <c r="F463" s="47" t="s">
        <v>107</v>
      </c>
      <c r="G463" s="47" t="s">
        <v>81</v>
      </c>
      <c r="H463" s="43" t="s">
        <v>37</v>
      </c>
      <c r="I463" s="48">
        <v>1</v>
      </c>
      <c r="J463" s="49">
        <v>6000</v>
      </c>
      <c r="K463" s="49">
        <f>I463*J463</f>
        <v>6000</v>
      </c>
      <c r="L463" s="47" t="s">
        <v>22</v>
      </c>
      <c r="M463" s="46">
        <v>0</v>
      </c>
      <c r="N463" s="48" t="s">
        <v>23</v>
      </c>
      <c r="O463" s="47" t="s">
        <v>40</v>
      </c>
    </row>
    <row r="464" ht="14.25" customHeight="1" spans="1:15">
      <c r="A464" s="43" t="s">
        <v>1098</v>
      </c>
      <c r="B464" s="44">
        <v>46112</v>
      </c>
      <c r="C464" s="45">
        <v>0.706944444444444</v>
      </c>
      <c r="D464" s="46">
        <f t="shared" si="0"/>
        <v>16</v>
      </c>
      <c r="E464" s="47" t="str">
        <f t="shared" si="1"/>
        <v>Tuesday</v>
      </c>
      <c r="F464" s="47" t="s">
        <v>16</v>
      </c>
      <c r="G464" s="47" t="s">
        <v>146</v>
      </c>
      <c r="H464" s="43" t="s">
        <v>28</v>
      </c>
      <c r="I464" s="48">
        <v>3</v>
      </c>
      <c r="J464" s="49">
        <v>16000</v>
      </c>
      <c r="K464" s="49">
        <v>48000</v>
      </c>
      <c r="L464" s="47" t="s">
        <v>22</v>
      </c>
      <c r="M464" s="46">
        <v>0</v>
      </c>
      <c r="N464" s="48" t="s">
        <v>23</v>
      </c>
      <c r="O464" s="47" t="s">
        <v>47</v>
      </c>
    </row>
    <row r="465" ht="14.25" customHeight="1" spans="1:15">
      <c r="A465" s="43" t="s">
        <v>1101</v>
      </c>
      <c r="B465" s="44">
        <v>46112</v>
      </c>
      <c r="C465" s="45">
        <v>0.810416666666667</v>
      </c>
      <c r="D465" s="46">
        <f t="shared" si="0"/>
        <v>19</v>
      </c>
      <c r="E465" s="47" t="str">
        <f t="shared" si="1"/>
        <v>Tuesday</v>
      </c>
      <c r="F465" s="47" t="s">
        <v>16</v>
      </c>
      <c r="G465" s="47" t="s">
        <v>63</v>
      </c>
      <c r="H465" s="43" t="s">
        <v>18</v>
      </c>
      <c r="I465" s="48">
        <v>1</v>
      </c>
      <c r="J465" s="49">
        <v>1500</v>
      </c>
      <c r="K465" s="49">
        <v>1500</v>
      </c>
      <c r="L465" s="47" t="s">
        <v>32</v>
      </c>
      <c r="M465" s="46">
        <v>0</v>
      </c>
      <c r="N465" s="48" t="s">
        <v>23</v>
      </c>
      <c r="O465" s="47" t="s">
        <v>40</v>
      </c>
    </row>
    <row r="466" ht="14.25" customHeight="1" spans="1:15">
      <c r="A466" s="43" t="s">
        <v>1103</v>
      </c>
      <c r="B466" s="44">
        <v>46112</v>
      </c>
      <c r="C466" s="45">
        <v>0.946527777777778</v>
      </c>
      <c r="D466" s="46">
        <f t="shared" si="0"/>
        <v>22</v>
      </c>
      <c r="E466" s="47" t="str">
        <f t="shared" si="1"/>
        <v>Tuesday</v>
      </c>
      <c r="F466" s="47" t="s">
        <v>107</v>
      </c>
      <c r="G466" s="43" t="s">
        <v>647</v>
      </c>
      <c r="H466" s="43" t="s">
        <v>45</v>
      </c>
      <c r="I466" s="48">
        <v>1</v>
      </c>
      <c r="J466" s="49">
        <v>4500</v>
      </c>
      <c r="K466" s="49">
        <v>4500</v>
      </c>
      <c r="L466" s="47" t="s">
        <v>22</v>
      </c>
      <c r="M466" s="46">
        <v>0</v>
      </c>
      <c r="N466" s="48" t="s">
        <v>23</v>
      </c>
      <c r="O466" s="47" t="s">
        <v>24</v>
      </c>
    </row>
    <row r="467" ht="14.25" customHeight="1" spans="1:15">
      <c r="A467" s="43" t="s">
        <v>1104</v>
      </c>
      <c r="B467" s="44">
        <v>46113</v>
      </c>
      <c r="C467" s="45">
        <v>0.607638888888889</v>
      </c>
      <c r="D467" s="46">
        <f t="shared" si="0"/>
        <v>14</v>
      </c>
      <c r="E467" s="47" t="str">
        <f t="shared" si="1"/>
        <v>Wednesday</v>
      </c>
      <c r="F467" s="47" t="s">
        <v>16</v>
      </c>
      <c r="G467" s="47" t="s">
        <v>95</v>
      </c>
      <c r="H467" s="43" t="s">
        <v>45</v>
      </c>
      <c r="I467" s="48">
        <v>1</v>
      </c>
      <c r="J467" s="49">
        <v>5000</v>
      </c>
      <c r="K467" s="49">
        <v>5000</v>
      </c>
      <c r="L467" s="47" t="s">
        <v>22</v>
      </c>
      <c r="M467" s="46">
        <v>0</v>
      </c>
      <c r="N467" s="48">
        <v>3</v>
      </c>
      <c r="O467" s="47" t="s">
        <v>47</v>
      </c>
    </row>
    <row r="468" ht="14.25" customHeight="1" spans="1:15">
      <c r="A468" s="43" t="s">
        <v>1106</v>
      </c>
      <c r="B468" s="44">
        <v>46113</v>
      </c>
      <c r="C468" s="45">
        <v>0.705555555555556</v>
      </c>
      <c r="D468" s="46">
        <f t="shared" si="0"/>
        <v>16</v>
      </c>
      <c r="E468" s="47" t="str">
        <f t="shared" si="1"/>
        <v>Wednesday</v>
      </c>
      <c r="F468" s="47" t="s">
        <v>16</v>
      </c>
      <c r="G468" s="47" t="s">
        <v>146</v>
      </c>
      <c r="H468" s="43" t="s">
        <v>28</v>
      </c>
      <c r="I468" s="48">
        <v>2</v>
      </c>
      <c r="J468" s="49">
        <v>16000</v>
      </c>
      <c r="K468" s="50">
        <v>28800</v>
      </c>
      <c r="L468" s="47" t="s">
        <v>22</v>
      </c>
      <c r="M468" s="51">
        <v>0.1</v>
      </c>
      <c r="N468" s="48" t="s">
        <v>23</v>
      </c>
      <c r="O468" s="47" t="s">
        <v>40</v>
      </c>
    </row>
    <row r="469" ht="14.25" customHeight="1" spans="1:15">
      <c r="A469" s="43" t="s">
        <v>1109</v>
      </c>
      <c r="B469" s="44">
        <v>46113</v>
      </c>
      <c r="C469" s="45">
        <v>0.727777777777778</v>
      </c>
      <c r="D469" s="46">
        <f t="shared" si="0"/>
        <v>17</v>
      </c>
      <c r="E469" s="47" t="str">
        <f t="shared" si="1"/>
        <v>Wednesday</v>
      </c>
      <c r="F469" s="47" t="s">
        <v>16</v>
      </c>
      <c r="G469" s="47" t="s">
        <v>103</v>
      </c>
      <c r="H469" s="43" t="s">
        <v>37</v>
      </c>
      <c r="I469" s="48">
        <v>1</v>
      </c>
      <c r="J469" s="49">
        <v>5000</v>
      </c>
      <c r="K469" s="49">
        <v>5000</v>
      </c>
      <c r="L469" s="47" t="s">
        <v>22</v>
      </c>
      <c r="M469" s="46">
        <v>0</v>
      </c>
      <c r="N469" s="48">
        <v>4</v>
      </c>
      <c r="O469" s="47" t="s">
        <v>33</v>
      </c>
    </row>
    <row r="470" ht="14.25" customHeight="1" spans="1:15">
      <c r="A470" s="43" t="s">
        <v>1111</v>
      </c>
      <c r="B470" s="44">
        <v>46113</v>
      </c>
      <c r="C470" s="45">
        <v>0.866666666666667</v>
      </c>
      <c r="D470" s="46">
        <f t="shared" si="0"/>
        <v>20</v>
      </c>
      <c r="E470" s="47" t="str">
        <f t="shared" si="1"/>
        <v>Wednesday</v>
      </c>
      <c r="F470" s="47" t="s">
        <v>43</v>
      </c>
      <c r="G470" s="47" t="s">
        <v>63</v>
      </c>
      <c r="H470" s="43" t="s">
        <v>18</v>
      </c>
      <c r="I470" s="48">
        <v>1</v>
      </c>
      <c r="J470" s="49">
        <v>1500</v>
      </c>
      <c r="K470" s="50">
        <v>1275</v>
      </c>
      <c r="L470" s="47" t="s">
        <v>32</v>
      </c>
      <c r="M470" s="51">
        <v>0.15</v>
      </c>
      <c r="N470" s="48">
        <v>4</v>
      </c>
      <c r="O470" s="47" t="s">
        <v>24</v>
      </c>
    </row>
    <row r="471" ht="14.25" customHeight="1" spans="1:15">
      <c r="A471" s="43" t="s">
        <v>1112</v>
      </c>
      <c r="B471" s="44">
        <v>46113</v>
      </c>
      <c r="C471" s="45">
        <v>0.870138888888889</v>
      </c>
      <c r="D471" s="46">
        <f t="shared" si="0"/>
        <v>20</v>
      </c>
      <c r="E471" s="47" t="str">
        <f t="shared" si="1"/>
        <v>Wednesday</v>
      </c>
      <c r="F471" s="47" t="s">
        <v>107</v>
      </c>
      <c r="G471" s="47" t="s">
        <v>63</v>
      </c>
      <c r="H471" s="43" t="s">
        <v>18</v>
      </c>
      <c r="I471" s="48">
        <v>1</v>
      </c>
      <c r="J471" s="49">
        <v>1500</v>
      </c>
      <c r="K471" s="49">
        <v>1500</v>
      </c>
      <c r="L471" s="47" t="s">
        <v>22</v>
      </c>
      <c r="M471" s="46">
        <v>0</v>
      </c>
      <c r="N471" s="48">
        <v>4</v>
      </c>
      <c r="O471" s="47" t="s">
        <v>40</v>
      </c>
    </row>
    <row r="472" ht="14.25" customHeight="1" spans="1:15">
      <c r="A472" s="43" t="s">
        <v>1113</v>
      </c>
      <c r="B472" s="44">
        <v>46026</v>
      </c>
      <c r="C472" s="45">
        <v>0.966666666666667</v>
      </c>
      <c r="D472" s="46">
        <f t="shared" si="0"/>
        <v>23</v>
      </c>
      <c r="E472" s="47" t="str">
        <f t="shared" si="1"/>
        <v>Sunday</v>
      </c>
      <c r="F472" s="47" t="s">
        <v>43</v>
      </c>
      <c r="G472" s="47" t="s">
        <v>95</v>
      </c>
      <c r="H472" s="43" t="s">
        <v>45</v>
      </c>
      <c r="I472" s="48">
        <v>1</v>
      </c>
      <c r="J472" s="49">
        <v>5000</v>
      </c>
      <c r="K472" s="49">
        <v>5000</v>
      </c>
      <c r="L472" s="47" t="s">
        <v>32</v>
      </c>
      <c r="M472" s="46">
        <v>0</v>
      </c>
      <c r="N472" s="48" t="s">
        <v>23</v>
      </c>
      <c r="O472" s="47" t="s">
        <v>40</v>
      </c>
    </row>
    <row r="473" ht="14.25" customHeight="1" spans="1:15">
      <c r="A473" s="43" t="s">
        <v>1116</v>
      </c>
      <c r="B473" s="44">
        <v>46114</v>
      </c>
      <c r="C473" s="45">
        <v>0.545833333333333</v>
      </c>
      <c r="D473" s="46">
        <f t="shared" si="0"/>
        <v>13</v>
      </c>
      <c r="E473" s="47" t="str">
        <f t="shared" si="1"/>
        <v>Thursday</v>
      </c>
      <c r="F473" s="47" t="s">
        <v>43</v>
      </c>
      <c r="G473" s="43" t="s">
        <v>199</v>
      </c>
      <c r="H473" s="43" t="s">
        <v>18</v>
      </c>
      <c r="I473" s="48">
        <v>1</v>
      </c>
      <c r="J473" s="49">
        <v>3000</v>
      </c>
      <c r="K473" s="49">
        <v>3000</v>
      </c>
      <c r="L473" s="47" t="s">
        <v>22</v>
      </c>
      <c r="M473" s="46">
        <v>0</v>
      </c>
      <c r="N473" s="48" t="s">
        <v>23</v>
      </c>
      <c r="O473" s="47" t="s">
        <v>40</v>
      </c>
    </row>
    <row r="474" ht="14.25" customHeight="1" spans="1:15">
      <c r="A474" s="43" t="s">
        <v>1119</v>
      </c>
      <c r="B474" s="44">
        <v>46114</v>
      </c>
      <c r="C474" s="45">
        <v>0.632638888888889</v>
      </c>
      <c r="D474" s="46">
        <f t="shared" si="0"/>
        <v>15</v>
      </c>
      <c r="E474" s="47" t="str">
        <f t="shared" si="1"/>
        <v>Thursday</v>
      </c>
      <c r="F474" s="47" t="s">
        <v>107</v>
      </c>
      <c r="G474" s="47" t="s">
        <v>367</v>
      </c>
      <c r="H474" s="43" t="s">
        <v>109</v>
      </c>
      <c r="I474" s="48">
        <v>1</v>
      </c>
      <c r="J474" s="49">
        <v>7000</v>
      </c>
      <c r="K474" s="49">
        <v>7000</v>
      </c>
      <c r="L474" s="47" t="s">
        <v>22</v>
      </c>
      <c r="M474" s="46">
        <v>0</v>
      </c>
      <c r="N474" s="48">
        <v>5</v>
      </c>
      <c r="O474" s="47" t="s">
        <v>40</v>
      </c>
    </row>
    <row r="475" ht="14.25" customHeight="1" spans="1:15">
      <c r="A475" s="43" t="s">
        <v>1121</v>
      </c>
      <c r="B475" s="44">
        <v>46114</v>
      </c>
      <c r="C475" s="45">
        <v>0.831944444444444</v>
      </c>
      <c r="D475" s="46">
        <f t="shared" si="0"/>
        <v>19</v>
      </c>
      <c r="E475" s="47" t="str">
        <f t="shared" si="1"/>
        <v>Thursday</v>
      </c>
      <c r="F475" s="47" t="s">
        <v>43</v>
      </c>
      <c r="G475" s="47" t="s">
        <v>81</v>
      </c>
      <c r="H475" s="43" t="s">
        <v>37</v>
      </c>
      <c r="I475" s="48">
        <v>1</v>
      </c>
      <c r="J475" s="49">
        <v>6000</v>
      </c>
      <c r="K475" s="49">
        <v>6000</v>
      </c>
      <c r="L475" s="47" t="s">
        <v>22</v>
      </c>
      <c r="M475" s="46">
        <v>0</v>
      </c>
      <c r="N475" s="48" t="s">
        <v>23</v>
      </c>
      <c r="O475" s="47" t="s">
        <v>33</v>
      </c>
    </row>
    <row r="476" ht="14.25" customHeight="1" spans="1:15">
      <c r="A476" s="43" t="s">
        <v>1122</v>
      </c>
      <c r="B476" s="44">
        <v>46057</v>
      </c>
      <c r="C476" s="45">
        <v>0.884722222222222</v>
      </c>
      <c r="D476" s="46">
        <f t="shared" si="0"/>
        <v>21</v>
      </c>
      <c r="E476" s="47" t="str">
        <f t="shared" si="1"/>
        <v>Wednesday</v>
      </c>
      <c r="F476" s="47" t="s">
        <v>107</v>
      </c>
      <c r="G476" s="47" t="s">
        <v>81</v>
      </c>
      <c r="H476" s="43" t="s">
        <v>37</v>
      </c>
      <c r="I476" s="48">
        <v>1</v>
      </c>
      <c r="J476" s="50">
        <v>6000</v>
      </c>
      <c r="K476" s="49">
        <v>6000</v>
      </c>
      <c r="L476" s="47" t="s">
        <v>32</v>
      </c>
      <c r="M476" s="46">
        <v>0</v>
      </c>
      <c r="N476" s="48">
        <v>5</v>
      </c>
      <c r="O476" s="47" t="s">
        <v>73</v>
      </c>
    </row>
    <row r="477" ht="14.25" customHeight="1" spans="1:15">
      <c r="A477" s="43" t="s">
        <v>1124</v>
      </c>
      <c r="B477" s="44">
        <v>46057</v>
      </c>
      <c r="C477" s="45">
        <v>0.897916666666667</v>
      </c>
      <c r="D477" s="46">
        <f t="shared" si="0"/>
        <v>21</v>
      </c>
      <c r="E477" s="47" t="str">
        <f t="shared" si="1"/>
        <v>Wednesday</v>
      </c>
      <c r="F477" s="47" t="s">
        <v>16</v>
      </c>
      <c r="G477" s="47" t="s">
        <v>57</v>
      </c>
      <c r="H477" s="43" t="s">
        <v>28</v>
      </c>
      <c r="I477" s="48">
        <v>1</v>
      </c>
      <c r="J477" s="49">
        <v>18000</v>
      </c>
      <c r="K477" s="49">
        <v>18000</v>
      </c>
      <c r="L477" s="47" t="s">
        <v>22</v>
      </c>
      <c r="M477" s="46">
        <v>0</v>
      </c>
      <c r="N477" s="48">
        <v>5</v>
      </c>
      <c r="O477" s="47" t="s">
        <v>40</v>
      </c>
    </row>
    <row r="478" ht="14.25" customHeight="1" spans="1:15">
      <c r="A478" s="43" t="s">
        <v>1125</v>
      </c>
      <c r="B478" s="44">
        <v>46057</v>
      </c>
      <c r="C478" s="45">
        <v>0.905555555555556</v>
      </c>
      <c r="D478" s="46">
        <f t="shared" si="0"/>
        <v>21</v>
      </c>
      <c r="E478" s="47" t="str">
        <f t="shared" si="1"/>
        <v>Wednesday</v>
      </c>
      <c r="F478" s="47" t="s">
        <v>16</v>
      </c>
      <c r="G478" s="47" t="s">
        <v>50</v>
      </c>
      <c r="H478" s="43" t="s">
        <v>28</v>
      </c>
      <c r="I478" s="48">
        <v>2</v>
      </c>
      <c r="J478" s="49">
        <v>25000</v>
      </c>
      <c r="K478" s="49">
        <v>50000</v>
      </c>
      <c r="L478" s="47" t="s">
        <v>32</v>
      </c>
      <c r="M478" s="46">
        <v>0</v>
      </c>
      <c r="N478" s="48" t="s">
        <v>23</v>
      </c>
      <c r="O478" s="47" t="s">
        <v>47</v>
      </c>
    </row>
    <row r="479" ht="14.25" customHeight="1" spans="1:15">
      <c r="A479" s="43" t="s">
        <v>1126</v>
      </c>
      <c r="B479" s="44">
        <v>46114</v>
      </c>
      <c r="C479" s="45">
        <v>0.947916666666667</v>
      </c>
      <c r="D479" s="46">
        <f t="shared" si="0"/>
        <v>22</v>
      </c>
      <c r="E479" s="47" t="str">
        <f t="shared" si="1"/>
        <v>Thursday</v>
      </c>
      <c r="F479" s="47" t="s">
        <v>107</v>
      </c>
      <c r="G479" s="47" t="s">
        <v>63</v>
      </c>
      <c r="H479" s="43" t="s">
        <v>18</v>
      </c>
      <c r="I479" s="48">
        <v>1</v>
      </c>
      <c r="J479" s="50">
        <v>1500</v>
      </c>
      <c r="K479" s="49">
        <f>I479*J479</f>
        <v>1500</v>
      </c>
      <c r="L479" s="47" t="s">
        <v>22</v>
      </c>
      <c r="M479" s="46">
        <v>0</v>
      </c>
      <c r="N479" s="48" t="s">
        <v>23</v>
      </c>
      <c r="O479" s="47" t="s">
        <v>33</v>
      </c>
    </row>
    <row r="480" ht="14.25" customHeight="1" spans="1:15">
      <c r="A480" s="43" t="s">
        <v>1128</v>
      </c>
      <c r="B480" s="44">
        <v>46114</v>
      </c>
      <c r="C480" s="45">
        <v>0.951388888888889</v>
      </c>
      <c r="D480" s="46">
        <f t="shared" si="0"/>
        <v>22</v>
      </c>
      <c r="E480" s="47" t="str">
        <f t="shared" si="1"/>
        <v>Thursday</v>
      </c>
      <c r="F480" s="47" t="s">
        <v>43</v>
      </c>
      <c r="G480" s="47" t="s">
        <v>146</v>
      </c>
      <c r="H480" s="43" t="s">
        <v>28</v>
      </c>
      <c r="I480" s="48">
        <v>1</v>
      </c>
      <c r="J480" s="49">
        <v>16000</v>
      </c>
      <c r="K480" s="49">
        <v>16000</v>
      </c>
      <c r="L480" s="47" t="s">
        <v>22</v>
      </c>
      <c r="M480" s="46">
        <v>0</v>
      </c>
      <c r="N480" s="48" t="s">
        <v>23</v>
      </c>
      <c r="O480" s="47" t="s">
        <v>24</v>
      </c>
    </row>
    <row r="481" ht="14.25" customHeight="1" spans="1:15">
      <c r="A481" s="43" t="s">
        <v>1129</v>
      </c>
      <c r="B481" s="44">
        <v>46114</v>
      </c>
      <c r="C481" s="45">
        <v>0.954166666666667</v>
      </c>
      <c r="D481" s="46">
        <f t="shared" si="0"/>
        <v>22</v>
      </c>
      <c r="E481" s="47" t="str">
        <f t="shared" si="1"/>
        <v>Thursday</v>
      </c>
      <c r="F481" s="47" t="s">
        <v>16</v>
      </c>
      <c r="G481" s="47" t="s">
        <v>103</v>
      </c>
      <c r="H481" s="43" t="s">
        <v>37</v>
      </c>
      <c r="I481" s="48">
        <v>1</v>
      </c>
      <c r="J481" s="49">
        <v>5000</v>
      </c>
      <c r="K481" s="49">
        <v>5000</v>
      </c>
      <c r="L481" s="47" t="s">
        <v>32</v>
      </c>
      <c r="M481" s="46">
        <v>0</v>
      </c>
      <c r="N481" s="48" t="s">
        <v>23</v>
      </c>
      <c r="O481" s="47" t="s">
        <v>33</v>
      </c>
    </row>
    <row r="482" ht="14.25" customHeight="1" spans="1:15">
      <c r="A482" s="43" t="s">
        <v>1130</v>
      </c>
      <c r="B482" s="44">
        <v>46114</v>
      </c>
      <c r="C482" s="45">
        <v>0.970138888888889</v>
      </c>
      <c r="D482" s="46">
        <f t="shared" si="0"/>
        <v>23</v>
      </c>
      <c r="E482" s="47" t="str">
        <f t="shared" si="1"/>
        <v>Thursday</v>
      </c>
      <c r="F482" s="47" t="s">
        <v>43</v>
      </c>
      <c r="G482" s="47" t="s">
        <v>44</v>
      </c>
      <c r="H482" s="43" t="s">
        <v>45</v>
      </c>
      <c r="I482" s="48">
        <v>2</v>
      </c>
      <c r="J482" s="49">
        <v>4000</v>
      </c>
      <c r="K482" s="49">
        <v>8000</v>
      </c>
      <c r="L482" s="47" t="s">
        <v>22</v>
      </c>
      <c r="M482" s="46">
        <v>0</v>
      </c>
      <c r="N482" s="48" t="s">
        <v>23</v>
      </c>
      <c r="O482" s="47" t="s">
        <v>24</v>
      </c>
    </row>
    <row r="483" ht="14.25" customHeight="1" spans="1:15">
      <c r="A483" s="43" t="s">
        <v>1132</v>
      </c>
      <c r="B483" s="44">
        <v>46115</v>
      </c>
      <c r="C483" s="45">
        <v>0.6625</v>
      </c>
      <c r="D483" s="46">
        <f t="shared" si="0"/>
        <v>15</v>
      </c>
      <c r="E483" s="47" t="str">
        <f t="shared" si="1"/>
        <v>Friday</v>
      </c>
      <c r="F483" s="47" t="s">
        <v>43</v>
      </c>
      <c r="G483" s="47" t="s">
        <v>27</v>
      </c>
      <c r="H483" s="43" t="s">
        <v>28</v>
      </c>
      <c r="I483" s="48">
        <v>1</v>
      </c>
      <c r="J483" s="49">
        <v>15000</v>
      </c>
      <c r="K483" s="49">
        <v>15000</v>
      </c>
      <c r="L483" s="47" t="s">
        <v>32</v>
      </c>
      <c r="M483" s="46">
        <v>0</v>
      </c>
      <c r="N483" s="48">
        <v>4</v>
      </c>
      <c r="O483" s="47" t="s">
        <v>24</v>
      </c>
    </row>
    <row r="484" ht="14.25" customHeight="1" spans="1:15">
      <c r="A484" s="43" t="s">
        <v>1135</v>
      </c>
      <c r="B484" s="44">
        <v>46115</v>
      </c>
      <c r="C484" s="45">
        <v>0.672222222222222</v>
      </c>
      <c r="D484" s="46">
        <f t="shared" si="0"/>
        <v>16</v>
      </c>
      <c r="E484" s="47" t="str">
        <f t="shared" si="1"/>
        <v>Friday</v>
      </c>
      <c r="F484" s="47" t="s">
        <v>16</v>
      </c>
      <c r="G484" s="47" t="s">
        <v>50</v>
      </c>
      <c r="H484" s="43" t="s">
        <v>28</v>
      </c>
      <c r="I484" s="48">
        <v>2</v>
      </c>
      <c r="J484" s="49">
        <v>25000</v>
      </c>
      <c r="K484" s="50">
        <v>42500</v>
      </c>
      <c r="L484" s="47" t="s">
        <v>22</v>
      </c>
      <c r="M484" s="51">
        <v>0.15</v>
      </c>
      <c r="N484" s="48" t="s">
        <v>23</v>
      </c>
      <c r="O484" s="47" t="s">
        <v>47</v>
      </c>
    </row>
    <row r="485" ht="14.25" customHeight="1" spans="1:15">
      <c r="A485" s="43" t="s">
        <v>1138</v>
      </c>
      <c r="B485" s="44">
        <v>46115</v>
      </c>
      <c r="C485" s="45">
        <v>0.759722222222222</v>
      </c>
      <c r="D485" s="46">
        <f t="shared" si="0"/>
        <v>18</v>
      </c>
      <c r="E485" s="47" t="str">
        <f t="shared" si="1"/>
        <v>Friday</v>
      </c>
      <c r="F485" s="47" t="s">
        <v>16</v>
      </c>
      <c r="G485" s="43" t="s">
        <v>36</v>
      </c>
      <c r="H485" s="43" t="s">
        <v>37</v>
      </c>
      <c r="I485" s="48">
        <v>1</v>
      </c>
      <c r="J485" s="49">
        <v>3000</v>
      </c>
      <c r="K485" s="49">
        <v>3000</v>
      </c>
      <c r="L485" s="47" t="s">
        <v>22</v>
      </c>
      <c r="M485" s="46">
        <v>0</v>
      </c>
      <c r="N485" s="48">
        <v>3</v>
      </c>
      <c r="O485" s="47" t="s">
        <v>24</v>
      </c>
    </row>
    <row r="486" ht="14.25" customHeight="1" spans="1:15">
      <c r="A486" s="43" t="s">
        <v>1140</v>
      </c>
      <c r="B486" s="44">
        <v>46115</v>
      </c>
      <c r="C486" s="45">
        <v>0.830555555555556</v>
      </c>
      <c r="D486" s="46">
        <f t="shared" si="0"/>
        <v>19</v>
      </c>
      <c r="E486" s="47" t="str">
        <f t="shared" si="1"/>
        <v>Friday</v>
      </c>
      <c r="F486" s="47" t="s">
        <v>16</v>
      </c>
      <c r="G486" s="47" t="s">
        <v>27</v>
      </c>
      <c r="H486" s="43" t="s">
        <v>28</v>
      </c>
      <c r="I486" s="48">
        <v>1</v>
      </c>
      <c r="J486" s="49">
        <v>15000</v>
      </c>
      <c r="K486" s="50">
        <v>15000</v>
      </c>
      <c r="L486" s="47" t="s">
        <v>22</v>
      </c>
      <c r="M486" s="46">
        <v>0</v>
      </c>
      <c r="N486" s="48" t="s">
        <v>23</v>
      </c>
      <c r="O486" s="47" t="s">
        <v>24</v>
      </c>
    </row>
    <row r="487" ht="14.25" customHeight="1" spans="1:15">
      <c r="A487" s="43" t="s">
        <v>1144</v>
      </c>
      <c r="B487" s="44">
        <v>46115</v>
      </c>
      <c r="C487" s="45">
        <v>0.83125</v>
      </c>
      <c r="D487" s="46">
        <f t="shared" si="0"/>
        <v>19</v>
      </c>
      <c r="E487" s="47" t="str">
        <f t="shared" si="1"/>
        <v>Friday</v>
      </c>
      <c r="F487" s="47" t="s">
        <v>43</v>
      </c>
      <c r="G487" s="47" t="s">
        <v>27</v>
      </c>
      <c r="H487" s="43" t="s">
        <v>28</v>
      </c>
      <c r="I487" s="48">
        <v>1</v>
      </c>
      <c r="J487" s="49">
        <v>15000</v>
      </c>
      <c r="K487" s="49">
        <v>15000</v>
      </c>
      <c r="L487" s="47" t="s">
        <v>22</v>
      </c>
      <c r="M487" s="46">
        <v>0</v>
      </c>
      <c r="N487" s="48" t="s">
        <v>23</v>
      </c>
      <c r="O487" s="47" t="s">
        <v>47</v>
      </c>
    </row>
    <row r="488" ht="14.25" customHeight="1" spans="1:15">
      <c r="A488" s="43" t="s">
        <v>1146</v>
      </c>
      <c r="B488" s="44">
        <v>46085</v>
      </c>
      <c r="C488" s="45">
        <v>0.870138888888889</v>
      </c>
      <c r="D488" s="46">
        <f t="shared" si="0"/>
        <v>20</v>
      </c>
      <c r="E488" s="47" t="str">
        <f t="shared" si="1"/>
        <v>Wednesday</v>
      </c>
      <c r="F488" s="47" t="s">
        <v>16</v>
      </c>
      <c r="G488" s="43" t="s">
        <v>165</v>
      </c>
      <c r="H488" s="43" t="str">
        <f>VLOOKUP(G488,'02_Menu_Lookup'!$A$2:$C$16,2,FALSE)</f>
        <v>Desserts</v>
      </c>
      <c r="I488" s="48">
        <v>1</v>
      </c>
      <c r="J488" s="49">
        <v>6000</v>
      </c>
      <c r="K488" s="50">
        <v>5400</v>
      </c>
      <c r="L488" s="47" t="s">
        <v>22</v>
      </c>
      <c r="M488" s="51">
        <v>0.1</v>
      </c>
      <c r="N488" s="48">
        <v>4</v>
      </c>
      <c r="O488" s="47" t="s">
        <v>40</v>
      </c>
    </row>
    <row r="489" ht="14.25" customHeight="1" spans="1:15">
      <c r="A489" s="43" t="s">
        <v>1149</v>
      </c>
      <c r="B489" s="44">
        <v>46115</v>
      </c>
      <c r="C489" s="45">
        <v>0.873611111111111</v>
      </c>
      <c r="D489" s="46">
        <f t="shared" si="0"/>
        <v>20</v>
      </c>
      <c r="E489" s="47" t="str">
        <f t="shared" si="1"/>
        <v>Friday</v>
      </c>
      <c r="F489" s="47" t="s">
        <v>107</v>
      </c>
      <c r="G489" s="47" t="s">
        <v>27</v>
      </c>
      <c r="H489" s="43" t="str">
        <f>VLOOKUP(G489,'02_Menu_Lookup'!$A$2:$C$16,2,FALSE)</f>
        <v>Grills</v>
      </c>
      <c r="I489" s="48">
        <v>1</v>
      </c>
      <c r="J489" s="49">
        <v>15000</v>
      </c>
      <c r="K489" s="49">
        <v>15000</v>
      </c>
      <c r="L489" s="47" t="s">
        <v>22</v>
      </c>
      <c r="M489" s="46">
        <v>0</v>
      </c>
      <c r="N489" s="48">
        <v>4</v>
      </c>
      <c r="O489" s="47" t="s">
        <v>33</v>
      </c>
    </row>
    <row r="490" ht="14.25" customHeight="1" spans="1:15">
      <c r="A490" s="43" t="s">
        <v>1151</v>
      </c>
      <c r="B490" s="44">
        <v>46085</v>
      </c>
      <c r="C490" s="45">
        <v>0.8875</v>
      </c>
      <c r="D490" s="46">
        <f t="shared" si="0"/>
        <v>21</v>
      </c>
      <c r="E490" s="47" t="str">
        <f t="shared" si="1"/>
        <v>Wednesday</v>
      </c>
      <c r="F490" s="47" t="s">
        <v>16</v>
      </c>
      <c r="G490" s="47" t="s">
        <v>103</v>
      </c>
      <c r="H490" s="43" t="s">
        <v>37</v>
      </c>
      <c r="I490" s="48">
        <v>2</v>
      </c>
      <c r="J490" s="49">
        <v>5000</v>
      </c>
      <c r="K490" s="49">
        <v>10000</v>
      </c>
      <c r="L490" s="47" t="s">
        <v>22</v>
      </c>
      <c r="M490" s="46">
        <v>0</v>
      </c>
      <c r="N490" s="48">
        <v>5</v>
      </c>
      <c r="O490" s="47" t="s">
        <v>47</v>
      </c>
    </row>
    <row r="491" ht="14.25" customHeight="1" spans="1:15">
      <c r="A491" s="43" t="s">
        <v>1153</v>
      </c>
      <c r="B491" s="44">
        <v>46085</v>
      </c>
      <c r="C491" s="45">
        <v>0.889583333333333</v>
      </c>
      <c r="D491" s="46">
        <f t="shared" si="0"/>
        <v>21</v>
      </c>
      <c r="E491" s="47" t="str">
        <f t="shared" si="1"/>
        <v>Wednesday</v>
      </c>
      <c r="F491" s="47" t="s">
        <v>16</v>
      </c>
      <c r="G491" s="47" t="s">
        <v>27</v>
      </c>
      <c r="H491" s="43" t="s">
        <v>28</v>
      </c>
      <c r="I491" s="48">
        <v>1</v>
      </c>
      <c r="J491" s="49">
        <v>15000</v>
      </c>
      <c r="K491" s="50">
        <v>12000</v>
      </c>
      <c r="L491" s="47" t="s">
        <v>22</v>
      </c>
      <c r="M491" s="51">
        <v>0.2</v>
      </c>
      <c r="N491" s="48" t="s">
        <v>23</v>
      </c>
      <c r="O491" s="47" t="s">
        <v>40</v>
      </c>
    </row>
    <row r="492" ht="14.25" customHeight="1" spans="1:15">
      <c r="A492" s="43" t="s">
        <v>1154</v>
      </c>
      <c r="B492" s="44">
        <v>46115</v>
      </c>
      <c r="C492" s="45">
        <v>0.895833333333333</v>
      </c>
      <c r="D492" s="46">
        <f t="shared" si="0"/>
        <v>21</v>
      </c>
      <c r="E492" s="47" t="str">
        <f t="shared" si="1"/>
        <v>Friday</v>
      </c>
      <c r="F492" s="47" t="s">
        <v>107</v>
      </c>
      <c r="G492" s="47" t="s">
        <v>63</v>
      </c>
      <c r="H492" s="43" t="s">
        <v>18</v>
      </c>
      <c r="I492" s="48">
        <v>1</v>
      </c>
      <c r="J492" s="49">
        <v>1500</v>
      </c>
      <c r="K492" s="49">
        <v>1500</v>
      </c>
      <c r="L492" s="47" t="s">
        <v>32</v>
      </c>
      <c r="M492" s="46">
        <v>0</v>
      </c>
      <c r="N492" s="48">
        <v>3</v>
      </c>
      <c r="O492" s="47" t="s">
        <v>33</v>
      </c>
    </row>
    <row r="493" ht="14.25" customHeight="1" spans="1:15">
      <c r="A493" s="43" t="s">
        <v>1155</v>
      </c>
      <c r="B493" s="44">
        <v>46115</v>
      </c>
      <c r="C493" s="45">
        <v>0.9125</v>
      </c>
      <c r="D493" s="46">
        <f t="shared" si="0"/>
        <v>21</v>
      </c>
      <c r="E493" s="47" t="str">
        <f t="shared" si="1"/>
        <v>Friday</v>
      </c>
      <c r="F493" s="47" t="s">
        <v>16</v>
      </c>
      <c r="G493" s="47" t="s">
        <v>146</v>
      </c>
      <c r="H493" s="43" t="s">
        <v>28</v>
      </c>
      <c r="I493" s="48">
        <v>1</v>
      </c>
      <c r="J493" s="49">
        <f>K493/I493</f>
        <v>16000</v>
      </c>
      <c r="K493" s="49">
        <v>16000</v>
      </c>
      <c r="L493" s="47" t="s">
        <v>22</v>
      </c>
      <c r="M493" s="46">
        <v>0</v>
      </c>
      <c r="N493" s="48" t="s">
        <v>23</v>
      </c>
      <c r="O493" s="47" t="s">
        <v>73</v>
      </c>
    </row>
    <row r="494" ht="14.25" customHeight="1" spans="1:15">
      <c r="A494" s="43" t="s">
        <v>1156</v>
      </c>
      <c r="B494" s="44">
        <v>46115</v>
      </c>
      <c r="C494" s="45">
        <v>0.920138888888889</v>
      </c>
      <c r="D494" s="46">
        <f t="shared" si="0"/>
        <v>22</v>
      </c>
      <c r="E494" s="47" t="str">
        <f t="shared" si="1"/>
        <v>Friday</v>
      </c>
      <c r="F494" s="47" t="s">
        <v>16</v>
      </c>
      <c r="G494" s="47" t="s">
        <v>27</v>
      </c>
      <c r="H494" s="43" t="s">
        <v>28</v>
      </c>
      <c r="I494" s="48">
        <v>1</v>
      </c>
      <c r="J494" s="49">
        <v>15000</v>
      </c>
      <c r="K494" s="49">
        <v>15000</v>
      </c>
      <c r="L494" s="47" t="s">
        <v>22</v>
      </c>
      <c r="M494" s="46">
        <v>0</v>
      </c>
      <c r="N494" s="48" t="s">
        <v>23</v>
      </c>
      <c r="O494" s="47" t="s">
        <v>33</v>
      </c>
    </row>
    <row r="495" ht="14.25" customHeight="1" spans="1:15">
      <c r="A495" s="43" t="s">
        <v>1157</v>
      </c>
      <c r="B495" s="44">
        <v>46115</v>
      </c>
      <c r="C495" s="45">
        <v>0.936805555555556</v>
      </c>
      <c r="D495" s="46">
        <f t="shared" si="0"/>
        <v>22</v>
      </c>
      <c r="E495" s="47" t="str">
        <f t="shared" si="1"/>
        <v>Friday</v>
      </c>
      <c r="F495" s="47" t="s">
        <v>107</v>
      </c>
      <c r="G495" s="47" t="s">
        <v>63</v>
      </c>
      <c r="H495" s="43" t="s">
        <v>18</v>
      </c>
      <c r="I495" s="48">
        <v>1</v>
      </c>
      <c r="J495" s="49">
        <v>1500</v>
      </c>
      <c r="K495" s="49">
        <v>1500</v>
      </c>
      <c r="L495" s="47" t="s">
        <v>22</v>
      </c>
      <c r="M495" s="46">
        <v>0</v>
      </c>
      <c r="N495" s="48">
        <v>5</v>
      </c>
      <c r="O495" s="47" t="s">
        <v>40</v>
      </c>
    </row>
    <row r="496" ht="14.25" customHeight="1" spans="1:15">
      <c r="A496" s="43" t="s">
        <v>1159</v>
      </c>
      <c r="B496" s="44">
        <v>46115</v>
      </c>
      <c r="C496" s="45">
        <v>0.956944444444444</v>
      </c>
      <c r="D496" s="46">
        <f t="shared" si="0"/>
        <v>22</v>
      </c>
      <c r="E496" s="47" t="str">
        <f t="shared" si="1"/>
        <v>Friday</v>
      </c>
      <c r="F496" s="47" t="s">
        <v>16</v>
      </c>
      <c r="G496" s="47" t="s">
        <v>27</v>
      </c>
      <c r="H496" s="43" t="s">
        <v>28</v>
      </c>
      <c r="I496" s="48">
        <v>1</v>
      </c>
      <c r="J496" s="49">
        <v>15000</v>
      </c>
      <c r="K496" s="49">
        <v>15000</v>
      </c>
      <c r="L496" s="47" t="s">
        <v>32</v>
      </c>
      <c r="M496" s="46">
        <v>0</v>
      </c>
      <c r="N496" s="48">
        <v>4</v>
      </c>
      <c r="O496" s="47" t="s">
        <v>73</v>
      </c>
    </row>
    <row r="497" ht="14.25" customHeight="1" spans="1:15">
      <c r="A497" s="43" t="s">
        <v>1160</v>
      </c>
      <c r="B497" s="44">
        <v>46116</v>
      </c>
      <c r="C497" s="45">
        <v>0.534722222222222</v>
      </c>
      <c r="D497" s="46">
        <f t="shared" si="0"/>
        <v>12</v>
      </c>
      <c r="E497" s="47" t="str">
        <f t="shared" si="1"/>
        <v>Saturday</v>
      </c>
      <c r="F497" s="47" t="s">
        <v>16</v>
      </c>
      <c r="G497" s="47" t="s">
        <v>103</v>
      </c>
      <c r="H497" s="43" t="s">
        <v>37</v>
      </c>
      <c r="I497" s="48">
        <v>1</v>
      </c>
      <c r="J497" s="49">
        <v>5000</v>
      </c>
      <c r="K497" s="50">
        <v>4250</v>
      </c>
      <c r="L497" s="47" t="s">
        <v>22</v>
      </c>
      <c r="M497" s="51">
        <v>0.15</v>
      </c>
      <c r="N497" s="48" t="s">
        <v>23</v>
      </c>
      <c r="O497" s="47" t="s">
        <v>47</v>
      </c>
    </row>
    <row r="498" ht="14.25" customHeight="1" spans="1:15">
      <c r="A498" s="43" t="s">
        <v>1163</v>
      </c>
      <c r="B498" s="44">
        <v>46116</v>
      </c>
      <c r="C498" s="45">
        <v>0.568055555555556</v>
      </c>
      <c r="D498" s="46">
        <f t="shared" si="0"/>
        <v>13</v>
      </c>
      <c r="E498" s="47" t="str">
        <f t="shared" si="1"/>
        <v>Saturday</v>
      </c>
      <c r="F498" s="47" t="s">
        <v>107</v>
      </c>
      <c r="G498" s="43" t="s">
        <v>36</v>
      </c>
      <c r="H498" s="43" t="str">
        <f>VLOOKUP(G498,'02_Menu_Lookup'!$A$2:$C$16,2,FALSE)</f>
        <v>Sandwiches</v>
      </c>
      <c r="I498" s="48">
        <v>1</v>
      </c>
      <c r="J498" s="49">
        <v>3000</v>
      </c>
      <c r="K498" s="49">
        <v>3000</v>
      </c>
      <c r="L498" s="47" t="s">
        <v>32</v>
      </c>
      <c r="M498" s="46">
        <v>0</v>
      </c>
      <c r="N498" s="48" t="s">
        <v>23</v>
      </c>
      <c r="O498" s="47" t="s">
        <v>40</v>
      </c>
    </row>
    <row r="499" ht="14.25" customHeight="1" spans="1:15">
      <c r="A499" s="43" t="s">
        <v>1165</v>
      </c>
      <c r="B499" s="44">
        <v>46116</v>
      </c>
      <c r="C499" s="45">
        <v>0.571527777777778</v>
      </c>
      <c r="D499" s="46">
        <f t="shared" si="0"/>
        <v>13</v>
      </c>
      <c r="E499" s="47" t="str">
        <f t="shared" si="1"/>
        <v>Saturday</v>
      </c>
      <c r="F499" s="47" t="s">
        <v>16</v>
      </c>
      <c r="G499" s="47" t="s">
        <v>44</v>
      </c>
      <c r="H499" s="43" t="s">
        <v>45</v>
      </c>
      <c r="I499" s="48">
        <v>2</v>
      </c>
      <c r="J499" s="49">
        <v>4000</v>
      </c>
      <c r="K499" s="49">
        <v>8000</v>
      </c>
      <c r="L499" s="47" t="s">
        <v>22</v>
      </c>
      <c r="M499" s="46">
        <v>0</v>
      </c>
      <c r="N499" s="48">
        <v>4</v>
      </c>
      <c r="O499" s="47" t="s">
        <v>40</v>
      </c>
    </row>
    <row r="500" ht="14.25" customHeight="1" spans="1:15">
      <c r="A500" s="43" t="s">
        <v>1167</v>
      </c>
      <c r="B500" s="44">
        <v>46116</v>
      </c>
      <c r="C500" s="45">
        <v>0.605555555555556</v>
      </c>
      <c r="D500" s="46">
        <f t="shared" si="0"/>
        <v>14</v>
      </c>
      <c r="E500" s="47" t="str">
        <f t="shared" si="1"/>
        <v>Saturday</v>
      </c>
      <c r="F500" s="47" t="s">
        <v>16</v>
      </c>
      <c r="G500" s="47" t="s">
        <v>17</v>
      </c>
      <c r="H500" s="43" t="s">
        <v>18</v>
      </c>
      <c r="I500" s="48">
        <v>2</v>
      </c>
      <c r="J500" s="49">
        <v>1000</v>
      </c>
      <c r="K500" s="49">
        <v>2000</v>
      </c>
      <c r="L500" s="47" t="s">
        <v>22</v>
      </c>
      <c r="M500" s="46">
        <v>0</v>
      </c>
      <c r="N500" s="48" t="s">
        <v>23</v>
      </c>
      <c r="O500" s="47" t="s">
        <v>73</v>
      </c>
    </row>
    <row r="501" ht="14.25" customHeight="1" spans="1:15">
      <c r="A501" s="43" t="s">
        <v>1168</v>
      </c>
      <c r="B501" s="44">
        <v>46116</v>
      </c>
      <c r="C501" s="45">
        <v>0.815277777777778</v>
      </c>
      <c r="D501" s="46">
        <f t="shared" si="0"/>
        <v>19</v>
      </c>
      <c r="E501" s="47" t="str">
        <f t="shared" si="1"/>
        <v>Saturday</v>
      </c>
      <c r="F501" s="47" t="s">
        <v>16</v>
      </c>
      <c r="G501" s="47" t="s">
        <v>27</v>
      </c>
      <c r="H501" s="43" t="s">
        <v>28</v>
      </c>
      <c r="I501" s="48">
        <v>1</v>
      </c>
      <c r="J501" s="49">
        <v>15000</v>
      </c>
      <c r="K501" s="49">
        <v>15000</v>
      </c>
      <c r="L501" s="47" t="s">
        <v>22</v>
      </c>
      <c r="M501" s="46">
        <v>0</v>
      </c>
      <c r="N501" s="48" t="s">
        <v>23</v>
      </c>
      <c r="O501" s="47" t="s">
        <v>24</v>
      </c>
    </row>
    <row r="502" ht="14.25" customHeight="1" spans="1:15">
      <c r="A502" s="43" t="s">
        <v>1171</v>
      </c>
      <c r="B502" s="44">
        <v>46116</v>
      </c>
      <c r="C502" s="45">
        <v>0.847222222222222</v>
      </c>
      <c r="D502" s="46">
        <f t="shared" si="0"/>
        <v>20</v>
      </c>
      <c r="E502" s="47" t="str">
        <f t="shared" si="1"/>
        <v>Saturday</v>
      </c>
      <c r="F502" s="47" t="s">
        <v>16</v>
      </c>
      <c r="G502" s="47" t="s">
        <v>27</v>
      </c>
      <c r="H502" s="43" t="s">
        <v>28</v>
      </c>
      <c r="I502" s="48">
        <v>2</v>
      </c>
      <c r="J502" s="49">
        <v>15000</v>
      </c>
      <c r="K502" s="49">
        <v>30000</v>
      </c>
      <c r="L502" s="47" t="s">
        <v>22</v>
      </c>
      <c r="M502" s="46">
        <v>0</v>
      </c>
      <c r="N502" s="48" t="s">
        <v>23</v>
      </c>
      <c r="O502" s="47" t="s">
        <v>33</v>
      </c>
    </row>
    <row r="503" ht="14.25" customHeight="1" spans="1:15">
      <c r="A503" s="43" t="s">
        <v>1172</v>
      </c>
      <c r="B503" s="44">
        <v>46116</v>
      </c>
      <c r="C503" s="45">
        <v>0.860416666666667</v>
      </c>
      <c r="D503" s="46">
        <f t="shared" si="0"/>
        <v>20</v>
      </c>
      <c r="E503" s="47" t="str">
        <f t="shared" si="1"/>
        <v>Saturday</v>
      </c>
      <c r="F503" s="47" t="s">
        <v>16</v>
      </c>
      <c r="G503" s="47" t="s">
        <v>63</v>
      </c>
      <c r="H503" s="43" t="s">
        <v>18</v>
      </c>
      <c r="I503" s="48">
        <v>3</v>
      </c>
      <c r="J503" s="49">
        <v>1500</v>
      </c>
      <c r="K503" s="49">
        <v>4500</v>
      </c>
      <c r="L503" s="47" t="s">
        <v>22</v>
      </c>
      <c r="M503" s="46">
        <v>0</v>
      </c>
      <c r="N503" s="48" t="s">
        <v>23</v>
      </c>
      <c r="O503" s="47" t="s">
        <v>40</v>
      </c>
    </row>
    <row r="504" ht="14.25" customHeight="1" spans="1:15">
      <c r="A504" s="43" t="s">
        <v>1173</v>
      </c>
      <c r="B504" s="44">
        <v>46116</v>
      </c>
      <c r="C504" s="45">
        <v>0.8625</v>
      </c>
      <c r="D504" s="46">
        <f t="shared" si="0"/>
        <v>20</v>
      </c>
      <c r="E504" s="47" t="str">
        <f t="shared" si="1"/>
        <v>Saturday</v>
      </c>
      <c r="F504" s="47" t="s">
        <v>16</v>
      </c>
      <c r="G504" s="47" t="s">
        <v>81</v>
      </c>
      <c r="H504" s="43" t="s">
        <v>37</v>
      </c>
      <c r="I504" s="48">
        <v>1</v>
      </c>
      <c r="J504" s="49">
        <v>6000</v>
      </c>
      <c r="K504" s="49">
        <v>6000</v>
      </c>
      <c r="L504" s="47" t="s">
        <v>22</v>
      </c>
      <c r="M504" s="46">
        <v>0</v>
      </c>
      <c r="N504" s="48" t="s">
        <v>23</v>
      </c>
      <c r="O504" s="47" t="s">
        <v>73</v>
      </c>
    </row>
    <row r="505" ht="14.25" customHeight="1" spans="1:15">
      <c r="A505" s="43" t="s">
        <v>1174</v>
      </c>
      <c r="B505" s="44">
        <v>46116</v>
      </c>
      <c r="C505" s="45">
        <v>0.86875</v>
      </c>
      <c r="D505" s="46">
        <f t="shared" si="0"/>
        <v>20</v>
      </c>
      <c r="E505" s="47" t="str">
        <f t="shared" si="1"/>
        <v>Saturday</v>
      </c>
      <c r="F505" s="47" t="s">
        <v>43</v>
      </c>
      <c r="G505" s="47" t="s">
        <v>44</v>
      </c>
      <c r="H505" s="43" t="s">
        <v>45</v>
      </c>
      <c r="I505" s="48">
        <v>2</v>
      </c>
      <c r="J505" s="49">
        <v>4000</v>
      </c>
      <c r="K505" s="49">
        <v>8000</v>
      </c>
      <c r="L505" s="47" t="s">
        <v>22</v>
      </c>
      <c r="M505" s="46">
        <v>0</v>
      </c>
      <c r="N505" s="48" t="s">
        <v>23</v>
      </c>
      <c r="O505" s="47" t="s">
        <v>24</v>
      </c>
    </row>
    <row r="506" ht="14.25" customHeight="1" spans="1:15">
      <c r="A506" s="43" t="s">
        <v>1176</v>
      </c>
      <c r="B506" s="44">
        <v>46116</v>
      </c>
      <c r="C506" s="45">
        <v>0.93125</v>
      </c>
      <c r="D506" s="46">
        <f t="shared" si="0"/>
        <v>22</v>
      </c>
      <c r="E506" s="47" t="str">
        <f t="shared" si="1"/>
        <v>Saturday</v>
      </c>
      <c r="F506" s="47" t="s">
        <v>43</v>
      </c>
      <c r="G506" s="47" t="s">
        <v>103</v>
      </c>
      <c r="H506" s="43" t="s">
        <v>37</v>
      </c>
      <c r="I506" s="48">
        <v>2</v>
      </c>
      <c r="J506" s="49">
        <v>5000</v>
      </c>
      <c r="K506" s="49">
        <v>10000</v>
      </c>
      <c r="L506" s="47" t="s">
        <v>32</v>
      </c>
      <c r="M506" s="46">
        <v>0</v>
      </c>
      <c r="N506" s="48" t="s">
        <v>23</v>
      </c>
      <c r="O506" s="47" t="s">
        <v>73</v>
      </c>
    </row>
    <row r="507" ht="14.25" customHeight="1" spans="1:15">
      <c r="A507" s="43" t="s">
        <v>1178</v>
      </c>
      <c r="B507" s="44">
        <v>46116</v>
      </c>
      <c r="C507" s="45">
        <v>0.944444444444444</v>
      </c>
      <c r="D507" s="46">
        <f t="shared" si="0"/>
        <v>22</v>
      </c>
      <c r="E507" s="47" t="str">
        <f t="shared" si="1"/>
        <v>Saturday</v>
      </c>
      <c r="F507" s="47" t="s">
        <v>16</v>
      </c>
      <c r="G507" s="47" t="s">
        <v>103</v>
      </c>
      <c r="H507" s="43" t="s">
        <v>37</v>
      </c>
      <c r="I507" s="48">
        <f>K507/J507</f>
        <v>1</v>
      </c>
      <c r="J507" s="49">
        <v>5000</v>
      </c>
      <c r="K507" s="49">
        <v>5000</v>
      </c>
      <c r="L507" s="47" t="s">
        <v>22</v>
      </c>
      <c r="M507" s="46">
        <v>0</v>
      </c>
      <c r="N507" s="48">
        <v>5</v>
      </c>
      <c r="O507" s="47" t="s">
        <v>73</v>
      </c>
    </row>
    <row r="508" ht="14.25" customHeight="1" spans="1:15">
      <c r="A508" s="43" t="s">
        <v>1179</v>
      </c>
      <c r="B508" s="44">
        <v>46116</v>
      </c>
      <c r="C508" s="45">
        <v>0.953472222222222</v>
      </c>
      <c r="D508" s="46">
        <f t="shared" si="0"/>
        <v>22</v>
      </c>
      <c r="E508" s="47" t="str">
        <f t="shared" si="1"/>
        <v>Saturday</v>
      </c>
      <c r="F508" s="47" t="s">
        <v>43</v>
      </c>
      <c r="G508" s="47" t="s">
        <v>27</v>
      </c>
      <c r="H508" s="43" t="s">
        <v>28</v>
      </c>
      <c r="I508" s="48">
        <v>1</v>
      </c>
      <c r="J508" s="49">
        <v>15000</v>
      </c>
      <c r="K508" s="49">
        <v>15000</v>
      </c>
      <c r="L508" s="47" t="s">
        <v>22</v>
      </c>
      <c r="M508" s="46">
        <v>0</v>
      </c>
      <c r="N508" s="48">
        <v>3</v>
      </c>
      <c r="O508" s="47" t="s">
        <v>47</v>
      </c>
    </row>
    <row r="509" ht="14.25" customHeight="1" spans="1:15">
      <c r="A509" s="43" t="s">
        <v>1180</v>
      </c>
      <c r="B509" s="44">
        <v>46116</v>
      </c>
      <c r="C509" s="45">
        <v>0.982638888888889</v>
      </c>
      <c r="D509" s="46">
        <f t="shared" si="0"/>
        <v>23</v>
      </c>
      <c r="E509" s="47" t="str">
        <f t="shared" si="1"/>
        <v>Saturday</v>
      </c>
      <c r="F509" s="47" t="s">
        <v>43</v>
      </c>
      <c r="G509" s="47" t="s">
        <v>17</v>
      </c>
      <c r="H509" s="43" t="s">
        <v>18</v>
      </c>
      <c r="I509" s="48">
        <f>K509/J509</f>
        <v>1</v>
      </c>
      <c r="J509" s="49">
        <v>1000</v>
      </c>
      <c r="K509" s="49">
        <v>1000</v>
      </c>
      <c r="L509" s="47" t="s">
        <v>22</v>
      </c>
      <c r="M509" s="46">
        <v>0</v>
      </c>
      <c r="N509" s="48">
        <v>4</v>
      </c>
      <c r="O509" s="47" t="s">
        <v>33</v>
      </c>
    </row>
    <row r="510" ht="14.25" customHeight="1" spans="1:15">
      <c r="A510" s="43" t="s">
        <v>1181</v>
      </c>
      <c r="B510" s="44">
        <v>46117</v>
      </c>
      <c r="C510" s="45">
        <v>0.547222222222222</v>
      </c>
      <c r="D510" s="46">
        <f t="shared" si="0"/>
        <v>13</v>
      </c>
      <c r="E510" s="47" t="str">
        <f t="shared" si="1"/>
        <v>Sunday</v>
      </c>
      <c r="F510" s="47" t="s">
        <v>16</v>
      </c>
      <c r="G510" s="47" t="s">
        <v>17</v>
      </c>
      <c r="H510" s="43" t="s">
        <v>18</v>
      </c>
      <c r="I510" s="48">
        <v>1</v>
      </c>
      <c r="J510" s="49">
        <v>1000</v>
      </c>
      <c r="K510" s="49">
        <v>1000</v>
      </c>
      <c r="L510" s="47" t="s">
        <v>22</v>
      </c>
      <c r="M510" s="46">
        <v>0</v>
      </c>
      <c r="N510" s="48" t="s">
        <v>23</v>
      </c>
      <c r="O510" s="47" t="s">
        <v>40</v>
      </c>
    </row>
    <row r="511" ht="14.25" customHeight="1" spans="1:15">
      <c r="A511" s="43" t="s">
        <v>1184</v>
      </c>
      <c r="B511" s="44">
        <v>46117</v>
      </c>
      <c r="C511" s="45">
        <v>0.709722222222222</v>
      </c>
      <c r="D511" s="46">
        <f t="shared" si="0"/>
        <v>17</v>
      </c>
      <c r="E511" s="47" t="str">
        <f t="shared" si="1"/>
        <v>Sunday</v>
      </c>
      <c r="F511" s="47" t="s">
        <v>107</v>
      </c>
      <c r="G511" s="47" t="s">
        <v>27</v>
      </c>
      <c r="H511" s="43" t="s">
        <v>28</v>
      </c>
      <c r="I511" s="48">
        <v>2</v>
      </c>
      <c r="J511" s="49">
        <v>15000</v>
      </c>
      <c r="K511" s="49">
        <v>30000</v>
      </c>
      <c r="L511" s="47" t="s">
        <v>22</v>
      </c>
      <c r="M511" s="46">
        <v>0</v>
      </c>
      <c r="N511" s="48">
        <v>4</v>
      </c>
      <c r="O511" s="47" t="s">
        <v>73</v>
      </c>
    </row>
    <row r="512" ht="14.25" customHeight="1" spans="1:15">
      <c r="A512" s="43" t="s">
        <v>1185</v>
      </c>
      <c r="B512" s="44">
        <v>46117</v>
      </c>
      <c r="C512" s="45">
        <v>0.791666666666667</v>
      </c>
      <c r="D512" s="46">
        <f t="shared" si="0"/>
        <v>19</v>
      </c>
      <c r="E512" s="47" t="str">
        <f t="shared" si="1"/>
        <v>Sunday</v>
      </c>
      <c r="F512" s="47" t="s">
        <v>107</v>
      </c>
      <c r="G512" s="47" t="s">
        <v>146</v>
      </c>
      <c r="H512" s="43" t="s">
        <v>28</v>
      </c>
      <c r="I512" s="48">
        <v>1</v>
      </c>
      <c r="J512" s="49">
        <v>13600</v>
      </c>
      <c r="K512" s="50">
        <v>11560</v>
      </c>
      <c r="L512" s="47" t="s">
        <v>22</v>
      </c>
      <c r="M512" s="51">
        <v>0.15</v>
      </c>
      <c r="N512" s="48" t="s">
        <v>23</v>
      </c>
      <c r="O512" s="47" t="s">
        <v>40</v>
      </c>
    </row>
    <row r="513" ht="14.25" customHeight="1" spans="1:15">
      <c r="A513" s="43" t="s">
        <v>1186</v>
      </c>
      <c r="B513" s="44">
        <v>46117</v>
      </c>
      <c r="C513" s="45">
        <v>0.854861111111111</v>
      </c>
      <c r="D513" s="46">
        <f t="shared" si="0"/>
        <v>20</v>
      </c>
      <c r="E513" s="47" t="str">
        <f t="shared" si="1"/>
        <v>Sunday</v>
      </c>
      <c r="F513" s="47" t="s">
        <v>43</v>
      </c>
      <c r="G513" s="43" t="s">
        <v>36</v>
      </c>
      <c r="H513" s="43" t="s">
        <v>37</v>
      </c>
      <c r="I513" s="48">
        <v>1</v>
      </c>
      <c r="J513" s="49">
        <v>3000</v>
      </c>
      <c r="K513" s="49">
        <v>3000</v>
      </c>
      <c r="L513" s="47" t="s">
        <v>22</v>
      </c>
      <c r="M513" s="46">
        <v>0</v>
      </c>
      <c r="N513" s="48">
        <v>5</v>
      </c>
      <c r="O513" s="47" t="s">
        <v>33</v>
      </c>
    </row>
    <row r="514" ht="14.25" customHeight="1" spans="1:15">
      <c r="A514" s="43" t="s">
        <v>1187</v>
      </c>
      <c r="B514" s="44">
        <v>46117</v>
      </c>
      <c r="C514" s="45">
        <v>0.888194444444444</v>
      </c>
      <c r="D514" s="46">
        <f t="shared" si="0"/>
        <v>21</v>
      </c>
      <c r="E514" s="47" t="str">
        <f t="shared" si="1"/>
        <v>Sunday</v>
      </c>
      <c r="F514" s="47" t="s">
        <v>107</v>
      </c>
      <c r="G514" s="47" t="s">
        <v>367</v>
      </c>
      <c r="H514" s="43" t="s">
        <v>109</v>
      </c>
      <c r="I514" s="48">
        <v>1</v>
      </c>
      <c r="J514" s="49">
        <v>7000</v>
      </c>
      <c r="K514" s="49">
        <v>7000</v>
      </c>
      <c r="L514" s="47" t="s">
        <v>22</v>
      </c>
      <c r="M514" s="46">
        <v>0</v>
      </c>
      <c r="N514" s="48" t="s">
        <v>23</v>
      </c>
      <c r="O514" s="47" t="s">
        <v>40</v>
      </c>
    </row>
    <row r="515" ht="14.25" customHeight="1" spans="1:15">
      <c r="A515" s="43" t="s">
        <v>1189</v>
      </c>
      <c r="B515" s="44">
        <v>46117</v>
      </c>
      <c r="C515" s="45">
        <v>0.901388888888889</v>
      </c>
      <c r="D515" s="46">
        <f t="shared" si="0"/>
        <v>21</v>
      </c>
      <c r="E515" s="47" t="str">
        <f t="shared" si="1"/>
        <v>Sunday</v>
      </c>
      <c r="F515" s="47" t="s">
        <v>16</v>
      </c>
      <c r="G515" s="43" t="s">
        <v>36</v>
      </c>
      <c r="H515" s="43" t="s">
        <v>37</v>
      </c>
      <c r="I515" s="48">
        <v>1</v>
      </c>
      <c r="J515" s="49">
        <v>3000</v>
      </c>
      <c r="K515" s="49">
        <v>3000</v>
      </c>
      <c r="L515" s="47" t="s">
        <v>32</v>
      </c>
      <c r="M515" s="46">
        <v>0</v>
      </c>
      <c r="N515" s="48">
        <v>4</v>
      </c>
      <c r="O515" s="47" t="s">
        <v>33</v>
      </c>
    </row>
    <row r="516" ht="14.25" customHeight="1" spans="1:15">
      <c r="A516" s="43" t="s">
        <v>1191</v>
      </c>
      <c r="B516" s="44">
        <v>46117</v>
      </c>
      <c r="C516" s="45">
        <v>0.91875</v>
      </c>
      <c r="D516" s="46">
        <f t="shared" si="0"/>
        <v>22</v>
      </c>
      <c r="E516" s="47" t="str">
        <f t="shared" si="1"/>
        <v>Sunday</v>
      </c>
      <c r="F516" s="47" t="s">
        <v>16</v>
      </c>
      <c r="G516" s="43" t="s">
        <v>165</v>
      </c>
      <c r="H516" s="43" t="s">
        <v>109</v>
      </c>
      <c r="I516" s="48">
        <v>1</v>
      </c>
      <c r="J516" s="49">
        <v>6000</v>
      </c>
      <c r="K516" s="49">
        <v>6000</v>
      </c>
      <c r="L516" s="47" t="s">
        <v>22</v>
      </c>
      <c r="M516" s="46">
        <v>0</v>
      </c>
      <c r="N516" s="48">
        <v>4</v>
      </c>
      <c r="O516" s="47" t="s">
        <v>24</v>
      </c>
    </row>
    <row r="517" ht="14.25" customHeight="1" spans="1:15">
      <c r="A517" s="43" t="s">
        <v>1193</v>
      </c>
      <c r="B517" s="44">
        <v>46118</v>
      </c>
      <c r="C517" s="45">
        <v>0.578472222222222</v>
      </c>
      <c r="D517" s="46">
        <f t="shared" si="0"/>
        <v>13</v>
      </c>
      <c r="E517" s="47" t="str">
        <f t="shared" si="1"/>
        <v>Monday</v>
      </c>
      <c r="F517" s="47" t="s">
        <v>16</v>
      </c>
      <c r="G517" s="47" t="s">
        <v>63</v>
      </c>
      <c r="H517" s="43" t="s">
        <v>18</v>
      </c>
      <c r="I517" s="48">
        <v>1</v>
      </c>
      <c r="J517" s="49">
        <v>1500</v>
      </c>
      <c r="K517" s="49">
        <v>1500</v>
      </c>
      <c r="L517" s="47" t="s">
        <v>22</v>
      </c>
      <c r="M517" s="46">
        <v>0</v>
      </c>
      <c r="N517" s="48">
        <v>5</v>
      </c>
      <c r="O517" s="47" t="s">
        <v>40</v>
      </c>
    </row>
    <row r="518" ht="14.25" customHeight="1" spans="1:15">
      <c r="A518" s="43" t="s">
        <v>1196</v>
      </c>
      <c r="B518" s="44">
        <v>46118</v>
      </c>
      <c r="C518" s="45">
        <v>0.636805555555556</v>
      </c>
      <c r="D518" s="46">
        <f t="shared" si="0"/>
        <v>15</v>
      </c>
      <c r="E518" s="47" t="str">
        <f t="shared" si="1"/>
        <v>Monday</v>
      </c>
      <c r="F518" s="47" t="s">
        <v>16</v>
      </c>
      <c r="G518" s="43" t="s">
        <v>647</v>
      </c>
      <c r="H518" s="43" t="s">
        <v>45</v>
      </c>
      <c r="I518" s="48">
        <v>1</v>
      </c>
      <c r="J518" s="49">
        <v>4500</v>
      </c>
      <c r="K518" s="49">
        <v>4500</v>
      </c>
      <c r="L518" s="47" t="s">
        <v>32</v>
      </c>
      <c r="M518" s="46">
        <v>0</v>
      </c>
      <c r="N518" s="48" t="s">
        <v>23</v>
      </c>
      <c r="O518" s="47" t="s">
        <v>73</v>
      </c>
    </row>
    <row r="519" ht="14.25" customHeight="1" spans="1:15">
      <c r="A519" s="43" t="s">
        <v>1198</v>
      </c>
      <c r="B519" s="44">
        <v>46118</v>
      </c>
      <c r="C519" s="45">
        <v>0.649305555555556</v>
      </c>
      <c r="D519" s="46">
        <f t="shared" si="0"/>
        <v>15</v>
      </c>
      <c r="E519" s="47" t="str">
        <f t="shared" si="1"/>
        <v>Monday</v>
      </c>
      <c r="F519" s="47" t="s">
        <v>16</v>
      </c>
      <c r="G519" s="47" t="s">
        <v>44</v>
      </c>
      <c r="H519" s="43" t="str">
        <f>VLOOKUP(G519,'02_Menu_Lookup'!$A$2:$C$16,2,FALSE)</f>
        <v>Appetizers</v>
      </c>
      <c r="I519" s="48">
        <v>2</v>
      </c>
      <c r="J519" s="50">
        <v>4000</v>
      </c>
      <c r="K519" s="49">
        <v>8000</v>
      </c>
      <c r="L519" s="47" t="s">
        <v>22</v>
      </c>
      <c r="M519" s="46">
        <v>0</v>
      </c>
      <c r="N519" s="48" t="s">
        <v>23</v>
      </c>
      <c r="O519" s="47" t="s">
        <v>40</v>
      </c>
    </row>
    <row r="520" ht="14.25" customHeight="1" spans="1:15">
      <c r="A520" s="43" t="s">
        <v>1201</v>
      </c>
      <c r="B520" s="44">
        <v>46118</v>
      </c>
      <c r="C520" s="45">
        <v>0.650694444444444</v>
      </c>
      <c r="D520" s="46">
        <f t="shared" si="0"/>
        <v>15</v>
      </c>
      <c r="E520" s="47" t="str">
        <f t="shared" si="1"/>
        <v>Monday</v>
      </c>
      <c r="F520" s="47" t="s">
        <v>16</v>
      </c>
      <c r="G520" s="47" t="s">
        <v>57</v>
      </c>
      <c r="H520" s="43" t="str">
        <f>VLOOKUP(G520,'02_Menu_Lookup'!$A$2:$C$16,2,FALSE)</f>
        <v>Grills</v>
      </c>
      <c r="I520" s="48">
        <v>1</v>
      </c>
      <c r="J520" s="49">
        <v>18000</v>
      </c>
      <c r="K520" s="49">
        <f>I520*J520</f>
        <v>18000</v>
      </c>
      <c r="L520" s="47" t="s">
        <v>22</v>
      </c>
      <c r="M520" s="46">
        <v>0</v>
      </c>
      <c r="N520" s="48">
        <v>5</v>
      </c>
      <c r="O520" s="47" t="s">
        <v>47</v>
      </c>
    </row>
    <row r="521" ht="14.25" customHeight="1" spans="1:15">
      <c r="A521" s="43" t="s">
        <v>1202</v>
      </c>
      <c r="B521" s="44">
        <v>46118</v>
      </c>
      <c r="C521" s="45">
        <v>0.811805555555556</v>
      </c>
      <c r="D521" s="46">
        <f t="shared" si="0"/>
        <v>19</v>
      </c>
      <c r="E521" s="47" t="str">
        <f t="shared" si="1"/>
        <v>Monday</v>
      </c>
      <c r="F521" s="47" t="s">
        <v>16</v>
      </c>
      <c r="G521" s="47" t="s">
        <v>57</v>
      </c>
      <c r="H521" s="43" t="s">
        <v>28</v>
      </c>
      <c r="I521" s="48">
        <v>1</v>
      </c>
      <c r="J521" s="49">
        <v>18000</v>
      </c>
      <c r="K521" s="49">
        <v>18000</v>
      </c>
      <c r="L521" s="47" t="s">
        <v>32</v>
      </c>
      <c r="M521" s="46">
        <v>0</v>
      </c>
      <c r="N521" s="48" t="s">
        <v>23</v>
      </c>
      <c r="O521" s="47" t="s">
        <v>40</v>
      </c>
    </row>
    <row r="522" ht="14.25" customHeight="1" spans="1:15">
      <c r="A522" s="43" t="s">
        <v>1204</v>
      </c>
      <c r="B522" s="44">
        <v>46118</v>
      </c>
      <c r="C522" s="45">
        <v>0.845138888888889</v>
      </c>
      <c r="D522" s="46">
        <f t="shared" si="0"/>
        <v>20</v>
      </c>
      <c r="E522" s="47" t="str">
        <f t="shared" si="1"/>
        <v>Monday</v>
      </c>
      <c r="F522" s="47" t="s">
        <v>16</v>
      </c>
      <c r="G522" s="47" t="s">
        <v>367</v>
      </c>
      <c r="H522" s="43" t="s">
        <v>109</v>
      </c>
      <c r="I522" s="48">
        <v>2</v>
      </c>
      <c r="J522" s="49">
        <v>7000</v>
      </c>
      <c r="K522" s="49">
        <v>14000</v>
      </c>
      <c r="L522" s="47" t="s">
        <v>22</v>
      </c>
      <c r="M522" s="46">
        <v>0</v>
      </c>
      <c r="N522" s="48">
        <v>4</v>
      </c>
      <c r="O522" s="47" t="s">
        <v>47</v>
      </c>
    </row>
    <row r="523" ht="14.25" customHeight="1" spans="1:15">
      <c r="A523" s="43" t="s">
        <v>1205</v>
      </c>
      <c r="B523" s="44">
        <v>46118</v>
      </c>
      <c r="C523" s="45">
        <v>0.848611111111111</v>
      </c>
      <c r="D523" s="46">
        <f t="shared" si="0"/>
        <v>20</v>
      </c>
      <c r="E523" s="47" t="str">
        <f t="shared" si="1"/>
        <v>Monday</v>
      </c>
      <c r="F523" s="47" t="s">
        <v>43</v>
      </c>
      <c r="G523" s="47" t="s">
        <v>27</v>
      </c>
      <c r="H523" s="43" t="s">
        <v>28</v>
      </c>
      <c r="I523" s="48">
        <v>1</v>
      </c>
      <c r="J523" s="49">
        <v>15000</v>
      </c>
      <c r="K523" s="49">
        <v>15000</v>
      </c>
      <c r="L523" s="47" t="s">
        <v>32</v>
      </c>
      <c r="M523" s="46">
        <v>0</v>
      </c>
      <c r="N523" s="48" t="s">
        <v>23</v>
      </c>
      <c r="O523" s="47" t="s">
        <v>33</v>
      </c>
    </row>
    <row r="524" ht="14.25" customHeight="1" spans="1:15">
      <c r="A524" s="43" t="s">
        <v>1207</v>
      </c>
      <c r="B524" s="44">
        <v>46118</v>
      </c>
      <c r="C524" s="45">
        <v>0.885416666666667</v>
      </c>
      <c r="D524" s="46">
        <f t="shared" si="0"/>
        <v>21</v>
      </c>
      <c r="E524" s="47" t="str">
        <f t="shared" si="1"/>
        <v>Monday</v>
      </c>
      <c r="F524" s="47" t="s">
        <v>107</v>
      </c>
      <c r="G524" s="47" t="s">
        <v>44</v>
      </c>
      <c r="H524" s="43" t="s">
        <v>45</v>
      </c>
      <c r="I524" s="48">
        <v>1</v>
      </c>
      <c r="J524" s="49">
        <v>4000</v>
      </c>
      <c r="K524" s="49">
        <v>4000</v>
      </c>
      <c r="L524" s="47" t="s">
        <v>22</v>
      </c>
      <c r="M524" s="46">
        <v>0</v>
      </c>
      <c r="N524" s="48" t="s">
        <v>23</v>
      </c>
      <c r="O524" s="47" t="s">
        <v>73</v>
      </c>
    </row>
    <row r="525" ht="14.25" customHeight="1" spans="1:15">
      <c r="A525" s="43" t="s">
        <v>1209</v>
      </c>
      <c r="B525" s="44">
        <v>46119</v>
      </c>
      <c r="C525" s="45">
        <v>0.570138888888889</v>
      </c>
      <c r="D525" s="46">
        <f t="shared" si="0"/>
        <v>13</v>
      </c>
      <c r="E525" s="47" t="str">
        <f t="shared" si="1"/>
        <v>Tuesday</v>
      </c>
      <c r="F525" s="47" t="s">
        <v>16</v>
      </c>
      <c r="G525" s="47" t="s">
        <v>81</v>
      </c>
      <c r="H525" s="43" t="s">
        <v>37</v>
      </c>
      <c r="I525" s="48">
        <v>1</v>
      </c>
      <c r="J525" s="49">
        <v>6000</v>
      </c>
      <c r="K525" s="49">
        <v>6000</v>
      </c>
      <c r="L525" s="47" t="s">
        <v>22</v>
      </c>
      <c r="M525" s="46">
        <v>0</v>
      </c>
      <c r="N525" s="48">
        <v>4</v>
      </c>
      <c r="O525" s="47" t="s">
        <v>24</v>
      </c>
    </row>
    <row r="526" ht="14.25" customHeight="1" spans="1:15">
      <c r="A526" s="43" t="s">
        <v>1211</v>
      </c>
      <c r="B526" s="44">
        <v>46119</v>
      </c>
      <c r="C526" s="45">
        <v>0.639583333333333</v>
      </c>
      <c r="D526" s="46">
        <f t="shared" si="0"/>
        <v>15</v>
      </c>
      <c r="E526" s="47" t="str">
        <f t="shared" si="1"/>
        <v>Tuesday</v>
      </c>
      <c r="F526" s="47" t="s">
        <v>107</v>
      </c>
      <c r="G526" s="47" t="s">
        <v>50</v>
      </c>
      <c r="H526" s="43" t="s">
        <v>28</v>
      </c>
      <c r="I526" s="48">
        <v>2</v>
      </c>
      <c r="J526" s="49">
        <v>25000</v>
      </c>
      <c r="K526" s="49">
        <v>50000</v>
      </c>
      <c r="L526" s="47" t="s">
        <v>22</v>
      </c>
      <c r="M526" s="46">
        <v>0</v>
      </c>
      <c r="N526" s="48" t="s">
        <v>23</v>
      </c>
      <c r="O526" s="47" t="s">
        <v>24</v>
      </c>
    </row>
    <row r="527" ht="14.25" customHeight="1" spans="1:15">
      <c r="A527" s="43" t="s">
        <v>1213</v>
      </c>
      <c r="B527" s="44">
        <v>46119</v>
      </c>
      <c r="C527" s="45">
        <v>0.814583333333333</v>
      </c>
      <c r="D527" s="46">
        <f t="shared" si="0"/>
        <v>19</v>
      </c>
      <c r="E527" s="47" t="str">
        <f t="shared" si="1"/>
        <v>Tuesday</v>
      </c>
      <c r="F527" s="47" t="s">
        <v>107</v>
      </c>
      <c r="G527" s="47" t="s">
        <v>146</v>
      </c>
      <c r="H527" s="43" t="s">
        <v>28</v>
      </c>
      <c r="I527" s="48">
        <v>1</v>
      </c>
      <c r="J527" s="49">
        <v>16000</v>
      </c>
      <c r="K527" s="49">
        <v>16000</v>
      </c>
      <c r="L527" s="47" t="s">
        <v>32</v>
      </c>
      <c r="M527" s="46">
        <v>0</v>
      </c>
      <c r="N527" s="48" t="s">
        <v>23</v>
      </c>
      <c r="O527" s="47" t="s">
        <v>47</v>
      </c>
    </row>
    <row r="528" ht="14.25" customHeight="1" spans="1:15">
      <c r="A528" s="43" t="s">
        <v>1215</v>
      </c>
      <c r="B528" s="44">
        <v>46119</v>
      </c>
      <c r="C528" s="45">
        <v>0.827083333333333</v>
      </c>
      <c r="D528" s="46">
        <f t="shared" si="0"/>
        <v>19</v>
      </c>
      <c r="E528" s="47" t="str">
        <f t="shared" si="1"/>
        <v>Tuesday</v>
      </c>
      <c r="F528" s="47" t="s">
        <v>107</v>
      </c>
      <c r="G528" s="47" t="s">
        <v>63</v>
      </c>
      <c r="H528" s="43" t="s">
        <v>18</v>
      </c>
      <c r="I528" s="48">
        <v>3</v>
      </c>
      <c r="J528" s="49">
        <v>1500</v>
      </c>
      <c r="K528" s="49">
        <v>4500</v>
      </c>
      <c r="L528" s="47" t="s">
        <v>32</v>
      </c>
      <c r="M528" s="46">
        <v>0</v>
      </c>
      <c r="N528" s="48" t="s">
        <v>23</v>
      </c>
      <c r="O528" s="47" t="s">
        <v>40</v>
      </c>
    </row>
    <row r="529" ht="14.25" customHeight="1" spans="1:15">
      <c r="A529" s="43" t="s">
        <v>1217</v>
      </c>
      <c r="B529" s="44">
        <v>46119</v>
      </c>
      <c r="C529" s="45">
        <v>0.841666666666667</v>
      </c>
      <c r="D529" s="46">
        <f t="shared" si="0"/>
        <v>20</v>
      </c>
      <c r="E529" s="47" t="str">
        <f t="shared" si="1"/>
        <v>Tuesday</v>
      </c>
      <c r="F529" s="47" t="s">
        <v>16</v>
      </c>
      <c r="G529" s="43" t="s">
        <v>36</v>
      </c>
      <c r="H529" s="43" t="str">
        <f>VLOOKUP(G529,'02_Menu_Lookup'!$A$2:$C$16,2,FALSE)</f>
        <v>Sandwiches</v>
      </c>
      <c r="I529" s="48">
        <v>1</v>
      </c>
      <c r="J529" s="49">
        <v>3000</v>
      </c>
      <c r="K529" s="50">
        <v>2550</v>
      </c>
      <c r="L529" s="47" t="s">
        <v>22</v>
      </c>
      <c r="M529" s="51">
        <v>0.15</v>
      </c>
      <c r="N529" s="48" t="s">
        <v>23</v>
      </c>
      <c r="O529" s="47" t="s">
        <v>33</v>
      </c>
    </row>
    <row r="530" ht="14.25" customHeight="1" spans="1:15">
      <c r="A530" s="43" t="s">
        <v>1219</v>
      </c>
      <c r="B530" s="44">
        <v>46119</v>
      </c>
      <c r="C530" s="45">
        <v>0.845138888888889</v>
      </c>
      <c r="D530" s="46">
        <f t="shared" si="0"/>
        <v>20</v>
      </c>
      <c r="E530" s="47" t="str">
        <f t="shared" si="1"/>
        <v>Tuesday</v>
      </c>
      <c r="F530" s="47" t="s">
        <v>107</v>
      </c>
      <c r="G530" s="47" t="s">
        <v>103</v>
      </c>
      <c r="H530" s="43" t="s">
        <v>37</v>
      </c>
      <c r="I530" s="48">
        <v>1</v>
      </c>
      <c r="J530" s="49">
        <v>5000</v>
      </c>
      <c r="K530" s="49">
        <v>5000</v>
      </c>
      <c r="L530" s="47" t="s">
        <v>22</v>
      </c>
      <c r="M530" s="46">
        <v>0</v>
      </c>
      <c r="N530" s="48" t="s">
        <v>23</v>
      </c>
      <c r="O530" s="47" t="s">
        <v>47</v>
      </c>
    </row>
    <row r="531" ht="14.25" customHeight="1" spans="1:15">
      <c r="A531" s="43" t="s">
        <v>1220</v>
      </c>
      <c r="B531" s="44">
        <v>46119</v>
      </c>
      <c r="C531" s="45">
        <v>0.998611111111111</v>
      </c>
      <c r="D531" s="46">
        <f t="shared" si="0"/>
        <v>23</v>
      </c>
      <c r="E531" s="47" t="str">
        <f t="shared" si="1"/>
        <v>Tuesday</v>
      </c>
      <c r="F531" s="47" t="s">
        <v>43</v>
      </c>
      <c r="G531" s="47" t="s">
        <v>63</v>
      </c>
      <c r="H531" s="43" t="s">
        <v>18</v>
      </c>
      <c r="I531" s="48">
        <v>3</v>
      </c>
      <c r="J531" s="49">
        <v>1500</v>
      </c>
      <c r="K531" s="49">
        <v>4500</v>
      </c>
      <c r="L531" s="47" t="s">
        <v>22</v>
      </c>
      <c r="M531" s="46">
        <v>0</v>
      </c>
      <c r="N531" s="48" t="s">
        <v>23</v>
      </c>
      <c r="O531" s="47" t="s">
        <v>47</v>
      </c>
    </row>
    <row r="532" ht="14.25" customHeight="1" spans="1:15">
      <c r="A532" s="43" t="s">
        <v>1222</v>
      </c>
      <c r="B532" s="44">
        <v>46120</v>
      </c>
      <c r="C532" s="45">
        <v>0.603472222222222</v>
      </c>
      <c r="D532" s="46">
        <f t="shared" si="0"/>
        <v>14</v>
      </c>
      <c r="E532" s="47" t="str">
        <f t="shared" si="1"/>
        <v>Wednesday</v>
      </c>
      <c r="F532" s="47" t="s">
        <v>43</v>
      </c>
      <c r="G532" s="47" t="s">
        <v>57</v>
      </c>
      <c r="H532" s="43" t="s">
        <v>28</v>
      </c>
      <c r="I532" s="48">
        <v>1</v>
      </c>
      <c r="J532" s="49">
        <v>18000</v>
      </c>
      <c r="K532" s="49">
        <v>18000</v>
      </c>
      <c r="L532" s="47" t="s">
        <v>22</v>
      </c>
      <c r="M532" s="46">
        <v>0</v>
      </c>
      <c r="N532" s="48">
        <v>4</v>
      </c>
      <c r="O532" s="47" t="s">
        <v>47</v>
      </c>
    </row>
    <row r="533" ht="14.25" customHeight="1" spans="1:15">
      <c r="A533" s="43" t="s">
        <v>1224</v>
      </c>
      <c r="B533" s="44">
        <v>46120</v>
      </c>
      <c r="C533" s="45">
        <v>0.638194444444444</v>
      </c>
      <c r="D533" s="46">
        <f t="shared" si="0"/>
        <v>15</v>
      </c>
      <c r="E533" s="47" t="str">
        <f t="shared" si="1"/>
        <v>Wednesday</v>
      </c>
      <c r="F533" s="47" t="s">
        <v>43</v>
      </c>
      <c r="G533" s="47" t="s">
        <v>57</v>
      </c>
      <c r="H533" s="43" t="s">
        <v>28</v>
      </c>
      <c r="I533" s="48">
        <v>1</v>
      </c>
      <c r="J533" s="49">
        <v>18000</v>
      </c>
      <c r="K533" s="49">
        <v>18000</v>
      </c>
      <c r="L533" s="47" t="s">
        <v>22</v>
      </c>
      <c r="M533" s="46">
        <v>0</v>
      </c>
      <c r="N533" s="48" t="s">
        <v>23</v>
      </c>
      <c r="O533" s="47" t="s">
        <v>73</v>
      </c>
    </row>
    <row r="534" ht="14.25" customHeight="1" spans="1:15">
      <c r="A534" s="43" t="s">
        <v>1226</v>
      </c>
      <c r="B534" s="44">
        <v>46120</v>
      </c>
      <c r="C534" s="45">
        <v>0.752083333333333</v>
      </c>
      <c r="D534" s="46">
        <f t="shared" si="0"/>
        <v>18</v>
      </c>
      <c r="E534" s="47" t="str">
        <f t="shared" si="1"/>
        <v>Wednesday</v>
      </c>
      <c r="F534" s="47" t="s">
        <v>16</v>
      </c>
      <c r="G534" s="47" t="s">
        <v>17</v>
      </c>
      <c r="H534" s="43" t="s">
        <v>18</v>
      </c>
      <c r="I534" s="48">
        <v>2</v>
      </c>
      <c r="J534" s="49">
        <v>1000</v>
      </c>
      <c r="K534" s="49">
        <v>2000</v>
      </c>
      <c r="L534" s="47" t="s">
        <v>22</v>
      </c>
      <c r="M534" s="46">
        <v>0</v>
      </c>
      <c r="N534" s="48">
        <v>3</v>
      </c>
      <c r="O534" s="47" t="s">
        <v>24</v>
      </c>
    </row>
    <row r="535" ht="14.25" customHeight="1" spans="1:15">
      <c r="A535" s="43" t="s">
        <v>1229</v>
      </c>
      <c r="B535" s="44">
        <v>46120</v>
      </c>
      <c r="C535" s="45">
        <v>0.8</v>
      </c>
      <c r="D535" s="46">
        <f t="shared" si="0"/>
        <v>19</v>
      </c>
      <c r="E535" s="47" t="str">
        <f t="shared" si="1"/>
        <v>Wednesday</v>
      </c>
      <c r="F535" s="47" t="s">
        <v>16</v>
      </c>
      <c r="G535" s="47" t="s">
        <v>81</v>
      </c>
      <c r="H535" s="43" t="s">
        <v>37</v>
      </c>
      <c r="I535" s="48">
        <v>1</v>
      </c>
      <c r="J535" s="49">
        <v>6000</v>
      </c>
      <c r="K535" s="49">
        <v>6000</v>
      </c>
      <c r="L535" s="47" t="s">
        <v>22</v>
      </c>
      <c r="M535" s="46">
        <v>0</v>
      </c>
      <c r="N535" s="48">
        <v>5</v>
      </c>
      <c r="O535" s="47" t="s">
        <v>73</v>
      </c>
    </row>
    <row r="536" ht="14.25" customHeight="1" spans="1:15">
      <c r="A536" s="43" t="s">
        <v>1231</v>
      </c>
      <c r="B536" s="44">
        <v>46120</v>
      </c>
      <c r="C536" s="45">
        <v>0.879166666666667</v>
      </c>
      <c r="D536" s="46">
        <f t="shared" si="0"/>
        <v>21</v>
      </c>
      <c r="E536" s="47" t="str">
        <f t="shared" si="1"/>
        <v>Wednesday</v>
      </c>
      <c r="F536" s="47" t="s">
        <v>43</v>
      </c>
      <c r="G536" s="47" t="s">
        <v>103</v>
      </c>
      <c r="H536" s="43" t="s">
        <v>37</v>
      </c>
      <c r="I536" s="48">
        <v>1</v>
      </c>
      <c r="J536" s="49">
        <v>5000</v>
      </c>
      <c r="K536" s="49">
        <v>5000</v>
      </c>
      <c r="L536" s="47" t="s">
        <v>32</v>
      </c>
      <c r="M536" s="46">
        <v>0</v>
      </c>
      <c r="N536" s="48" t="s">
        <v>23</v>
      </c>
      <c r="O536" s="47" t="s">
        <v>47</v>
      </c>
    </row>
    <row r="537" ht="14.25" customHeight="1" spans="1:15">
      <c r="A537" s="43" t="s">
        <v>1232</v>
      </c>
      <c r="B537" s="44">
        <v>46120</v>
      </c>
      <c r="C537" s="45">
        <v>0.920138888888889</v>
      </c>
      <c r="D537" s="46">
        <f t="shared" si="0"/>
        <v>22</v>
      </c>
      <c r="E537" s="47" t="str">
        <f t="shared" si="1"/>
        <v>Wednesday</v>
      </c>
      <c r="F537" s="47" t="s">
        <v>16</v>
      </c>
      <c r="G537" s="47" t="s">
        <v>81</v>
      </c>
      <c r="H537" s="43" t="s">
        <v>37</v>
      </c>
      <c r="I537" s="48">
        <v>1</v>
      </c>
      <c r="J537" s="49">
        <f>K537/I537</f>
        <v>6000</v>
      </c>
      <c r="K537" s="49">
        <v>6000</v>
      </c>
      <c r="L537" s="47" t="s">
        <v>32</v>
      </c>
      <c r="M537" s="46">
        <v>0</v>
      </c>
      <c r="N537" s="48">
        <v>3</v>
      </c>
      <c r="O537" s="47" t="s">
        <v>24</v>
      </c>
    </row>
    <row r="538" ht="14.25" customHeight="1" spans="1:15">
      <c r="A538" s="43" t="s">
        <v>1233</v>
      </c>
      <c r="B538" s="44">
        <v>46120</v>
      </c>
      <c r="C538" s="45">
        <v>0.979861111111111</v>
      </c>
      <c r="D538" s="46">
        <f t="shared" si="0"/>
        <v>23</v>
      </c>
      <c r="E538" s="47" t="str">
        <f t="shared" si="1"/>
        <v>Wednesday</v>
      </c>
      <c r="F538" s="47" t="s">
        <v>43</v>
      </c>
      <c r="G538" s="47" t="s">
        <v>103</v>
      </c>
      <c r="H538" s="43" t="s">
        <v>37</v>
      </c>
      <c r="I538" s="48">
        <v>1</v>
      </c>
      <c r="J538" s="49">
        <v>5000</v>
      </c>
      <c r="K538" s="49">
        <v>5000</v>
      </c>
      <c r="L538" s="47" t="s">
        <v>22</v>
      </c>
      <c r="M538" s="46">
        <v>0</v>
      </c>
      <c r="N538" s="48" t="s">
        <v>23</v>
      </c>
      <c r="O538" s="47" t="s">
        <v>40</v>
      </c>
    </row>
    <row r="539" ht="14.25" customHeight="1" spans="1:15">
      <c r="A539" s="43" t="s">
        <v>1234</v>
      </c>
      <c r="B539" s="44">
        <v>46121</v>
      </c>
      <c r="C539" s="45">
        <v>0.506944444444444</v>
      </c>
      <c r="D539" s="46">
        <f t="shared" si="0"/>
        <v>12</v>
      </c>
      <c r="E539" s="47" t="str">
        <f t="shared" si="1"/>
        <v>Thursday</v>
      </c>
      <c r="F539" s="47" t="s">
        <v>107</v>
      </c>
      <c r="G539" s="47" t="s">
        <v>27</v>
      </c>
      <c r="H539" s="43" t="s">
        <v>28</v>
      </c>
      <c r="I539" s="48">
        <v>2</v>
      </c>
      <c r="J539" s="49">
        <f>K539/I539</f>
        <v>15000</v>
      </c>
      <c r="K539" s="49">
        <v>30000</v>
      </c>
      <c r="L539" s="47" t="s">
        <v>22</v>
      </c>
      <c r="M539" s="46">
        <v>0</v>
      </c>
      <c r="N539" s="48">
        <v>3</v>
      </c>
      <c r="O539" s="47" t="s">
        <v>73</v>
      </c>
    </row>
    <row r="540" ht="14.25" customHeight="1" spans="1:15">
      <c r="A540" s="43" t="s">
        <v>1236</v>
      </c>
      <c r="B540" s="44">
        <v>46121</v>
      </c>
      <c r="C540" s="45">
        <v>0.548611111111111</v>
      </c>
      <c r="D540" s="46">
        <f t="shared" si="0"/>
        <v>13</v>
      </c>
      <c r="E540" s="47" t="str">
        <f t="shared" si="1"/>
        <v>Thursday</v>
      </c>
      <c r="F540" s="47" t="s">
        <v>16</v>
      </c>
      <c r="G540" s="47" t="s">
        <v>81</v>
      </c>
      <c r="H540" s="43" t="s">
        <v>37</v>
      </c>
      <c r="I540" s="48">
        <v>2</v>
      </c>
      <c r="J540" s="49">
        <v>6000</v>
      </c>
      <c r="K540" s="50">
        <v>12000</v>
      </c>
      <c r="L540" s="47" t="s">
        <v>22</v>
      </c>
      <c r="M540" s="46">
        <v>0</v>
      </c>
      <c r="N540" s="48" t="s">
        <v>23</v>
      </c>
      <c r="O540" s="47" t="s">
        <v>33</v>
      </c>
    </row>
    <row r="541" ht="14.25" customHeight="1" spans="1:15">
      <c r="A541" s="43" t="s">
        <v>1238</v>
      </c>
      <c r="B541" s="44">
        <v>46121</v>
      </c>
      <c r="C541" s="45">
        <v>0.554166666666667</v>
      </c>
      <c r="D541" s="46">
        <f t="shared" si="0"/>
        <v>13</v>
      </c>
      <c r="E541" s="47" t="str">
        <f t="shared" si="1"/>
        <v>Thursday</v>
      </c>
      <c r="F541" s="47" t="s">
        <v>43</v>
      </c>
      <c r="G541" s="47" t="s">
        <v>50</v>
      </c>
      <c r="H541" s="43" t="s">
        <v>28</v>
      </c>
      <c r="I541" s="48">
        <v>1</v>
      </c>
      <c r="J541" s="49">
        <v>25000</v>
      </c>
      <c r="K541" s="49">
        <v>25000</v>
      </c>
      <c r="L541" s="47" t="s">
        <v>32</v>
      </c>
      <c r="M541" s="46">
        <v>0</v>
      </c>
      <c r="N541" s="48" t="s">
        <v>23</v>
      </c>
      <c r="O541" s="47" t="s">
        <v>47</v>
      </c>
    </row>
    <row r="542" ht="14.25" customHeight="1" spans="1:15">
      <c r="A542" s="43" t="s">
        <v>1241</v>
      </c>
      <c r="B542" s="44">
        <v>46121</v>
      </c>
      <c r="C542" s="45">
        <v>0.646527777777778</v>
      </c>
      <c r="D542" s="46">
        <f t="shared" si="0"/>
        <v>15</v>
      </c>
      <c r="E542" s="47" t="str">
        <f t="shared" si="1"/>
        <v>Thursday</v>
      </c>
      <c r="F542" s="47" t="s">
        <v>107</v>
      </c>
      <c r="G542" s="47" t="s">
        <v>81</v>
      </c>
      <c r="H542" s="43" t="s">
        <v>37</v>
      </c>
      <c r="I542" s="48">
        <v>1</v>
      </c>
      <c r="J542" s="49">
        <v>6000</v>
      </c>
      <c r="K542" s="49">
        <v>6000</v>
      </c>
      <c r="L542" s="47" t="s">
        <v>32</v>
      </c>
      <c r="M542" s="46">
        <v>0</v>
      </c>
      <c r="N542" s="48" t="s">
        <v>23</v>
      </c>
      <c r="O542" s="47" t="s">
        <v>24</v>
      </c>
    </row>
    <row r="543" ht="14.25" customHeight="1" spans="1:15">
      <c r="A543" s="43" t="s">
        <v>1243</v>
      </c>
      <c r="B543" s="44">
        <v>46121</v>
      </c>
      <c r="C543" s="45">
        <v>0.815277777777778</v>
      </c>
      <c r="D543" s="46">
        <f t="shared" si="0"/>
        <v>19</v>
      </c>
      <c r="E543" s="47" t="str">
        <f t="shared" si="1"/>
        <v>Thursday</v>
      </c>
      <c r="F543" s="47" t="s">
        <v>16</v>
      </c>
      <c r="G543" s="47" t="s">
        <v>50</v>
      </c>
      <c r="H543" s="43" t="s">
        <v>28</v>
      </c>
      <c r="I543" s="48">
        <v>2</v>
      </c>
      <c r="J543" s="49">
        <v>25000</v>
      </c>
      <c r="K543" s="49">
        <v>50000</v>
      </c>
      <c r="L543" s="47" t="s">
        <v>32</v>
      </c>
      <c r="M543" s="46">
        <v>0</v>
      </c>
      <c r="N543" s="48" t="s">
        <v>23</v>
      </c>
      <c r="O543" s="47" t="s">
        <v>24</v>
      </c>
    </row>
    <row r="544" ht="14.25" customHeight="1" spans="1:15">
      <c r="A544" s="43" t="s">
        <v>1245</v>
      </c>
      <c r="B544" s="44">
        <v>46121</v>
      </c>
      <c r="C544" s="45">
        <v>0.822222222222222</v>
      </c>
      <c r="D544" s="46">
        <f t="shared" si="0"/>
        <v>19</v>
      </c>
      <c r="E544" s="47" t="str">
        <f t="shared" si="1"/>
        <v>Thursday</v>
      </c>
      <c r="F544" s="47" t="s">
        <v>43</v>
      </c>
      <c r="G544" s="47" t="s">
        <v>50</v>
      </c>
      <c r="H544" s="43" t="s">
        <v>28</v>
      </c>
      <c r="I544" s="48">
        <v>1</v>
      </c>
      <c r="J544" s="49">
        <v>25000</v>
      </c>
      <c r="K544" s="50">
        <v>21250</v>
      </c>
      <c r="L544" s="47" t="s">
        <v>22</v>
      </c>
      <c r="M544" s="51">
        <v>0.15</v>
      </c>
      <c r="N544" s="48" t="s">
        <v>23</v>
      </c>
      <c r="O544" s="47" t="s">
        <v>40</v>
      </c>
    </row>
    <row r="545" ht="14.25" customHeight="1" spans="1:15">
      <c r="A545" s="43" t="s">
        <v>1247</v>
      </c>
      <c r="B545" s="44">
        <v>46121</v>
      </c>
      <c r="C545" s="45">
        <v>0.875694444444444</v>
      </c>
      <c r="D545" s="46">
        <f t="shared" si="0"/>
        <v>21</v>
      </c>
      <c r="E545" s="47" t="str">
        <f t="shared" si="1"/>
        <v>Thursday</v>
      </c>
      <c r="F545" s="47" t="s">
        <v>16</v>
      </c>
      <c r="G545" s="47" t="s">
        <v>367</v>
      </c>
      <c r="H545" s="43" t="s">
        <v>109</v>
      </c>
      <c r="I545" s="48">
        <v>1</v>
      </c>
      <c r="J545" s="49">
        <f>K545/I545</f>
        <v>7000</v>
      </c>
      <c r="K545" s="49">
        <v>7000</v>
      </c>
      <c r="L545" s="47" t="s">
        <v>22</v>
      </c>
      <c r="M545" s="46">
        <v>0</v>
      </c>
      <c r="N545" s="48" t="s">
        <v>23</v>
      </c>
      <c r="O545" s="47" t="s">
        <v>47</v>
      </c>
    </row>
    <row r="546" ht="14.25" customHeight="1" spans="1:15">
      <c r="A546" s="43" t="s">
        <v>1248</v>
      </c>
      <c r="B546" s="44">
        <v>46121</v>
      </c>
      <c r="C546" s="45">
        <v>0.986805555555556</v>
      </c>
      <c r="D546" s="46">
        <f t="shared" si="0"/>
        <v>23</v>
      </c>
      <c r="E546" s="47" t="str">
        <f t="shared" si="1"/>
        <v>Thursday</v>
      </c>
      <c r="F546" s="47" t="s">
        <v>43</v>
      </c>
      <c r="G546" s="47" t="s">
        <v>27</v>
      </c>
      <c r="H546" s="43" t="s">
        <v>28</v>
      </c>
      <c r="I546" s="48">
        <v>2</v>
      </c>
      <c r="J546" s="49">
        <v>15000</v>
      </c>
      <c r="K546" s="49">
        <f>I546*J546</f>
        <v>30000</v>
      </c>
      <c r="L546" s="47" t="s">
        <v>22</v>
      </c>
      <c r="M546" s="46">
        <v>0</v>
      </c>
      <c r="N546" s="48" t="s">
        <v>23</v>
      </c>
      <c r="O546" s="47" t="s">
        <v>47</v>
      </c>
    </row>
    <row r="547" ht="14.25" customHeight="1" spans="1:15">
      <c r="A547" s="43" t="s">
        <v>1250</v>
      </c>
      <c r="B547" s="44">
        <v>46122</v>
      </c>
      <c r="C547" s="45">
        <v>0.546527777777778</v>
      </c>
      <c r="D547" s="46">
        <f t="shared" si="0"/>
        <v>13</v>
      </c>
      <c r="E547" s="47" t="str">
        <f t="shared" si="1"/>
        <v>Friday</v>
      </c>
      <c r="F547" s="47" t="s">
        <v>107</v>
      </c>
      <c r="G547" s="47" t="s">
        <v>103</v>
      </c>
      <c r="H547" s="43" t="s">
        <v>37</v>
      </c>
      <c r="I547" s="48">
        <v>2</v>
      </c>
      <c r="J547" s="49">
        <v>5000</v>
      </c>
      <c r="K547" s="50">
        <v>8000</v>
      </c>
      <c r="L547" s="47" t="s">
        <v>22</v>
      </c>
      <c r="M547" s="51">
        <v>0.2</v>
      </c>
      <c r="N547" s="48" t="s">
        <v>23</v>
      </c>
      <c r="O547" s="47" t="s">
        <v>33</v>
      </c>
    </row>
    <row r="548" ht="14.25" customHeight="1" spans="1:15">
      <c r="A548" s="43" t="s">
        <v>1253</v>
      </c>
      <c r="B548" s="44">
        <v>46122</v>
      </c>
      <c r="C548" s="45">
        <v>0.546527777777778</v>
      </c>
      <c r="D548" s="46">
        <f t="shared" si="0"/>
        <v>13</v>
      </c>
      <c r="E548" s="47" t="str">
        <f t="shared" si="1"/>
        <v>Friday</v>
      </c>
      <c r="F548" s="47" t="s">
        <v>107</v>
      </c>
      <c r="G548" s="47" t="s">
        <v>17</v>
      </c>
      <c r="H548" s="43" t="s">
        <v>18</v>
      </c>
      <c r="I548" s="48">
        <v>1</v>
      </c>
      <c r="J548" s="49">
        <v>1000</v>
      </c>
      <c r="K548" s="49">
        <v>1000</v>
      </c>
      <c r="L548" s="47" t="s">
        <v>32</v>
      </c>
      <c r="M548" s="46">
        <v>0</v>
      </c>
      <c r="N548" s="48" t="s">
        <v>23</v>
      </c>
      <c r="O548" s="47" t="s">
        <v>24</v>
      </c>
    </row>
    <row r="549" ht="14.25" customHeight="1" spans="1:15">
      <c r="A549" s="43" t="s">
        <v>1254</v>
      </c>
      <c r="B549" s="44">
        <v>46122</v>
      </c>
      <c r="C549" s="45">
        <v>0.661111111111111</v>
      </c>
      <c r="D549" s="46">
        <f t="shared" si="0"/>
        <v>15</v>
      </c>
      <c r="E549" s="47" t="str">
        <f t="shared" si="1"/>
        <v>Friday</v>
      </c>
      <c r="F549" s="47" t="s">
        <v>16</v>
      </c>
      <c r="G549" s="47" t="s">
        <v>44</v>
      </c>
      <c r="H549" s="43" t="s">
        <v>45</v>
      </c>
      <c r="I549" s="48">
        <v>1</v>
      </c>
      <c r="J549" s="49">
        <v>4000</v>
      </c>
      <c r="K549" s="49">
        <v>4000</v>
      </c>
      <c r="L549" s="47" t="s">
        <v>22</v>
      </c>
      <c r="M549" s="46">
        <v>0</v>
      </c>
      <c r="N549" s="48" t="s">
        <v>23</v>
      </c>
      <c r="O549" s="47" t="s">
        <v>33</v>
      </c>
    </row>
    <row r="550" ht="14.25" customHeight="1" spans="1:15">
      <c r="A550" s="43" t="s">
        <v>1258</v>
      </c>
      <c r="B550" s="44">
        <v>46122</v>
      </c>
      <c r="C550" s="45">
        <v>0.700694444444444</v>
      </c>
      <c r="D550" s="46">
        <f t="shared" si="0"/>
        <v>16</v>
      </c>
      <c r="E550" s="47" t="str">
        <f t="shared" si="1"/>
        <v>Friday</v>
      </c>
      <c r="F550" s="47" t="s">
        <v>107</v>
      </c>
      <c r="G550" s="47" t="s">
        <v>27</v>
      </c>
      <c r="H550" s="43" t="s">
        <v>28</v>
      </c>
      <c r="I550" s="48">
        <v>2</v>
      </c>
      <c r="J550" s="49">
        <v>15000</v>
      </c>
      <c r="K550" s="49">
        <v>30000</v>
      </c>
      <c r="L550" s="47" t="s">
        <v>32</v>
      </c>
      <c r="M550" s="46">
        <v>0</v>
      </c>
      <c r="N550" s="48" t="s">
        <v>23</v>
      </c>
      <c r="O550" s="47" t="s">
        <v>24</v>
      </c>
    </row>
    <row r="551" ht="14.25" customHeight="1" spans="1:15">
      <c r="A551" s="43" t="s">
        <v>1260</v>
      </c>
      <c r="B551" s="44">
        <v>46122</v>
      </c>
      <c r="C551" s="45">
        <v>0.79375</v>
      </c>
      <c r="D551" s="46">
        <f t="shared" si="0"/>
        <v>19</v>
      </c>
      <c r="E551" s="47" t="str">
        <f t="shared" si="1"/>
        <v>Friday</v>
      </c>
      <c r="F551" s="47" t="s">
        <v>43</v>
      </c>
      <c r="G551" s="47" t="s">
        <v>63</v>
      </c>
      <c r="H551" s="43" t="s">
        <v>18</v>
      </c>
      <c r="I551" s="48">
        <v>1</v>
      </c>
      <c r="J551" s="49">
        <v>1500</v>
      </c>
      <c r="K551" s="50">
        <v>1350</v>
      </c>
      <c r="L551" s="47" t="s">
        <v>22</v>
      </c>
      <c r="M551" s="51">
        <v>0.1</v>
      </c>
      <c r="N551" s="48" t="s">
        <v>23</v>
      </c>
      <c r="O551" s="47" t="s">
        <v>47</v>
      </c>
    </row>
    <row r="552" ht="14.25" customHeight="1" spans="1:15">
      <c r="A552" s="43" t="s">
        <v>1261</v>
      </c>
      <c r="B552" s="44">
        <v>46122</v>
      </c>
      <c r="C552" s="45">
        <v>0.800694444444444</v>
      </c>
      <c r="D552" s="46">
        <f t="shared" si="0"/>
        <v>19</v>
      </c>
      <c r="E552" s="47" t="str">
        <f t="shared" si="1"/>
        <v>Friday</v>
      </c>
      <c r="F552" s="47" t="s">
        <v>16</v>
      </c>
      <c r="G552" s="47" t="s">
        <v>103</v>
      </c>
      <c r="H552" s="43" t="str">
        <f>VLOOKUP(G552,'02_Menu_Lookup'!$A$2:$C$16,2,FALSE)</f>
        <v>Sandwiches</v>
      </c>
      <c r="I552" s="48">
        <v>2</v>
      </c>
      <c r="J552" s="49">
        <v>5000</v>
      </c>
      <c r="K552" s="49">
        <v>10000</v>
      </c>
      <c r="L552" s="47" t="s">
        <v>32</v>
      </c>
      <c r="M552" s="46">
        <v>0</v>
      </c>
      <c r="N552" s="48">
        <v>4</v>
      </c>
      <c r="O552" s="47" t="s">
        <v>33</v>
      </c>
    </row>
    <row r="553" ht="14.25" customHeight="1" spans="1:15">
      <c r="A553" s="43" t="s">
        <v>1262</v>
      </c>
      <c r="B553" s="44">
        <v>46299</v>
      </c>
      <c r="C553" s="45">
        <v>0.815277777777778</v>
      </c>
      <c r="D553" s="46">
        <f t="shared" si="0"/>
        <v>19</v>
      </c>
      <c r="E553" s="47" t="str">
        <f t="shared" si="1"/>
        <v>Sunday</v>
      </c>
      <c r="F553" s="47" t="s">
        <v>16</v>
      </c>
      <c r="G553" s="47" t="s">
        <v>57</v>
      </c>
      <c r="H553" s="43" t="str">
        <f>VLOOKUP(G553,'02_Menu_Lookup'!$A$2:$C$16,2,FALSE)</f>
        <v>Grills</v>
      </c>
      <c r="I553" s="48">
        <v>1</v>
      </c>
      <c r="J553" s="49">
        <v>18000</v>
      </c>
      <c r="K553" s="49">
        <v>18000</v>
      </c>
      <c r="L553" s="47" t="s">
        <v>32</v>
      </c>
      <c r="M553" s="46">
        <v>0</v>
      </c>
      <c r="N553" s="48">
        <v>4</v>
      </c>
      <c r="O553" s="47" t="s">
        <v>33</v>
      </c>
    </row>
    <row r="554" ht="14.25" customHeight="1" spans="1:15">
      <c r="A554" s="43" t="s">
        <v>1264</v>
      </c>
      <c r="B554" s="44">
        <v>46122</v>
      </c>
      <c r="C554" s="45">
        <v>0.820138888888889</v>
      </c>
      <c r="D554" s="46">
        <f t="shared" si="0"/>
        <v>19</v>
      </c>
      <c r="E554" s="47" t="str">
        <f t="shared" si="1"/>
        <v>Friday</v>
      </c>
      <c r="F554" s="47" t="s">
        <v>43</v>
      </c>
      <c r="G554" s="47" t="s">
        <v>367</v>
      </c>
      <c r="H554" s="43" t="s">
        <v>109</v>
      </c>
      <c r="I554" s="48">
        <v>1</v>
      </c>
      <c r="J554" s="49">
        <v>7000</v>
      </c>
      <c r="K554" s="49">
        <v>7000</v>
      </c>
      <c r="L554" s="47" t="s">
        <v>22</v>
      </c>
      <c r="M554" s="46">
        <v>0</v>
      </c>
      <c r="N554" s="48" t="s">
        <v>23</v>
      </c>
      <c r="O554" s="47" t="s">
        <v>24</v>
      </c>
    </row>
    <row r="555" ht="14.25" customHeight="1" spans="1:15">
      <c r="A555" s="43" t="s">
        <v>1266</v>
      </c>
      <c r="B555" s="44">
        <v>46122</v>
      </c>
      <c r="C555" s="45">
        <v>0.8375</v>
      </c>
      <c r="D555" s="46">
        <f t="shared" si="0"/>
        <v>20</v>
      </c>
      <c r="E555" s="47" t="str">
        <f t="shared" si="1"/>
        <v>Friday</v>
      </c>
      <c r="F555" s="47" t="s">
        <v>43</v>
      </c>
      <c r="G555" s="47" t="s">
        <v>57</v>
      </c>
      <c r="H555" s="43" t="s">
        <v>28</v>
      </c>
      <c r="I555" s="48">
        <v>1</v>
      </c>
      <c r="J555" s="49">
        <v>18000</v>
      </c>
      <c r="K555" s="49">
        <v>18000</v>
      </c>
      <c r="L555" s="47" t="s">
        <v>22</v>
      </c>
      <c r="M555" s="46">
        <v>0</v>
      </c>
      <c r="N555" s="48">
        <v>4</v>
      </c>
      <c r="O555" s="47" t="s">
        <v>33</v>
      </c>
    </row>
    <row r="556" ht="14.25" customHeight="1" spans="1:15">
      <c r="A556" s="43" t="s">
        <v>1268</v>
      </c>
      <c r="B556" s="44">
        <v>46122</v>
      </c>
      <c r="C556" s="45">
        <v>0.838888888888889</v>
      </c>
      <c r="D556" s="46">
        <f t="shared" si="0"/>
        <v>20</v>
      </c>
      <c r="E556" s="47" t="str">
        <f t="shared" si="1"/>
        <v>Friday</v>
      </c>
      <c r="F556" s="47" t="s">
        <v>107</v>
      </c>
      <c r="G556" s="47" t="s">
        <v>50</v>
      </c>
      <c r="H556" s="43" t="s">
        <v>28</v>
      </c>
      <c r="I556" s="48">
        <v>1</v>
      </c>
      <c r="J556" s="49">
        <v>25000</v>
      </c>
      <c r="K556" s="49">
        <v>25000</v>
      </c>
      <c r="L556" s="47" t="s">
        <v>22</v>
      </c>
      <c r="M556" s="46">
        <v>0</v>
      </c>
      <c r="N556" s="48">
        <v>4</v>
      </c>
      <c r="O556" s="47" t="s">
        <v>73</v>
      </c>
    </row>
    <row r="557" ht="14.25" customHeight="1" spans="1:15">
      <c r="A557" s="43" t="s">
        <v>1269</v>
      </c>
      <c r="B557" s="44">
        <v>46122</v>
      </c>
      <c r="C557" s="45">
        <v>0.865972222222222</v>
      </c>
      <c r="D557" s="46">
        <f t="shared" si="0"/>
        <v>20</v>
      </c>
      <c r="E557" s="47" t="str">
        <f t="shared" si="1"/>
        <v>Friday</v>
      </c>
      <c r="F557" s="47" t="s">
        <v>43</v>
      </c>
      <c r="G557" s="47" t="s">
        <v>17</v>
      </c>
      <c r="H557" s="43" t="s">
        <v>18</v>
      </c>
      <c r="I557" s="48">
        <v>2</v>
      </c>
      <c r="J557" s="49">
        <v>1000</v>
      </c>
      <c r="K557" s="49">
        <v>2000</v>
      </c>
      <c r="L557" s="47" t="s">
        <v>22</v>
      </c>
      <c r="M557" s="46">
        <v>0</v>
      </c>
      <c r="N557" s="48">
        <v>4</v>
      </c>
      <c r="O557" s="47" t="s">
        <v>33</v>
      </c>
    </row>
    <row r="558" ht="14.25" customHeight="1" spans="1:15">
      <c r="A558" s="43" t="s">
        <v>1270</v>
      </c>
      <c r="B558" s="44">
        <v>46122</v>
      </c>
      <c r="C558" s="45">
        <v>0.889583333333333</v>
      </c>
      <c r="D558" s="46">
        <f t="shared" si="0"/>
        <v>21</v>
      </c>
      <c r="E558" s="47" t="str">
        <f t="shared" si="1"/>
        <v>Friday</v>
      </c>
      <c r="F558" s="47" t="s">
        <v>16</v>
      </c>
      <c r="G558" s="47" t="s">
        <v>63</v>
      </c>
      <c r="H558" s="43" t="s">
        <v>18</v>
      </c>
      <c r="I558" s="48">
        <v>1</v>
      </c>
      <c r="J558" s="49">
        <v>1500</v>
      </c>
      <c r="K558" s="49">
        <v>1500</v>
      </c>
      <c r="L558" s="47" t="s">
        <v>32</v>
      </c>
      <c r="M558" s="46">
        <v>0</v>
      </c>
      <c r="N558" s="48" t="s">
        <v>23</v>
      </c>
      <c r="O558" s="47" t="s">
        <v>47</v>
      </c>
    </row>
    <row r="559" ht="14.25" customHeight="1" spans="1:15">
      <c r="A559" s="43" t="s">
        <v>1271</v>
      </c>
      <c r="B559" s="44">
        <v>46122</v>
      </c>
      <c r="C559" s="45">
        <v>0.890277777777778</v>
      </c>
      <c r="D559" s="46">
        <f t="shared" si="0"/>
        <v>21</v>
      </c>
      <c r="E559" s="47" t="str">
        <f t="shared" si="1"/>
        <v>Friday</v>
      </c>
      <c r="F559" s="47" t="s">
        <v>43</v>
      </c>
      <c r="G559" s="47" t="s">
        <v>17</v>
      </c>
      <c r="H559" s="43" t="s">
        <v>18</v>
      </c>
      <c r="I559" s="48">
        <v>2</v>
      </c>
      <c r="J559" s="49">
        <v>1000</v>
      </c>
      <c r="K559" s="49">
        <v>2000</v>
      </c>
      <c r="L559" s="47" t="s">
        <v>22</v>
      </c>
      <c r="M559" s="46">
        <v>0</v>
      </c>
      <c r="N559" s="48" t="s">
        <v>23</v>
      </c>
      <c r="O559" s="47" t="s">
        <v>33</v>
      </c>
    </row>
    <row r="560" ht="14.25" customHeight="1" spans="1:15">
      <c r="A560" s="43" t="s">
        <v>1272</v>
      </c>
      <c r="B560" s="44">
        <v>46122</v>
      </c>
      <c r="C560" s="45">
        <v>0.936805555555556</v>
      </c>
      <c r="D560" s="46">
        <f t="shared" si="0"/>
        <v>22</v>
      </c>
      <c r="E560" s="47" t="str">
        <f t="shared" si="1"/>
        <v>Friday</v>
      </c>
      <c r="F560" s="47" t="s">
        <v>43</v>
      </c>
      <c r="G560" s="47" t="s">
        <v>57</v>
      </c>
      <c r="H560" s="43" t="s">
        <v>28</v>
      </c>
      <c r="I560" s="48">
        <v>1</v>
      </c>
      <c r="J560" s="49">
        <v>18000</v>
      </c>
      <c r="K560" s="49">
        <v>18000</v>
      </c>
      <c r="L560" s="47" t="s">
        <v>22</v>
      </c>
      <c r="M560" s="46">
        <v>0</v>
      </c>
      <c r="N560" s="48" t="s">
        <v>23</v>
      </c>
      <c r="O560" s="47" t="s">
        <v>47</v>
      </c>
    </row>
    <row r="561" ht="14.25" customHeight="1" spans="1:15">
      <c r="A561" s="43" t="s">
        <v>1273</v>
      </c>
      <c r="B561" s="44">
        <v>46123</v>
      </c>
      <c r="C561" s="45">
        <v>0.542361111111111</v>
      </c>
      <c r="D561" s="46">
        <f t="shared" si="0"/>
        <v>13</v>
      </c>
      <c r="E561" s="47" t="str">
        <f t="shared" si="1"/>
        <v>Saturday</v>
      </c>
      <c r="F561" s="47" t="s">
        <v>43</v>
      </c>
      <c r="G561" s="47" t="s">
        <v>27</v>
      </c>
      <c r="H561" s="43" t="s">
        <v>28</v>
      </c>
      <c r="I561" s="48">
        <v>2</v>
      </c>
      <c r="J561" s="49">
        <v>15000</v>
      </c>
      <c r="K561" s="50">
        <v>25500</v>
      </c>
      <c r="L561" s="47" t="s">
        <v>22</v>
      </c>
      <c r="M561" s="51">
        <v>0.15</v>
      </c>
      <c r="N561" s="48">
        <v>4</v>
      </c>
      <c r="O561" s="47" t="s">
        <v>47</v>
      </c>
    </row>
    <row r="562" ht="14.25" customHeight="1" spans="1:15">
      <c r="A562" s="43" t="s">
        <v>1276</v>
      </c>
      <c r="B562" s="44">
        <v>46123</v>
      </c>
      <c r="C562" s="45">
        <v>0.549305555555556</v>
      </c>
      <c r="D562" s="46">
        <f t="shared" si="0"/>
        <v>13</v>
      </c>
      <c r="E562" s="47" t="str">
        <f t="shared" si="1"/>
        <v>Saturday</v>
      </c>
      <c r="F562" s="47" t="s">
        <v>16</v>
      </c>
      <c r="G562" s="47" t="s">
        <v>27</v>
      </c>
      <c r="H562" s="43" t="s">
        <v>28</v>
      </c>
      <c r="I562" s="48">
        <v>1</v>
      </c>
      <c r="J562" s="49">
        <v>15000</v>
      </c>
      <c r="K562" s="49">
        <v>15000</v>
      </c>
      <c r="L562" s="47" t="s">
        <v>22</v>
      </c>
      <c r="M562" s="46">
        <v>0</v>
      </c>
      <c r="N562" s="48">
        <v>4</v>
      </c>
      <c r="O562" s="47" t="s">
        <v>40</v>
      </c>
    </row>
    <row r="563" ht="14.25" customHeight="1" spans="1:15">
      <c r="A563" s="43" t="s">
        <v>1278</v>
      </c>
      <c r="B563" s="44">
        <v>46123</v>
      </c>
      <c r="C563" s="45">
        <v>0.599305555555556</v>
      </c>
      <c r="D563" s="46">
        <f t="shared" si="0"/>
        <v>14</v>
      </c>
      <c r="E563" s="47" t="str">
        <f t="shared" si="1"/>
        <v>Saturday</v>
      </c>
      <c r="F563" s="47" t="s">
        <v>107</v>
      </c>
      <c r="G563" s="47" t="s">
        <v>17</v>
      </c>
      <c r="H563" s="43" t="s">
        <v>18</v>
      </c>
      <c r="I563" s="48">
        <v>2</v>
      </c>
      <c r="J563" s="49">
        <v>1000</v>
      </c>
      <c r="K563" s="49">
        <v>2000</v>
      </c>
      <c r="L563" s="47" t="s">
        <v>22</v>
      </c>
      <c r="M563" s="46">
        <v>0</v>
      </c>
      <c r="N563" s="48">
        <v>3</v>
      </c>
      <c r="O563" s="47" t="s">
        <v>47</v>
      </c>
    </row>
    <row r="564" ht="14.25" customHeight="1" spans="1:15">
      <c r="A564" s="43" t="s">
        <v>1280</v>
      </c>
      <c r="B564" s="44">
        <v>46330</v>
      </c>
      <c r="C564" s="45">
        <v>0.648611111111111</v>
      </c>
      <c r="D564" s="46">
        <f t="shared" si="0"/>
        <v>15</v>
      </c>
      <c r="E564" s="47" t="str">
        <f t="shared" si="1"/>
        <v>Wednesday</v>
      </c>
      <c r="F564" s="47" t="s">
        <v>16</v>
      </c>
      <c r="G564" s="47" t="s">
        <v>81</v>
      </c>
      <c r="H564" s="43" t="s">
        <v>37</v>
      </c>
      <c r="I564" s="48">
        <v>1</v>
      </c>
      <c r="J564" s="50">
        <v>6000</v>
      </c>
      <c r="K564" s="49">
        <v>6000</v>
      </c>
      <c r="L564" s="47" t="s">
        <v>22</v>
      </c>
      <c r="M564" s="46">
        <v>0</v>
      </c>
      <c r="N564" s="48">
        <v>4</v>
      </c>
      <c r="O564" s="47" t="s">
        <v>24</v>
      </c>
    </row>
    <row r="565" ht="14.25" customHeight="1" spans="1:15">
      <c r="A565" s="43" t="s">
        <v>1283</v>
      </c>
      <c r="B565" s="44">
        <v>46330</v>
      </c>
      <c r="C565" s="45">
        <v>0.782638888888889</v>
      </c>
      <c r="D565" s="46">
        <f t="shared" si="0"/>
        <v>18</v>
      </c>
      <c r="E565" s="47" t="str">
        <f t="shared" si="1"/>
        <v>Wednesday</v>
      </c>
      <c r="F565" s="47" t="s">
        <v>16</v>
      </c>
      <c r="G565" s="47" t="s">
        <v>146</v>
      </c>
      <c r="H565" s="43" t="s">
        <v>28</v>
      </c>
      <c r="I565" s="48">
        <v>1</v>
      </c>
      <c r="J565" s="49">
        <v>16000</v>
      </c>
      <c r="K565" s="49">
        <v>16000</v>
      </c>
      <c r="L565" s="47" t="s">
        <v>22</v>
      </c>
      <c r="M565" s="46">
        <v>0</v>
      </c>
      <c r="N565" s="48" t="s">
        <v>23</v>
      </c>
      <c r="O565" s="47" t="s">
        <v>47</v>
      </c>
    </row>
    <row r="566" ht="14.25" customHeight="1" spans="1:15">
      <c r="A566" s="43" t="s">
        <v>1284</v>
      </c>
      <c r="B566" s="44">
        <v>46123</v>
      </c>
      <c r="C566" s="45">
        <v>0.790972222222222</v>
      </c>
      <c r="D566" s="46">
        <f t="shared" si="0"/>
        <v>18</v>
      </c>
      <c r="E566" s="47" t="str">
        <f t="shared" si="1"/>
        <v>Saturday</v>
      </c>
      <c r="F566" s="47" t="s">
        <v>16</v>
      </c>
      <c r="G566" s="43" t="s">
        <v>36</v>
      </c>
      <c r="H566" s="47" t="s">
        <v>37</v>
      </c>
      <c r="I566" s="48">
        <v>1</v>
      </c>
      <c r="J566" s="49">
        <v>3000</v>
      </c>
      <c r="K566" s="49">
        <v>3000</v>
      </c>
      <c r="L566" s="47" t="s">
        <v>32</v>
      </c>
      <c r="M566" s="46">
        <v>0</v>
      </c>
      <c r="N566" s="48">
        <v>4</v>
      </c>
      <c r="O566" s="47" t="s">
        <v>33</v>
      </c>
    </row>
    <row r="567" ht="14.25" customHeight="1" spans="1:15">
      <c r="A567" s="43" t="s">
        <v>1287</v>
      </c>
      <c r="B567" s="44">
        <v>46123</v>
      </c>
      <c r="C567" s="45">
        <v>0.851388888888889</v>
      </c>
      <c r="D567" s="46">
        <f t="shared" si="0"/>
        <v>20</v>
      </c>
      <c r="E567" s="47" t="str">
        <f t="shared" si="1"/>
        <v>Saturday</v>
      </c>
      <c r="F567" s="47" t="s">
        <v>16</v>
      </c>
      <c r="G567" s="47" t="s">
        <v>103</v>
      </c>
      <c r="H567" s="43" t="s">
        <v>37</v>
      </c>
      <c r="I567" s="48">
        <v>1</v>
      </c>
      <c r="J567" s="49">
        <v>5000</v>
      </c>
      <c r="K567" s="50">
        <v>4500</v>
      </c>
      <c r="L567" s="47" t="s">
        <v>32</v>
      </c>
      <c r="M567" s="51">
        <v>0.1</v>
      </c>
      <c r="N567" s="48">
        <v>5</v>
      </c>
      <c r="O567" s="47" t="s">
        <v>73</v>
      </c>
    </row>
    <row r="568" ht="14.25" customHeight="1" spans="1:15">
      <c r="A568" s="43" t="s">
        <v>1288</v>
      </c>
      <c r="B568" s="44">
        <v>46123</v>
      </c>
      <c r="C568" s="45">
        <v>0.863194444444444</v>
      </c>
      <c r="D568" s="46">
        <f t="shared" si="0"/>
        <v>20</v>
      </c>
      <c r="E568" s="47" t="str">
        <f t="shared" si="1"/>
        <v>Saturday</v>
      </c>
      <c r="F568" s="47" t="s">
        <v>107</v>
      </c>
      <c r="G568" s="47" t="s">
        <v>103</v>
      </c>
      <c r="H568" s="43" t="s">
        <v>37</v>
      </c>
      <c r="I568" s="48">
        <v>1</v>
      </c>
      <c r="J568" s="49">
        <v>5000</v>
      </c>
      <c r="K568" s="50">
        <v>4250</v>
      </c>
      <c r="L568" s="47" t="s">
        <v>32</v>
      </c>
      <c r="M568" s="51">
        <v>0.15</v>
      </c>
      <c r="N568" s="48">
        <v>4</v>
      </c>
      <c r="O568" s="47" t="s">
        <v>40</v>
      </c>
    </row>
    <row r="569" ht="14.25" customHeight="1" spans="1:15">
      <c r="A569" s="43" t="s">
        <v>1290</v>
      </c>
      <c r="B569" s="44">
        <v>46330</v>
      </c>
      <c r="C569" s="45">
        <v>0.952777777777778</v>
      </c>
      <c r="D569" s="46">
        <f t="shared" si="0"/>
        <v>22</v>
      </c>
      <c r="E569" s="47" t="str">
        <f t="shared" si="1"/>
        <v>Wednesday</v>
      </c>
      <c r="F569" s="47" t="s">
        <v>16</v>
      </c>
      <c r="G569" s="47" t="s">
        <v>63</v>
      </c>
      <c r="H569" s="43" t="s">
        <v>18</v>
      </c>
      <c r="I569" s="48">
        <v>1</v>
      </c>
      <c r="J569" s="49">
        <v>1500</v>
      </c>
      <c r="K569" s="50">
        <v>1275</v>
      </c>
      <c r="L569" s="47" t="s">
        <v>22</v>
      </c>
      <c r="M569" s="51">
        <v>0.15</v>
      </c>
      <c r="N569" s="48">
        <v>4</v>
      </c>
      <c r="O569" s="47" t="s">
        <v>33</v>
      </c>
    </row>
    <row r="570" ht="14.25" customHeight="1" spans="1:15">
      <c r="A570" s="43" t="s">
        <v>1292</v>
      </c>
      <c r="B570" s="44">
        <v>46124</v>
      </c>
      <c r="C570" s="45">
        <v>0.515972222222222</v>
      </c>
      <c r="D570" s="46">
        <f t="shared" si="0"/>
        <v>12</v>
      </c>
      <c r="E570" s="47" t="str">
        <f t="shared" si="1"/>
        <v>Sunday</v>
      </c>
      <c r="F570" s="47" t="s">
        <v>16</v>
      </c>
      <c r="G570" s="47" t="s">
        <v>27</v>
      </c>
      <c r="H570" s="43" t="str">
        <f>VLOOKUP(G570,'02_Menu_Lookup'!$A$2:$C$16,2,FALSE)</f>
        <v>Grills</v>
      </c>
      <c r="I570" s="48">
        <v>1</v>
      </c>
      <c r="J570" s="49">
        <v>15000</v>
      </c>
      <c r="K570" s="49">
        <v>15000</v>
      </c>
      <c r="L570" s="47" t="s">
        <v>32</v>
      </c>
      <c r="M570" s="46">
        <v>0</v>
      </c>
      <c r="N570" s="48">
        <v>5</v>
      </c>
      <c r="O570" s="47" t="s">
        <v>24</v>
      </c>
    </row>
    <row r="571" ht="14.25" customHeight="1" spans="1:15">
      <c r="A571" s="43" t="s">
        <v>1295</v>
      </c>
      <c r="B571" s="44">
        <v>46124</v>
      </c>
      <c r="C571" s="45">
        <v>0.59375</v>
      </c>
      <c r="D571" s="46">
        <f t="shared" si="0"/>
        <v>14</v>
      </c>
      <c r="E571" s="47" t="str">
        <f t="shared" si="1"/>
        <v>Sunday</v>
      </c>
      <c r="F571" s="47" t="s">
        <v>16</v>
      </c>
      <c r="G571" s="47" t="s">
        <v>103</v>
      </c>
      <c r="H571" s="43" t="s">
        <v>37</v>
      </c>
      <c r="I571" s="48">
        <v>1</v>
      </c>
      <c r="J571" s="49">
        <v>5000</v>
      </c>
      <c r="K571" s="49">
        <v>5000</v>
      </c>
      <c r="L571" s="47" t="s">
        <v>32</v>
      </c>
      <c r="M571" s="46">
        <v>0</v>
      </c>
      <c r="N571" s="48" t="s">
        <v>23</v>
      </c>
      <c r="O571" s="47" t="s">
        <v>73</v>
      </c>
    </row>
    <row r="572" ht="14.25" customHeight="1" spans="1:15">
      <c r="A572" s="43" t="s">
        <v>1298</v>
      </c>
      <c r="B572" s="44">
        <v>46124</v>
      </c>
      <c r="C572" s="45">
        <v>0.763888888888889</v>
      </c>
      <c r="D572" s="46">
        <f t="shared" si="0"/>
        <v>18</v>
      </c>
      <c r="E572" s="47" t="str">
        <f t="shared" si="1"/>
        <v>Sunday</v>
      </c>
      <c r="F572" s="47" t="s">
        <v>16</v>
      </c>
      <c r="G572" s="43" t="s">
        <v>36</v>
      </c>
      <c r="H572" s="43" t="s">
        <v>37</v>
      </c>
      <c r="I572" s="48">
        <v>1</v>
      </c>
      <c r="J572" s="49">
        <v>3000</v>
      </c>
      <c r="K572" s="49">
        <f>I572*J572</f>
        <v>3000</v>
      </c>
      <c r="L572" s="47" t="s">
        <v>22</v>
      </c>
      <c r="M572" s="46">
        <v>0</v>
      </c>
      <c r="N572" s="48" t="s">
        <v>23</v>
      </c>
      <c r="O572" s="47" t="s">
        <v>24</v>
      </c>
    </row>
    <row r="573" ht="14.25" customHeight="1" spans="1:15">
      <c r="A573" s="43" t="s">
        <v>1300</v>
      </c>
      <c r="B573" s="44">
        <v>46360</v>
      </c>
      <c r="C573" s="45">
        <v>0.813888888888889</v>
      </c>
      <c r="D573" s="46">
        <f t="shared" si="0"/>
        <v>19</v>
      </c>
      <c r="E573" s="47" t="str">
        <f t="shared" si="1"/>
        <v>Friday</v>
      </c>
      <c r="F573" s="47" t="s">
        <v>16</v>
      </c>
      <c r="G573" s="47" t="s">
        <v>103</v>
      </c>
      <c r="H573" s="43" t="s">
        <v>37</v>
      </c>
      <c r="I573" s="48">
        <v>1</v>
      </c>
      <c r="J573" s="49">
        <v>5000</v>
      </c>
      <c r="K573" s="49">
        <v>5000</v>
      </c>
      <c r="L573" s="47" t="s">
        <v>32</v>
      </c>
      <c r="M573" s="46">
        <v>0</v>
      </c>
      <c r="N573" s="48">
        <v>5</v>
      </c>
      <c r="O573" s="47" t="s">
        <v>24</v>
      </c>
    </row>
    <row r="574" ht="14.25" customHeight="1" spans="1:15">
      <c r="A574" s="43" t="s">
        <v>1303</v>
      </c>
      <c r="B574" s="44">
        <v>46124</v>
      </c>
      <c r="C574" s="45">
        <v>0.854166666666667</v>
      </c>
      <c r="D574" s="46">
        <f t="shared" si="0"/>
        <v>20</v>
      </c>
      <c r="E574" s="47" t="str">
        <f t="shared" si="1"/>
        <v>Sunday</v>
      </c>
      <c r="F574" s="47" t="s">
        <v>107</v>
      </c>
      <c r="G574" s="47" t="s">
        <v>17</v>
      </c>
      <c r="H574" s="43" t="s">
        <v>18</v>
      </c>
      <c r="I574" s="48">
        <v>3</v>
      </c>
      <c r="J574" s="49">
        <v>1000</v>
      </c>
      <c r="K574" s="49">
        <v>3000</v>
      </c>
      <c r="L574" s="47" t="s">
        <v>32</v>
      </c>
      <c r="M574" s="46">
        <v>0</v>
      </c>
      <c r="N574" s="48">
        <v>3</v>
      </c>
      <c r="O574" s="47" t="s">
        <v>24</v>
      </c>
    </row>
    <row r="575" ht="14.25" customHeight="1" spans="1:15">
      <c r="A575" s="43" t="s">
        <v>1304</v>
      </c>
      <c r="B575" s="44">
        <v>46125</v>
      </c>
      <c r="C575" s="45">
        <v>0.579166666666667</v>
      </c>
      <c r="D575" s="46">
        <f t="shared" si="0"/>
        <v>13</v>
      </c>
      <c r="E575" s="47" t="str">
        <f t="shared" si="1"/>
        <v>Monday</v>
      </c>
      <c r="F575" s="47" t="s">
        <v>16</v>
      </c>
      <c r="G575" s="47" t="s">
        <v>57</v>
      </c>
      <c r="H575" s="43" t="s">
        <v>28</v>
      </c>
      <c r="I575" s="48">
        <v>2</v>
      </c>
      <c r="J575" s="49">
        <v>18000</v>
      </c>
      <c r="K575" s="49">
        <v>36000</v>
      </c>
      <c r="L575" s="47" t="s">
        <v>22</v>
      </c>
      <c r="M575" s="46">
        <v>0</v>
      </c>
      <c r="N575" s="48" t="s">
        <v>23</v>
      </c>
      <c r="O575" s="47" t="s">
        <v>40</v>
      </c>
    </row>
    <row r="576" ht="14.25" customHeight="1" spans="1:15">
      <c r="A576" s="43" t="s">
        <v>1306</v>
      </c>
      <c r="B576" s="44">
        <v>46125</v>
      </c>
      <c r="C576" s="45">
        <v>0.75</v>
      </c>
      <c r="D576" s="46">
        <f t="shared" si="0"/>
        <v>18</v>
      </c>
      <c r="E576" s="47" t="str">
        <f t="shared" si="1"/>
        <v>Monday</v>
      </c>
      <c r="F576" s="47" t="s">
        <v>16</v>
      </c>
      <c r="G576" s="47" t="s">
        <v>146</v>
      </c>
      <c r="H576" s="43" t="s">
        <v>28</v>
      </c>
      <c r="I576" s="48">
        <v>1</v>
      </c>
      <c r="J576" s="49">
        <f>K576/I576</f>
        <v>16000</v>
      </c>
      <c r="K576" s="49">
        <v>16000</v>
      </c>
      <c r="L576" s="47" t="s">
        <v>22</v>
      </c>
      <c r="M576" s="46">
        <v>0</v>
      </c>
      <c r="N576" s="48" t="s">
        <v>23</v>
      </c>
      <c r="O576" s="47" t="s">
        <v>73</v>
      </c>
    </row>
    <row r="577" ht="14.25" customHeight="1" spans="1:15">
      <c r="A577" s="43" t="s">
        <v>1308</v>
      </c>
      <c r="B577" s="44">
        <v>46125</v>
      </c>
      <c r="C577" s="45">
        <v>0.836805555555556</v>
      </c>
      <c r="D577" s="46">
        <f t="shared" si="0"/>
        <v>20</v>
      </c>
      <c r="E577" s="47" t="str">
        <f t="shared" si="1"/>
        <v>Monday</v>
      </c>
      <c r="F577" s="47" t="s">
        <v>43</v>
      </c>
      <c r="G577" s="43" t="s">
        <v>165</v>
      </c>
      <c r="H577" s="43" t="s">
        <v>109</v>
      </c>
      <c r="I577" s="48">
        <v>1</v>
      </c>
      <c r="J577" s="49">
        <v>6000</v>
      </c>
      <c r="K577" s="49">
        <v>6000</v>
      </c>
      <c r="L577" s="47" t="s">
        <v>22</v>
      </c>
      <c r="M577" s="46">
        <v>0</v>
      </c>
      <c r="N577" s="48" t="s">
        <v>23</v>
      </c>
      <c r="O577" s="47" t="s">
        <v>73</v>
      </c>
    </row>
    <row r="578" ht="14.25" customHeight="1" spans="1:15">
      <c r="A578" s="43" t="s">
        <v>1311</v>
      </c>
      <c r="B578" s="44">
        <v>46125</v>
      </c>
      <c r="C578" s="45">
        <v>0.911111111111111</v>
      </c>
      <c r="D578" s="46">
        <f t="shared" si="0"/>
        <v>21</v>
      </c>
      <c r="E578" s="47" t="str">
        <f t="shared" si="1"/>
        <v>Monday</v>
      </c>
      <c r="F578" s="47" t="s">
        <v>107</v>
      </c>
      <c r="G578" s="47" t="s">
        <v>63</v>
      </c>
      <c r="H578" s="43" t="s">
        <v>18</v>
      </c>
      <c r="I578" s="48">
        <v>1</v>
      </c>
      <c r="J578" s="49">
        <v>1500</v>
      </c>
      <c r="K578" s="49">
        <v>1500</v>
      </c>
      <c r="L578" s="47" t="s">
        <v>22</v>
      </c>
      <c r="M578" s="46">
        <v>0</v>
      </c>
      <c r="N578" s="48" t="s">
        <v>23</v>
      </c>
      <c r="O578" s="47" t="s">
        <v>33</v>
      </c>
    </row>
    <row r="579" ht="14.25" customHeight="1" spans="1:15">
      <c r="A579" s="43" t="s">
        <v>1312</v>
      </c>
      <c r="B579" s="44">
        <v>46125</v>
      </c>
      <c r="C579" s="45">
        <v>0.9125</v>
      </c>
      <c r="D579" s="46">
        <f t="shared" si="0"/>
        <v>21</v>
      </c>
      <c r="E579" s="47" t="str">
        <f t="shared" si="1"/>
        <v>Monday</v>
      </c>
      <c r="F579" s="47" t="s">
        <v>16</v>
      </c>
      <c r="G579" s="47" t="s">
        <v>50</v>
      </c>
      <c r="H579" s="43" t="s">
        <v>28</v>
      </c>
      <c r="I579" s="48">
        <v>1</v>
      </c>
      <c r="J579" s="50">
        <v>25000</v>
      </c>
      <c r="K579" s="49">
        <v>25000</v>
      </c>
      <c r="L579" s="47" t="s">
        <v>32</v>
      </c>
      <c r="M579" s="46">
        <v>0</v>
      </c>
      <c r="N579" s="48" t="s">
        <v>23</v>
      </c>
      <c r="O579" s="47" t="s">
        <v>33</v>
      </c>
    </row>
    <row r="580" ht="14.25" customHeight="1" spans="1:15">
      <c r="A580" s="43" t="s">
        <v>1313</v>
      </c>
      <c r="B580" s="44">
        <v>46125</v>
      </c>
      <c r="C580" s="45">
        <v>0.94375</v>
      </c>
      <c r="D580" s="46">
        <f t="shared" si="0"/>
        <v>22</v>
      </c>
      <c r="E580" s="47" t="str">
        <f t="shared" si="1"/>
        <v>Monday</v>
      </c>
      <c r="F580" s="47" t="s">
        <v>43</v>
      </c>
      <c r="G580" s="47" t="s">
        <v>50</v>
      </c>
      <c r="H580" s="43" t="str">
        <f>VLOOKUP(G580,'02_Menu_Lookup'!$A$2:$C$16,2,FALSE)</f>
        <v>Grills</v>
      </c>
      <c r="I580" s="48">
        <v>1</v>
      </c>
      <c r="J580" s="49">
        <v>25000</v>
      </c>
      <c r="K580" s="49">
        <v>25000</v>
      </c>
      <c r="L580" s="47" t="s">
        <v>32</v>
      </c>
      <c r="M580" s="46">
        <v>0</v>
      </c>
      <c r="N580" s="48">
        <v>4</v>
      </c>
      <c r="O580" s="47" t="s">
        <v>73</v>
      </c>
    </row>
    <row r="581" ht="14.25" customHeight="1" spans="1:15">
      <c r="A581" s="43" t="s">
        <v>1315</v>
      </c>
      <c r="B581" s="44">
        <v>46126</v>
      </c>
      <c r="C581" s="45">
        <v>0.536111111111111</v>
      </c>
      <c r="D581" s="46">
        <f t="shared" si="0"/>
        <v>12</v>
      </c>
      <c r="E581" s="47" t="str">
        <f t="shared" si="1"/>
        <v>Tuesday</v>
      </c>
      <c r="F581" s="47" t="s">
        <v>16</v>
      </c>
      <c r="G581" s="47" t="s">
        <v>63</v>
      </c>
      <c r="H581" s="43" t="s">
        <v>18</v>
      </c>
      <c r="I581" s="48">
        <v>1</v>
      </c>
      <c r="J581" s="49">
        <v>1500</v>
      </c>
      <c r="K581" s="50">
        <v>1275</v>
      </c>
      <c r="L581" s="47" t="s">
        <v>22</v>
      </c>
      <c r="M581" s="51">
        <v>0.15</v>
      </c>
      <c r="N581" s="48" t="s">
        <v>23</v>
      </c>
      <c r="O581" s="47" t="s">
        <v>24</v>
      </c>
    </row>
    <row r="582" ht="14.25" customHeight="1" spans="1:15">
      <c r="A582" s="43" t="s">
        <v>1318</v>
      </c>
      <c r="B582" s="44">
        <v>46126</v>
      </c>
      <c r="C582" s="45">
        <v>0.540277777777778</v>
      </c>
      <c r="D582" s="46">
        <f t="shared" si="0"/>
        <v>12</v>
      </c>
      <c r="E582" s="47" t="str">
        <f t="shared" si="1"/>
        <v>Tuesday</v>
      </c>
      <c r="F582" s="47" t="s">
        <v>16</v>
      </c>
      <c r="G582" s="47" t="s">
        <v>17</v>
      </c>
      <c r="H582" s="43" t="str">
        <f>VLOOKUP(G582,'02_Menu_Lookup'!$A$2:$C$16,2,FALSE)</f>
        <v>Beverages</v>
      </c>
      <c r="I582" s="48">
        <v>2</v>
      </c>
      <c r="J582" s="49">
        <v>1000</v>
      </c>
      <c r="K582" s="50">
        <v>1800</v>
      </c>
      <c r="L582" s="47" t="s">
        <v>22</v>
      </c>
      <c r="M582" s="51">
        <v>0.1</v>
      </c>
      <c r="N582" s="48">
        <v>4</v>
      </c>
      <c r="O582" s="47" t="s">
        <v>73</v>
      </c>
    </row>
    <row r="583" ht="14.25" customHeight="1" spans="1:15">
      <c r="A583" s="43" t="s">
        <v>1320</v>
      </c>
      <c r="B583" s="44">
        <v>46126</v>
      </c>
      <c r="C583" s="45">
        <v>0.607638888888889</v>
      </c>
      <c r="D583" s="46">
        <f t="shared" si="0"/>
        <v>14</v>
      </c>
      <c r="E583" s="47" t="str">
        <f t="shared" si="1"/>
        <v>Tuesday</v>
      </c>
      <c r="F583" s="47" t="s">
        <v>16</v>
      </c>
      <c r="G583" s="47" t="s">
        <v>50</v>
      </c>
      <c r="H583" s="43" t="s">
        <v>28</v>
      </c>
      <c r="I583" s="48">
        <v>1</v>
      </c>
      <c r="J583" s="49">
        <v>25000</v>
      </c>
      <c r="K583" s="49">
        <v>25000</v>
      </c>
      <c r="L583" s="47" t="s">
        <v>22</v>
      </c>
      <c r="M583" s="46">
        <v>0</v>
      </c>
      <c r="N583" s="48">
        <v>4</v>
      </c>
      <c r="O583" s="47" t="s">
        <v>24</v>
      </c>
    </row>
    <row r="584" ht="14.25" customHeight="1" spans="1:15">
      <c r="A584" s="43" t="s">
        <v>1321</v>
      </c>
      <c r="B584" s="44">
        <v>46126</v>
      </c>
      <c r="C584" s="45">
        <v>0.609027777777778</v>
      </c>
      <c r="D584" s="46">
        <f t="shared" si="0"/>
        <v>14</v>
      </c>
      <c r="E584" s="47" t="str">
        <f t="shared" si="1"/>
        <v>Tuesday</v>
      </c>
      <c r="F584" s="47" t="s">
        <v>16</v>
      </c>
      <c r="G584" s="47" t="s">
        <v>103</v>
      </c>
      <c r="H584" s="43" t="str">
        <f>VLOOKUP(G584,'02_Menu_Lookup'!$A$2:$C$16,2,FALSE)</f>
        <v>Sandwiches</v>
      </c>
      <c r="I584" s="48">
        <v>1</v>
      </c>
      <c r="J584" s="49">
        <v>5000</v>
      </c>
      <c r="K584" s="49">
        <v>5000</v>
      </c>
      <c r="L584" s="47" t="s">
        <v>22</v>
      </c>
      <c r="M584" s="46">
        <v>0</v>
      </c>
      <c r="N584" s="48">
        <v>4</v>
      </c>
      <c r="O584" s="47" t="s">
        <v>33</v>
      </c>
    </row>
    <row r="585" ht="14.25" customHeight="1" spans="1:15">
      <c r="A585" s="43" t="s">
        <v>1323</v>
      </c>
      <c r="B585" s="44">
        <v>46126</v>
      </c>
      <c r="C585" s="45">
        <v>0.848611111111111</v>
      </c>
      <c r="D585" s="46">
        <f t="shared" si="0"/>
        <v>20</v>
      </c>
      <c r="E585" s="47" t="str">
        <f t="shared" si="1"/>
        <v>Tuesday</v>
      </c>
      <c r="F585" s="47" t="s">
        <v>16</v>
      </c>
      <c r="G585" s="47" t="s">
        <v>95</v>
      </c>
      <c r="H585" s="43" t="s">
        <v>45</v>
      </c>
      <c r="I585" s="48">
        <v>1</v>
      </c>
      <c r="J585" s="49">
        <v>5000</v>
      </c>
      <c r="K585" s="49">
        <v>5000</v>
      </c>
      <c r="L585" s="47" t="s">
        <v>22</v>
      </c>
      <c r="M585" s="46">
        <v>0</v>
      </c>
      <c r="N585" s="48" t="s">
        <v>23</v>
      </c>
      <c r="O585" s="47" t="s">
        <v>33</v>
      </c>
    </row>
    <row r="586" ht="14.25" customHeight="1" spans="1:15">
      <c r="A586" s="43" t="s">
        <v>1324</v>
      </c>
      <c r="B586" s="44">
        <v>46126</v>
      </c>
      <c r="C586" s="45">
        <v>0.888194444444444</v>
      </c>
      <c r="D586" s="46">
        <f t="shared" si="0"/>
        <v>21</v>
      </c>
      <c r="E586" s="47" t="str">
        <f t="shared" si="1"/>
        <v>Tuesday</v>
      </c>
      <c r="F586" s="47" t="s">
        <v>43</v>
      </c>
      <c r="G586" s="47" t="s">
        <v>17</v>
      </c>
      <c r="H586" s="43" t="s">
        <v>18</v>
      </c>
      <c r="I586" s="48">
        <v>2</v>
      </c>
      <c r="J586" s="49">
        <v>1000</v>
      </c>
      <c r="K586" s="49">
        <v>2000</v>
      </c>
      <c r="L586" s="47" t="s">
        <v>22</v>
      </c>
      <c r="M586" s="46">
        <v>0</v>
      </c>
      <c r="N586" s="48">
        <v>3</v>
      </c>
      <c r="O586" s="47" t="s">
        <v>40</v>
      </c>
    </row>
    <row r="587" ht="14.25" customHeight="1" spans="1:15">
      <c r="A587" s="43" t="s">
        <v>1325</v>
      </c>
      <c r="B587" s="44">
        <v>46126</v>
      </c>
      <c r="C587" s="45">
        <v>0.895138888888889</v>
      </c>
      <c r="D587" s="46">
        <f t="shared" si="0"/>
        <v>21</v>
      </c>
      <c r="E587" s="47" t="str">
        <f t="shared" si="1"/>
        <v>Tuesday</v>
      </c>
      <c r="F587" s="47" t="s">
        <v>16</v>
      </c>
      <c r="G587" s="47" t="s">
        <v>57</v>
      </c>
      <c r="H587" s="43" t="s">
        <v>28</v>
      </c>
      <c r="I587" s="48">
        <v>1</v>
      </c>
      <c r="J587" s="49">
        <v>18000</v>
      </c>
      <c r="K587" s="49">
        <v>18000</v>
      </c>
      <c r="L587" s="47" t="s">
        <v>22</v>
      </c>
      <c r="M587" s="46">
        <v>0</v>
      </c>
      <c r="N587" s="48" t="s">
        <v>23</v>
      </c>
      <c r="O587" s="47" t="s">
        <v>24</v>
      </c>
    </row>
    <row r="588" ht="14.25" customHeight="1" spans="1:15">
      <c r="A588" s="43" t="s">
        <v>1327</v>
      </c>
      <c r="B588" s="44">
        <v>46126</v>
      </c>
      <c r="C588" s="45">
        <v>0.930555555555556</v>
      </c>
      <c r="D588" s="46">
        <f t="shared" si="0"/>
        <v>22</v>
      </c>
      <c r="E588" s="47" t="str">
        <f t="shared" si="1"/>
        <v>Tuesday</v>
      </c>
      <c r="F588" s="47" t="s">
        <v>43</v>
      </c>
      <c r="G588" s="43" t="s">
        <v>647</v>
      </c>
      <c r="H588" s="43" t="s">
        <v>45</v>
      </c>
      <c r="I588" s="48">
        <v>1</v>
      </c>
      <c r="J588" s="49">
        <v>4500</v>
      </c>
      <c r="K588" s="49">
        <v>4500</v>
      </c>
      <c r="L588" s="47" t="s">
        <v>22</v>
      </c>
      <c r="M588" s="46">
        <v>0</v>
      </c>
      <c r="N588" s="48" t="s">
        <v>23</v>
      </c>
      <c r="O588" s="47" t="s">
        <v>40</v>
      </c>
    </row>
    <row r="589" ht="14.25" customHeight="1" spans="1:15">
      <c r="A589" s="43" t="s">
        <v>1329</v>
      </c>
      <c r="B589" s="44">
        <v>46126</v>
      </c>
      <c r="C589" s="45">
        <v>0.950694444444444</v>
      </c>
      <c r="D589" s="46">
        <f t="shared" si="0"/>
        <v>22</v>
      </c>
      <c r="E589" s="47" t="str">
        <f t="shared" si="1"/>
        <v>Tuesday</v>
      </c>
      <c r="F589" s="47" t="s">
        <v>107</v>
      </c>
      <c r="G589" s="47" t="s">
        <v>146</v>
      </c>
      <c r="H589" s="43" t="s">
        <v>28</v>
      </c>
      <c r="I589" s="48">
        <v>1</v>
      </c>
      <c r="J589" s="49">
        <v>16000</v>
      </c>
      <c r="K589" s="50">
        <v>14400</v>
      </c>
      <c r="L589" s="47" t="s">
        <v>22</v>
      </c>
      <c r="M589" s="51">
        <v>0.1</v>
      </c>
      <c r="N589" s="48">
        <v>4</v>
      </c>
      <c r="O589" s="47" t="s">
        <v>73</v>
      </c>
    </row>
    <row r="590" ht="14.25" customHeight="1" spans="1:15">
      <c r="A590" s="43" t="s">
        <v>1331</v>
      </c>
      <c r="B590" s="44">
        <v>46127</v>
      </c>
      <c r="C590" s="45">
        <v>0.582638888888889</v>
      </c>
      <c r="D590" s="46">
        <f t="shared" si="0"/>
        <v>13</v>
      </c>
      <c r="E590" s="47" t="str">
        <f t="shared" si="1"/>
        <v>Wednesday</v>
      </c>
      <c r="F590" s="47" t="s">
        <v>107</v>
      </c>
      <c r="G590" s="47" t="s">
        <v>81</v>
      </c>
      <c r="H590" s="43" t="s">
        <v>37</v>
      </c>
      <c r="I590" s="48">
        <v>1</v>
      </c>
      <c r="J590" s="49">
        <v>6000</v>
      </c>
      <c r="K590" s="49">
        <v>6000</v>
      </c>
      <c r="L590" s="47" t="s">
        <v>22</v>
      </c>
      <c r="M590" s="46">
        <v>0</v>
      </c>
      <c r="N590" s="48" t="s">
        <v>23</v>
      </c>
      <c r="O590" s="47" t="s">
        <v>40</v>
      </c>
    </row>
    <row r="591" ht="14.25" customHeight="1" spans="1:15">
      <c r="A591" s="43" t="s">
        <v>1335</v>
      </c>
      <c r="B591" s="44">
        <v>46127</v>
      </c>
      <c r="C591" s="45">
        <v>0.816666666666667</v>
      </c>
      <c r="D591" s="46">
        <f t="shared" si="0"/>
        <v>19</v>
      </c>
      <c r="E591" s="47" t="str">
        <f t="shared" si="1"/>
        <v>Wednesday</v>
      </c>
      <c r="F591" s="47" t="s">
        <v>16</v>
      </c>
      <c r="G591" s="47" t="s">
        <v>27</v>
      </c>
      <c r="H591" s="43" t="s">
        <v>28</v>
      </c>
      <c r="I591" s="48">
        <v>1</v>
      </c>
      <c r="J591" s="49">
        <v>15000</v>
      </c>
      <c r="K591" s="49">
        <v>15000</v>
      </c>
      <c r="L591" s="47" t="s">
        <v>22</v>
      </c>
      <c r="M591" s="46">
        <v>0</v>
      </c>
      <c r="N591" s="48">
        <v>5</v>
      </c>
      <c r="O591" s="47" t="s">
        <v>47</v>
      </c>
    </row>
    <row r="592" ht="14.25" customHeight="1" spans="1:15">
      <c r="A592" s="43" t="s">
        <v>1336</v>
      </c>
      <c r="B592" s="44">
        <v>46128</v>
      </c>
      <c r="C592" s="45">
        <v>0.572222222222222</v>
      </c>
      <c r="D592" s="46">
        <f t="shared" si="0"/>
        <v>13</v>
      </c>
      <c r="E592" s="47" t="str">
        <f t="shared" si="1"/>
        <v>Thursday</v>
      </c>
      <c r="F592" s="47" t="s">
        <v>43</v>
      </c>
      <c r="G592" s="47" t="s">
        <v>44</v>
      </c>
      <c r="H592" s="43" t="s">
        <v>45</v>
      </c>
      <c r="I592" s="48">
        <v>2</v>
      </c>
      <c r="J592" s="49">
        <v>4000</v>
      </c>
      <c r="K592" s="49">
        <v>8000</v>
      </c>
      <c r="L592" s="47" t="s">
        <v>22</v>
      </c>
      <c r="M592" s="46">
        <v>0</v>
      </c>
      <c r="N592" s="48">
        <v>5</v>
      </c>
      <c r="O592" s="47" t="s">
        <v>33</v>
      </c>
    </row>
    <row r="593" ht="14.25" customHeight="1" spans="1:15">
      <c r="A593" s="43" t="s">
        <v>1339</v>
      </c>
      <c r="B593" s="44">
        <v>46128</v>
      </c>
      <c r="C593" s="45">
        <v>0.604861111111111</v>
      </c>
      <c r="D593" s="46">
        <f t="shared" si="0"/>
        <v>14</v>
      </c>
      <c r="E593" s="47" t="str">
        <f t="shared" si="1"/>
        <v>Thursday</v>
      </c>
      <c r="F593" s="47" t="s">
        <v>107</v>
      </c>
      <c r="G593" s="47" t="s">
        <v>63</v>
      </c>
      <c r="H593" s="43" t="s">
        <v>18</v>
      </c>
      <c r="I593" s="48">
        <v>1</v>
      </c>
      <c r="J593" s="49">
        <v>1500</v>
      </c>
      <c r="K593" s="49">
        <v>1500</v>
      </c>
      <c r="L593" s="47" t="s">
        <v>32</v>
      </c>
      <c r="M593" s="46">
        <v>0</v>
      </c>
      <c r="N593" s="48">
        <v>4</v>
      </c>
      <c r="O593" s="47" t="s">
        <v>47</v>
      </c>
    </row>
    <row r="594" ht="14.25" customHeight="1" spans="1:15">
      <c r="A594" s="43" t="s">
        <v>1340</v>
      </c>
      <c r="B594" s="44">
        <v>46128</v>
      </c>
      <c r="C594" s="45">
        <v>0.772222222222222</v>
      </c>
      <c r="D594" s="46">
        <f t="shared" si="0"/>
        <v>18</v>
      </c>
      <c r="E594" s="47" t="str">
        <f t="shared" si="1"/>
        <v>Thursday</v>
      </c>
      <c r="F594" s="47" t="s">
        <v>16</v>
      </c>
      <c r="G594" s="47" t="s">
        <v>367</v>
      </c>
      <c r="H594" s="43" t="s">
        <v>109</v>
      </c>
      <c r="I594" s="48">
        <v>2</v>
      </c>
      <c r="J594" s="49">
        <v>7000</v>
      </c>
      <c r="K594" s="50">
        <v>11900</v>
      </c>
      <c r="L594" s="47" t="s">
        <v>22</v>
      </c>
      <c r="M594" s="51">
        <v>0.15</v>
      </c>
      <c r="N594" s="48" t="s">
        <v>23</v>
      </c>
      <c r="O594" s="47" t="s">
        <v>47</v>
      </c>
    </row>
    <row r="595" ht="14.25" customHeight="1" spans="1:15">
      <c r="A595" s="43" t="s">
        <v>1342</v>
      </c>
      <c r="B595" s="44">
        <v>46128</v>
      </c>
      <c r="C595" s="45">
        <v>0.819444444444444</v>
      </c>
      <c r="D595" s="46">
        <f t="shared" si="0"/>
        <v>19</v>
      </c>
      <c r="E595" s="47" t="str">
        <f t="shared" si="1"/>
        <v>Thursday</v>
      </c>
      <c r="F595" s="47" t="s">
        <v>16</v>
      </c>
      <c r="G595" s="47" t="s">
        <v>81</v>
      </c>
      <c r="H595" s="43" t="s">
        <v>37</v>
      </c>
      <c r="I595" s="48">
        <v>1</v>
      </c>
      <c r="J595" s="49">
        <v>6000</v>
      </c>
      <c r="K595" s="50">
        <v>5400</v>
      </c>
      <c r="L595" s="47" t="s">
        <v>32</v>
      </c>
      <c r="M595" s="51">
        <v>0.1</v>
      </c>
      <c r="N595" s="48" t="s">
        <v>23</v>
      </c>
      <c r="O595" s="47" t="s">
        <v>73</v>
      </c>
    </row>
    <row r="596" ht="14.25" customHeight="1" spans="1:15">
      <c r="A596" s="43" t="s">
        <v>1344</v>
      </c>
      <c r="B596" s="44">
        <v>46128</v>
      </c>
      <c r="C596" s="45">
        <v>0.842361111111111</v>
      </c>
      <c r="D596" s="46">
        <f t="shared" si="0"/>
        <v>20</v>
      </c>
      <c r="E596" s="47" t="str">
        <f t="shared" si="1"/>
        <v>Thursday</v>
      </c>
      <c r="F596" s="47" t="s">
        <v>16</v>
      </c>
      <c r="G596" s="47" t="s">
        <v>367</v>
      </c>
      <c r="H596" s="43" t="s">
        <v>109</v>
      </c>
      <c r="I596" s="48">
        <v>1</v>
      </c>
      <c r="J596" s="49">
        <v>7000</v>
      </c>
      <c r="K596" s="49">
        <v>7000</v>
      </c>
      <c r="L596" s="47" t="s">
        <v>22</v>
      </c>
      <c r="M596" s="46">
        <v>0</v>
      </c>
      <c r="N596" s="48">
        <v>4</v>
      </c>
      <c r="O596" s="47" t="s">
        <v>33</v>
      </c>
    </row>
    <row r="597" ht="14.25" customHeight="1" spans="1:15">
      <c r="A597" s="43" t="s">
        <v>1345</v>
      </c>
      <c r="B597" s="44">
        <v>46128</v>
      </c>
      <c r="C597" s="45">
        <v>0.888888888888889</v>
      </c>
      <c r="D597" s="46">
        <f t="shared" si="0"/>
        <v>21</v>
      </c>
      <c r="E597" s="47" t="str">
        <f t="shared" si="1"/>
        <v>Thursday</v>
      </c>
      <c r="F597" s="47" t="s">
        <v>16</v>
      </c>
      <c r="G597" s="47" t="s">
        <v>95</v>
      </c>
      <c r="H597" s="43" t="s">
        <v>45</v>
      </c>
      <c r="I597" s="48">
        <v>1</v>
      </c>
      <c r="J597" s="49">
        <v>5000</v>
      </c>
      <c r="K597" s="49">
        <v>5000</v>
      </c>
      <c r="L597" s="47" t="s">
        <v>22</v>
      </c>
      <c r="M597" s="46">
        <v>0</v>
      </c>
      <c r="N597" s="48" t="s">
        <v>23</v>
      </c>
      <c r="O597" s="47" t="s">
        <v>33</v>
      </c>
    </row>
    <row r="598" ht="14.25" customHeight="1" spans="1:15">
      <c r="A598" s="43" t="s">
        <v>1347</v>
      </c>
      <c r="B598" s="44">
        <v>46128</v>
      </c>
      <c r="C598" s="45">
        <v>0.91875</v>
      </c>
      <c r="D598" s="46">
        <f t="shared" si="0"/>
        <v>22</v>
      </c>
      <c r="E598" s="47" t="str">
        <f t="shared" si="1"/>
        <v>Thursday</v>
      </c>
      <c r="F598" s="47" t="s">
        <v>43</v>
      </c>
      <c r="G598" s="47" t="s">
        <v>57</v>
      </c>
      <c r="H598" s="43" t="s">
        <v>28</v>
      </c>
      <c r="I598" s="48">
        <v>2</v>
      </c>
      <c r="J598" s="49">
        <v>18000</v>
      </c>
      <c r="K598" s="49">
        <v>36000</v>
      </c>
      <c r="L598" s="47" t="s">
        <v>22</v>
      </c>
      <c r="M598" s="46">
        <v>0</v>
      </c>
      <c r="N598" s="48" t="s">
        <v>23</v>
      </c>
      <c r="O598" s="47" t="s">
        <v>24</v>
      </c>
    </row>
    <row r="599" ht="14.25" customHeight="1" spans="1:15">
      <c r="A599" s="43" t="s">
        <v>1349</v>
      </c>
      <c r="B599" s="44">
        <v>46128</v>
      </c>
      <c r="C599" s="45">
        <v>0.949305555555556</v>
      </c>
      <c r="D599" s="46">
        <f t="shared" si="0"/>
        <v>22</v>
      </c>
      <c r="E599" s="47" t="str">
        <f t="shared" si="1"/>
        <v>Thursday</v>
      </c>
      <c r="F599" s="47" t="s">
        <v>16</v>
      </c>
      <c r="G599" s="47" t="s">
        <v>103</v>
      </c>
      <c r="H599" s="43" t="s">
        <v>37</v>
      </c>
      <c r="I599" s="48">
        <v>1</v>
      </c>
      <c r="J599" s="49">
        <v>5000</v>
      </c>
      <c r="K599" s="49">
        <v>5000</v>
      </c>
      <c r="L599" s="47" t="s">
        <v>22</v>
      </c>
      <c r="M599" s="46">
        <v>0</v>
      </c>
      <c r="N599" s="48">
        <v>5</v>
      </c>
      <c r="O599" s="47" t="s">
        <v>40</v>
      </c>
    </row>
    <row r="600" ht="14.25" customHeight="1" spans="1:15">
      <c r="A600" s="43" t="s">
        <v>1352</v>
      </c>
      <c r="B600" s="44">
        <v>46128</v>
      </c>
      <c r="C600" s="45">
        <v>0.961805555555556</v>
      </c>
      <c r="D600" s="46">
        <f t="shared" si="0"/>
        <v>23</v>
      </c>
      <c r="E600" s="47" t="str">
        <f t="shared" si="1"/>
        <v>Thursday</v>
      </c>
      <c r="F600" s="47" t="s">
        <v>16</v>
      </c>
      <c r="G600" s="47" t="s">
        <v>17</v>
      </c>
      <c r="H600" s="43" t="s">
        <v>18</v>
      </c>
      <c r="I600" s="48">
        <v>2</v>
      </c>
      <c r="J600" s="49">
        <v>1000</v>
      </c>
      <c r="K600" s="49">
        <v>2000</v>
      </c>
      <c r="L600" s="47" t="s">
        <v>22</v>
      </c>
      <c r="M600" s="46">
        <v>0</v>
      </c>
      <c r="N600" s="48" t="s">
        <v>23</v>
      </c>
      <c r="O600" s="47" t="s">
        <v>24</v>
      </c>
    </row>
    <row r="601" ht="14.25" customHeight="1" spans="1:15">
      <c r="A601" s="43" t="s">
        <v>1354</v>
      </c>
      <c r="B601" s="44">
        <v>46129</v>
      </c>
      <c r="C601" s="45">
        <v>0.515277777777778</v>
      </c>
      <c r="D601" s="46">
        <f t="shared" si="0"/>
        <v>12</v>
      </c>
      <c r="E601" s="47" t="str">
        <f t="shared" si="1"/>
        <v>Friday</v>
      </c>
      <c r="F601" s="47" t="s">
        <v>43</v>
      </c>
      <c r="G601" s="47" t="s">
        <v>95</v>
      </c>
      <c r="H601" s="43" t="s">
        <v>45</v>
      </c>
      <c r="I601" s="48">
        <f>K601/J601</f>
        <v>1</v>
      </c>
      <c r="J601" s="49">
        <v>5000</v>
      </c>
      <c r="K601" s="49">
        <v>5000</v>
      </c>
      <c r="L601" s="47" t="s">
        <v>22</v>
      </c>
      <c r="M601" s="46">
        <v>0</v>
      </c>
      <c r="N601" s="48">
        <v>4</v>
      </c>
      <c r="O601" s="47" t="s">
        <v>47</v>
      </c>
    </row>
    <row r="602" ht="14.25" customHeight="1" spans="1:15">
      <c r="A602" s="43" t="s">
        <v>1357</v>
      </c>
      <c r="B602" s="44">
        <v>46129</v>
      </c>
      <c r="C602" s="45">
        <v>0.528472222222222</v>
      </c>
      <c r="D602" s="46">
        <f t="shared" si="0"/>
        <v>12</v>
      </c>
      <c r="E602" s="47" t="str">
        <f t="shared" si="1"/>
        <v>Friday</v>
      </c>
      <c r="F602" s="47" t="s">
        <v>16</v>
      </c>
      <c r="G602" s="47" t="s">
        <v>63</v>
      </c>
      <c r="H602" s="43" t="s">
        <v>18</v>
      </c>
      <c r="I602" s="48">
        <v>1</v>
      </c>
      <c r="J602" s="49">
        <v>1500</v>
      </c>
      <c r="K602" s="49">
        <v>1500</v>
      </c>
      <c r="L602" s="47" t="s">
        <v>22</v>
      </c>
      <c r="M602" s="46">
        <v>0</v>
      </c>
      <c r="N602" s="48" t="s">
        <v>23</v>
      </c>
      <c r="O602" s="47" t="s">
        <v>33</v>
      </c>
    </row>
    <row r="603" ht="14.25" customHeight="1" spans="1:15">
      <c r="A603" s="43" t="s">
        <v>1360</v>
      </c>
      <c r="B603" s="44">
        <v>46129</v>
      </c>
      <c r="C603" s="45">
        <v>0.568055555555556</v>
      </c>
      <c r="D603" s="46">
        <f t="shared" si="0"/>
        <v>13</v>
      </c>
      <c r="E603" s="47" t="str">
        <f t="shared" si="1"/>
        <v>Friday</v>
      </c>
      <c r="F603" s="47" t="s">
        <v>16</v>
      </c>
      <c r="G603" s="47" t="s">
        <v>146</v>
      </c>
      <c r="H603" s="43" t="s">
        <v>28</v>
      </c>
      <c r="I603" s="48">
        <v>1</v>
      </c>
      <c r="J603" s="49">
        <v>16000</v>
      </c>
      <c r="K603" s="49">
        <v>16000</v>
      </c>
      <c r="L603" s="47" t="s">
        <v>22</v>
      </c>
      <c r="M603" s="46">
        <v>0</v>
      </c>
      <c r="N603" s="48">
        <v>5</v>
      </c>
      <c r="O603" s="47" t="s">
        <v>73</v>
      </c>
    </row>
    <row r="604" ht="14.25" customHeight="1" spans="1:15">
      <c r="A604" s="43" t="s">
        <v>1362</v>
      </c>
      <c r="B604" s="44">
        <v>46129</v>
      </c>
      <c r="C604" s="45">
        <v>0.592361111111111</v>
      </c>
      <c r="D604" s="46">
        <f t="shared" si="0"/>
        <v>14</v>
      </c>
      <c r="E604" s="47" t="str">
        <f t="shared" si="1"/>
        <v>Friday</v>
      </c>
      <c r="F604" s="47" t="s">
        <v>16</v>
      </c>
      <c r="G604" s="47" t="s">
        <v>63</v>
      </c>
      <c r="H604" s="43" t="s">
        <v>18</v>
      </c>
      <c r="I604" s="48">
        <v>2</v>
      </c>
      <c r="J604" s="49">
        <v>1500</v>
      </c>
      <c r="K604" s="49">
        <v>3000</v>
      </c>
      <c r="L604" s="47" t="s">
        <v>22</v>
      </c>
      <c r="M604" s="46">
        <v>0</v>
      </c>
      <c r="N604" s="48" t="s">
        <v>23</v>
      </c>
      <c r="O604" s="47" t="s">
        <v>47</v>
      </c>
    </row>
    <row r="605" ht="14.25" customHeight="1" spans="1:15">
      <c r="A605" s="43" t="s">
        <v>1364</v>
      </c>
      <c r="B605" s="44">
        <v>46129</v>
      </c>
      <c r="C605" s="45">
        <v>0.654166666666667</v>
      </c>
      <c r="D605" s="46">
        <f t="shared" si="0"/>
        <v>15</v>
      </c>
      <c r="E605" s="47" t="str">
        <f t="shared" si="1"/>
        <v>Friday</v>
      </c>
      <c r="F605" s="47" t="s">
        <v>16</v>
      </c>
      <c r="G605" s="47" t="s">
        <v>44</v>
      </c>
      <c r="H605" s="43" t="s">
        <v>45</v>
      </c>
      <c r="I605" s="48">
        <v>1</v>
      </c>
      <c r="J605" s="49">
        <v>4000</v>
      </c>
      <c r="K605" s="49">
        <v>4000</v>
      </c>
      <c r="L605" s="47" t="s">
        <v>22</v>
      </c>
      <c r="M605" s="46">
        <v>0</v>
      </c>
      <c r="N605" s="48">
        <v>4</v>
      </c>
      <c r="O605" s="47" t="s">
        <v>24</v>
      </c>
    </row>
    <row r="606" ht="14.25" customHeight="1" spans="1:15">
      <c r="A606" s="43" t="s">
        <v>1365</v>
      </c>
      <c r="B606" s="44">
        <v>46129</v>
      </c>
      <c r="C606" s="45">
        <v>0.793055555555556</v>
      </c>
      <c r="D606" s="46">
        <f t="shared" si="0"/>
        <v>19</v>
      </c>
      <c r="E606" s="47" t="str">
        <f t="shared" si="1"/>
        <v>Friday</v>
      </c>
      <c r="F606" s="47" t="s">
        <v>16</v>
      </c>
      <c r="G606" s="47" t="s">
        <v>63</v>
      </c>
      <c r="H606" s="43" t="s">
        <v>18</v>
      </c>
      <c r="I606" s="48">
        <v>1</v>
      </c>
      <c r="J606" s="49">
        <v>1500</v>
      </c>
      <c r="K606" s="49">
        <v>1500</v>
      </c>
      <c r="L606" s="47" t="s">
        <v>22</v>
      </c>
      <c r="M606" s="46">
        <v>0</v>
      </c>
      <c r="N606" s="48" t="s">
        <v>23</v>
      </c>
      <c r="O606" s="47" t="s">
        <v>24</v>
      </c>
    </row>
    <row r="607" ht="14.25" customHeight="1" spans="1:15">
      <c r="A607" s="43" t="s">
        <v>1367</v>
      </c>
      <c r="B607" s="44">
        <v>46129</v>
      </c>
      <c r="C607" s="45">
        <v>0.802083333333333</v>
      </c>
      <c r="D607" s="46">
        <f t="shared" si="0"/>
        <v>19</v>
      </c>
      <c r="E607" s="47" t="str">
        <f t="shared" si="1"/>
        <v>Friday</v>
      </c>
      <c r="F607" s="47" t="s">
        <v>107</v>
      </c>
      <c r="G607" s="47" t="s">
        <v>146</v>
      </c>
      <c r="H607" s="43" t="s">
        <v>28</v>
      </c>
      <c r="I607" s="48">
        <v>1</v>
      </c>
      <c r="J607" s="49">
        <v>16000</v>
      </c>
      <c r="K607" s="49">
        <v>16000</v>
      </c>
      <c r="L607" s="47" t="s">
        <v>32</v>
      </c>
      <c r="M607" s="46">
        <v>0</v>
      </c>
      <c r="N607" s="48" t="s">
        <v>23</v>
      </c>
      <c r="O607" s="47" t="s">
        <v>73</v>
      </c>
    </row>
    <row r="608" ht="14.25" customHeight="1" spans="1:15">
      <c r="A608" s="43" t="s">
        <v>1368</v>
      </c>
      <c r="B608" s="44">
        <v>46129</v>
      </c>
      <c r="C608" s="45">
        <v>0.804166666666667</v>
      </c>
      <c r="D608" s="46">
        <f t="shared" si="0"/>
        <v>19</v>
      </c>
      <c r="E608" s="47" t="str">
        <f t="shared" si="1"/>
        <v>Friday</v>
      </c>
      <c r="F608" s="47" t="s">
        <v>107</v>
      </c>
      <c r="G608" s="47" t="s">
        <v>57</v>
      </c>
      <c r="H608" s="43" t="s">
        <v>28</v>
      </c>
      <c r="I608" s="48"/>
      <c r="J608" s="49">
        <v>18000</v>
      </c>
      <c r="K608" s="50">
        <v>0</v>
      </c>
      <c r="L608" s="47" t="s">
        <v>32</v>
      </c>
      <c r="M608" s="51">
        <v>0.15</v>
      </c>
      <c r="N608" s="48" t="s">
        <v>23</v>
      </c>
      <c r="O608" s="47" t="s">
        <v>33</v>
      </c>
    </row>
    <row r="609" ht="14.25" customHeight="1" spans="1:15">
      <c r="A609" s="43" t="s">
        <v>1371</v>
      </c>
      <c r="B609" s="44">
        <v>46129</v>
      </c>
      <c r="C609" s="45">
        <v>0.947916666666667</v>
      </c>
      <c r="D609" s="46">
        <f t="shared" si="0"/>
        <v>22</v>
      </c>
      <c r="E609" s="47" t="str">
        <f t="shared" si="1"/>
        <v>Friday</v>
      </c>
      <c r="F609" s="47" t="s">
        <v>107</v>
      </c>
      <c r="G609" s="47" t="s">
        <v>367</v>
      </c>
      <c r="H609" s="43" t="s">
        <v>109</v>
      </c>
      <c r="I609" s="48">
        <v>1</v>
      </c>
      <c r="J609" s="49">
        <v>7000</v>
      </c>
      <c r="K609" s="50">
        <v>6300</v>
      </c>
      <c r="L609" s="47" t="s">
        <v>32</v>
      </c>
      <c r="M609" s="51">
        <v>0.1</v>
      </c>
      <c r="N609" s="48">
        <v>5</v>
      </c>
      <c r="O609" s="47" t="s">
        <v>24</v>
      </c>
    </row>
    <row r="610" ht="14.25" customHeight="1" spans="1:15">
      <c r="A610" s="43" t="s">
        <v>1372</v>
      </c>
      <c r="B610" s="44">
        <v>46129</v>
      </c>
      <c r="C610" s="45">
        <v>0.95625</v>
      </c>
      <c r="D610" s="46">
        <f t="shared" si="0"/>
        <v>22</v>
      </c>
      <c r="E610" s="47" t="str">
        <f t="shared" si="1"/>
        <v>Friday</v>
      </c>
      <c r="F610" s="47" t="s">
        <v>16</v>
      </c>
      <c r="G610" s="47" t="s">
        <v>27</v>
      </c>
      <c r="H610" s="43" t="s">
        <v>28</v>
      </c>
      <c r="I610" s="48">
        <v>1</v>
      </c>
      <c r="J610" s="49">
        <v>15000</v>
      </c>
      <c r="K610" s="49">
        <v>15000</v>
      </c>
      <c r="L610" s="47" t="s">
        <v>22</v>
      </c>
      <c r="M610" s="46">
        <v>0</v>
      </c>
      <c r="N610" s="48">
        <v>4</v>
      </c>
      <c r="O610" s="47" t="s">
        <v>47</v>
      </c>
    </row>
    <row r="611" ht="14.25" customHeight="1" spans="1:15">
      <c r="A611" s="43" t="s">
        <v>1374</v>
      </c>
      <c r="B611" s="44">
        <v>46130</v>
      </c>
      <c r="C611" s="45">
        <v>0.542361111111111</v>
      </c>
      <c r="D611" s="46">
        <f t="shared" si="0"/>
        <v>13</v>
      </c>
      <c r="E611" s="47" t="str">
        <f t="shared" si="1"/>
        <v>Saturday</v>
      </c>
      <c r="F611" s="47" t="s">
        <v>16</v>
      </c>
      <c r="G611" s="43" t="s">
        <v>36</v>
      </c>
      <c r="H611" s="43" t="str">
        <f>VLOOKUP(G611,'02_Menu_Lookup'!$A$2:$C$16,2,FALSE)</f>
        <v>Sandwiches</v>
      </c>
      <c r="I611" s="48">
        <v>2</v>
      </c>
      <c r="J611" s="49">
        <v>3000</v>
      </c>
      <c r="K611" s="50">
        <v>5400</v>
      </c>
      <c r="L611" s="47" t="s">
        <v>32</v>
      </c>
      <c r="M611" s="51">
        <v>0.1</v>
      </c>
      <c r="N611" s="48">
        <v>3</v>
      </c>
      <c r="O611" s="47" t="s">
        <v>33</v>
      </c>
    </row>
    <row r="612" ht="14.25" customHeight="1" spans="1:15">
      <c r="A612" s="43" t="s">
        <v>1376</v>
      </c>
      <c r="B612" s="44">
        <v>46130</v>
      </c>
      <c r="C612" s="45">
        <v>0.618055555555556</v>
      </c>
      <c r="D612" s="46">
        <f t="shared" si="0"/>
        <v>14</v>
      </c>
      <c r="E612" s="47" t="str">
        <f t="shared" si="1"/>
        <v>Saturday</v>
      </c>
      <c r="F612" s="47" t="s">
        <v>16</v>
      </c>
      <c r="G612" s="47" t="s">
        <v>103</v>
      </c>
      <c r="H612" s="43" t="s">
        <v>37</v>
      </c>
      <c r="I612" s="48">
        <v>1</v>
      </c>
      <c r="J612" s="49">
        <v>5000</v>
      </c>
      <c r="K612" s="49">
        <v>5000</v>
      </c>
      <c r="L612" s="47" t="s">
        <v>22</v>
      </c>
      <c r="M612" s="46">
        <v>0</v>
      </c>
      <c r="N612" s="48">
        <v>4</v>
      </c>
      <c r="O612" s="47" t="s">
        <v>40</v>
      </c>
    </row>
    <row r="613" ht="14.25" customHeight="1" spans="1:15">
      <c r="A613" s="43" t="s">
        <v>1378</v>
      </c>
      <c r="B613" s="44">
        <v>46130</v>
      </c>
      <c r="C613" s="45">
        <v>0.625694444444444</v>
      </c>
      <c r="D613" s="46">
        <f t="shared" si="0"/>
        <v>15</v>
      </c>
      <c r="E613" s="47" t="str">
        <f t="shared" si="1"/>
        <v>Saturday</v>
      </c>
      <c r="F613" s="47" t="s">
        <v>16</v>
      </c>
      <c r="G613" s="47" t="s">
        <v>50</v>
      </c>
      <c r="H613" s="43" t="s">
        <v>28</v>
      </c>
      <c r="I613" s="48">
        <v>2</v>
      </c>
      <c r="J613" s="49">
        <v>25000</v>
      </c>
      <c r="K613" s="49">
        <v>50000</v>
      </c>
      <c r="L613" s="47" t="s">
        <v>22</v>
      </c>
      <c r="M613" s="46">
        <v>0</v>
      </c>
      <c r="N613" s="48">
        <v>5</v>
      </c>
      <c r="O613" s="47" t="s">
        <v>73</v>
      </c>
    </row>
    <row r="614" ht="14.25" customHeight="1" spans="1:15">
      <c r="A614" s="43" t="s">
        <v>1380</v>
      </c>
      <c r="B614" s="44">
        <v>46130</v>
      </c>
      <c r="C614" s="45">
        <v>0.697222222222222</v>
      </c>
      <c r="D614" s="46">
        <f t="shared" si="0"/>
        <v>16</v>
      </c>
      <c r="E614" s="47" t="str">
        <f t="shared" si="1"/>
        <v>Saturday</v>
      </c>
      <c r="F614" s="47" t="s">
        <v>107</v>
      </c>
      <c r="G614" s="47" t="s">
        <v>17</v>
      </c>
      <c r="H614" s="43" t="s">
        <v>18</v>
      </c>
      <c r="I614" s="48">
        <v>1</v>
      </c>
      <c r="J614" s="49">
        <v>1000</v>
      </c>
      <c r="K614" s="49">
        <v>1000</v>
      </c>
      <c r="L614" s="47" t="s">
        <v>22</v>
      </c>
      <c r="M614" s="46">
        <v>0</v>
      </c>
      <c r="N614" s="48" t="s">
        <v>23</v>
      </c>
      <c r="O614" s="47" t="s">
        <v>33</v>
      </c>
    </row>
    <row r="615" ht="14.25" customHeight="1" spans="1:15">
      <c r="A615" s="43" t="s">
        <v>1382</v>
      </c>
      <c r="B615" s="44">
        <v>46130</v>
      </c>
      <c r="C615" s="45">
        <v>0.76875</v>
      </c>
      <c r="D615" s="46">
        <f t="shared" si="0"/>
        <v>18</v>
      </c>
      <c r="E615" s="47" t="str">
        <f t="shared" si="1"/>
        <v>Saturday</v>
      </c>
      <c r="F615" s="47" t="s">
        <v>43</v>
      </c>
      <c r="G615" s="47" t="s">
        <v>146</v>
      </c>
      <c r="H615" s="43" t="s">
        <v>28</v>
      </c>
      <c r="I615" s="48">
        <v>1</v>
      </c>
      <c r="J615" s="49">
        <v>16000</v>
      </c>
      <c r="K615" s="50">
        <v>16000</v>
      </c>
      <c r="L615" s="47" t="s">
        <v>22</v>
      </c>
      <c r="M615" s="46">
        <v>0</v>
      </c>
      <c r="N615" s="48" t="s">
        <v>23</v>
      </c>
      <c r="O615" s="47" t="s">
        <v>33</v>
      </c>
    </row>
    <row r="616" ht="14.25" customHeight="1" spans="1:15">
      <c r="A616" s="43" t="s">
        <v>1386</v>
      </c>
      <c r="B616" s="44">
        <v>46130</v>
      </c>
      <c r="C616" s="45">
        <v>0.793055555555556</v>
      </c>
      <c r="D616" s="46">
        <f t="shared" si="0"/>
        <v>19</v>
      </c>
      <c r="E616" s="47" t="str">
        <f t="shared" si="1"/>
        <v>Saturday</v>
      </c>
      <c r="F616" s="47" t="s">
        <v>16</v>
      </c>
      <c r="G616" s="47" t="s">
        <v>50</v>
      </c>
      <c r="H616" s="43" t="s">
        <v>28</v>
      </c>
      <c r="I616" s="48">
        <v>1</v>
      </c>
      <c r="J616" s="49">
        <v>25000</v>
      </c>
      <c r="K616" s="49">
        <v>25000</v>
      </c>
      <c r="L616" s="47" t="s">
        <v>22</v>
      </c>
      <c r="M616" s="46">
        <v>0</v>
      </c>
      <c r="N616" s="48">
        <v>4</v>
      </c>
      <c r="O616" s="47" t="s">
        <v>33</v>
      </c>
    </row>
    <row r="617" ht="14.25" customHeight="1" spans="1:15">
      <c r="A617" s="43" t="s">
        <v>1388</v>
      </c>
      <c r="B617" s="44">
        <v>46130</v>
      </c>
      <c r="C617" s="45">
        <v>0.809027777777778</v>
      </c>
      <c r="D617" s="46">
        <f t="shared" si="0"/>
        <v>19</v>
      </c>
      <c r="E617" s="47" t="str">
        <f t="shared" si="1"/>
        <v>Saturday</v>
      </c>
      <c r="F617" s="47" t="s">
        <v>43</v>
      </c>
      <c r="G617" s="47" t="s">
        <v>63</v>
      </c>
      <c r="H617" s="43" t="s">
        <v>18</v>
      </c>
      <c r="I617" s="48">
        <v>2</v>
      </c>
      <c r="J617" s="49">
        <v>1500</v>
      </c>
      <c r="K617" s="49">
        <v>3000</v>
      </c>
      <c r="L617" s="47" t="s">
        <v>22</v>
      </c>
      <c r="M617" s="46">
        <v>0</v>
      </c>
      <c r="N617" s="48" t="s">
        <v>23</v>
      </c>
      <c r="O617" s="47" t="s">
        <v>33</v>
      </c>
    </row>
    <row r="618" ht="14.25" customHeight="1" spans="1:15">
      <c r="A618" s="43" t="s">
        <v>1390</v>
      </c>
      <c r="B618" s="44">
        <v>46130</v>
      </c>
      <c r="C618" s="45">
        <v>0.8625</v>
      </c>
      <c r="D618" s="46">
        <f t="shared" si="0"/>
        <v>20</v>
      </c>
      <c r="E618" s="47" t="str">
        <f t="shared" si="1"/>
        <v>Saturday</v>
      </c>
      <c r="F618" s="47" t="s">
        <v>16</v>
      </c>
      <c r="G618" s="47" t="s">
        <v>63</v>
      </c>
      <c r="H618" s="43" t="str">
        <f>VLOOKUP(G618,'02_Menu_Lookup'!$A$2:$C$16,2,FALSE)</f>
        <v>Beverages</v>
      </c>
      <c r="I618" s="48">
        <v>1</v>
      </c>
      <c r="J618" s="49">
        <v>1500</v>
      </c>
      <c r="K618" s="49">
        <v>1500</v>
      </c>
      <c r="L618" s="47" t="s">
        <v>22</v>
      </c>
      <c r="M618" s="46">
        <v>0</v>
      </c>
      <c r="N618" s="48" t="s">
        <v>23</v>
      </c>
      <c r="O618" s="47" t="s">
        <v>40</v>
      </c>
    </row>
    <row r="619" ht="14.25" customHeight="1" spans="1:15">
      <c r="A619" s="43" t="s">
        <v>1391</v>
      </c>
      <c r="B619" s="44">
        <v>46130</v>
      </c>
      <c r="C619" s="45">
        <v>0.863194444444444</v>
      </c>
      <c r="D619" s="46">
        <f t="shared" si="0"/>
        <v>20</v>
      </c>
      <c r="E619" s="47" t="str">
        <f t="shared" si="1"/>
        <v>Saturday</v>
      </c>
      <c r="F619" s="47" t="s">
        <v>16</v>
      </c>
      <c r="G619" s="47" t="s">
        <v>63</v>
      </c>
      <c r="H619" s="43" t="str">
        <f>VLOOKUP(G619,'02_Menu_Lookup'!$A$2:$C$16,2,FALSE)</f>
        <v>Beverages</v>
      </c>
      <c r="I619" s="48">
        <v>1</v>
      </c>
      <c r="J619" s="49">
        <v>1500</v>
      </c>
      <c r="K619" s="49">
        <v>1500</v>
      </c>
      <c r="L619" s="47" t="s">
        <v>22</v>
      </c>
      <c r="M619" s="46">
        <v>0</v>
      </c>
      <c r="N619" s="48">
        <v>3</v>
      </c>
      <c r="O619" s="47" t="s">
        <v>47</v>
      </c>
    </row>
    <row r="620" ht="14.25" customHeight="1" spans="1:15">
      <c r="A620" s="43" t="s">
        <v>1392</v>
      </c>
      <c r="B620" s="44">
        <v>46130</v>
      </c>
      <c r="C620" s="45">
        <v>0.876388888888889</v>
      </c>
      <c r="D620" s="46">
        <f t="shared" si="0"/>
        <v>21</v>
      </c>
      <c r="E620" s="47" t="str">
        <f t="shared" si="1"/>
        <v>Saturday</v>
      </c>
      <c r="F620" s="47" t="s">
        <v>43</v>
      </c>
      <c r="G620" s="47" t="s">
        <v>50</v>
      </c>
      <c r="H620" s="43" t="s">
        <v>28</v>
      </c>
      <c r="I620" s="48">
        <v>1</v>
      </c>
      <c r="J620" s="49">
        <v>25000</v>
      </c>
      <c r="K620" s="49">
        <v>25000</v>
      </c>
      <c r="L620" s="47" t="s">
        <v>32</v>
      </c>
      <c r="M620" s="46">
        <v>0</v>
      </c>
      <c r="N620" s="48" t="s">
        <v>23</v>
      </c>
      <c r="O620" s="47" t="s">
        <v>33</v>
      </c>
    </row>
    <row r="621" ht="14.25" customHeight="1" spans="1:15">
      <c r="A621" s="43" t="s">
        <v>1394</v>
      </c>
      <c r="B621" s="44">
        <v>46130</v>
      </c>
      <c r="C621" s="45">
        <v>0.888888888888889</v>
      </c>
      <c r="D621" s="46">
        <f t="shared" si="0"/>
        <v>21</v>
      </c>
      <c r="E621" s="47" t="str">
        <f t="shared" si="1"/>
        <v>Saturday</v>
      </c>
      <c r="F621" s="47" t="s">
        <v>16</v>
      </c>
      <c r="G621" s="47" t="s">
        <v>367</v>
      </c>
      <c r="H621" s="43" t="s">
        <v>109</v>
      </c>
      <c r="I621" s="48">
        <v>1</v>
      </c>
      <c r="J621" s="49">
        <v>7000</v>
      </c>
      <c r="K621" s="50">
        <v>7000</v>
      </c>
      <c r="L621" s="47" t="s">
        <v>22</v>
      </c>
      <c r="M621" s="46">
        <v>0</v>
      </c>
      <c r="N621" s="48">
        <v>3</v>
      </c>
      <c r="O621" s="47" t="s">
        <v>33</v>
      </c>
    </row>
    <row r="622" ht="14.25" customHeight="1" spans="1:15">
      <c r="A622" s="43" t="s">
        <v>1395</v>
      </c>
      <c r="B622" s="44">
        <v>46131</v>
      </c>
      <c r="C622" s="45">
        <v>0.6</v>
      </c>
      <c r="D622" s="46">
        <f t="shared" si="0"/>
        <v>14</v>
      </c>
      <c r="E622" s="47" t="str">
        <f t="shared" si="1"/>
        <v>Sunday</v>
      </c>
      <c r="F622" s="47" t="s">
        <v>43</v>
      </c>
      <c r="G622" s="47" t="s">
        <v>50</v>
      </c>
      <c r="H622" s="43" t="s">
        <v>28</v>
      </c>
      <c r="I622" s="48">
        <v>1</v>
      </c>
      <c r="J622" s="49">
        <v>25000</v>
      </c>
      <c r="K622" s="50">
        <v>22500</v>
      </c>
      <c r="L622" s="47" t="s">
        <v>22</v>
      </c>
      <c r="M622" s="51">
        <v>0.1</v>
      </c>
      <c r="N622" s="48">
        <v>4</v>
      </c>
      <c r="O622" s="47" t="s">
        <v>33</v>
      </c>
    </row>
    <row r="623" ht="14.25" customHeight="1" spans="1:15">
      <c r="A623" s="43" t="s">
        <v>1398</v>
      </c>
      <c r="B623" s="44">
        <v>46131</v>
      </c>
      <c r="C623" s="45">
        <v>0.786805555555556</v>
      </c>
      <c r="D623" s="46">
        <f t="shared" si="0"/>
        <v>18</v>
      </c>
      <c r="E623" s="47" t="str">
        <f t="shared" si="1"/>
        <v>Sunday</v>
      </c>
      <c r="F623" s="47" t="s">
        <v>107</v>
      </c>
      <c r="G623" s="43" t="s">
        <v>199</v>
      </c>
      <c r="H623" s="43" t="s">
        <v>18</v>
      </c>
      <c r="I623" s="48">
        <v>1</v>
      </c>
      <c r="J623" s="49">
        <v>3000</v>
      </c>
      <c r="K623" s="49">
        <v>3000</v>
      </c>
      <c r="L623" s="47" t="s">
        <v>22</v>
      </c>
      <c r="M623" s="46">
        <v>0</v>
      </c>
      <c r="N623" s="48" t="s">
        <v>23</v>
      </c>
      <c r="O623" s="47" t="s">
        <v>73</v>
      </c>
    </row>
    <row r="624" ht="14.25" customHeight="1" spans="1:15">
      <c r="A624" s="43" t="s">
        <v>1401</v>
      </c>
      <c r="B624" s="44">
        <v>46131</v>
      </c>
      <c r="C624" s="45">
        <v>0.840972222222222</v>
      </c>
      <c r="D624" s="46">
        <f t="shared" si="0"/>
        <v>20</v>
      </c>
      <c r="E624" s="47" t="str">
        <f t="shared" si="1"/>
        <v>Sunday</v>
      </c>
      <c r="F624" s="47" t="s">
        <v>16</v>
      </c>
      <c r="G624" s="43" t="s">
        <v>647</v>
      </c>
      <c r="H624" s="43" t="s">
        <v>45</v>
      </c>
      <c r="I624" s="48">
        <v>1</v>
      </c>
      <c r="J624" s="49">
        <v>4500</v>
      </c>
      <c r="K624" s="49">
        <v>4500</v>
      </c>
      <c r="L624" s="47" t="s">
        <v>22</v>
      </c>
      <c r="M624" s="46">
        <v>0</v>
      </c>
      <c r="N624" s="48">
        <v>2</v>
      </c>
      <c r="O624" s="47" t="s">
        <v>47</v>
      </c>
    </row>
    <row r="625" ht="14.25" customHeight="1" spans="1:15">
      <c r="A625" s="43" t="s">
        <v>1402</v>
      </c>
      <c r="B625" s="44">
        <v>46131</v>
      </c>
      <c r="C625" s="45">
        <v>0.843055555555556</v>
      </c>
      <c r="D625" s="46">
        <f t="shared" si="0"/>
        <v>20</v>
      </c>
      <c r="E625" s="47" t="str">
        <f t="shared" si="1"/>
        <v>Sunday</v>
      </c>
      <c r="F625" s="47" t="s">
        <v>16</v>
      </c>
      <c r="G625" s="47" t="s">
        <v>63</v>
      </c>
      <c r="H625" s="43" t="s">
        <v>18</v>
      </c>
      <c r="I625" s="48">
        <v>1</v>
      </c>
      <c r="J625" s="49">
        <v>1500</v>
      </c>
      <c r="K625" s="49">
        <v>1500</v>
      </c>
      <c r="L625" s="47" t="s">
        <v>22</v>
      </c>
      <c r="M625" s="46">
        <v>0</v>
      </c>
      <c r="N625" s="48">
        <v>4</v>
      </c>
      <c r="O625" s="47" t="s">
        <v>24</v>
      </c>
    </row>
    <row r="626" ht="14.25" customHeight="1" spans="1:15">
      <c r="A626" s="43" t="s">
        <v>1403</v>
      </c>
      <c r="B626" s="44">
        <v>46131</v>
      </c>
      <c r="C626" s="45">
        <v>0.859722222222222</v>
      </c>
      <c r="D626" s="46">
        <f t="shared" si="0"/>
        <v>20</v>
      </c>
      <c r="E626" s="47" t="str">
        <f t="shared" si="1"/>
        <v>Sunday</v>
      </c>
      <c r="F626" s="47" t="s">
        <v>16</v>
      </c>
      <c r="G626" s="47" t="s">
        <v>95</v>
      </c>
      <c r="H626" s="43" t="s">
        <v>45</v>
      </c>
      <c r="I626" s="48">
        <v>1</v>
      </c>
      <c r="J626" s="49">
        <f>K626/I626</f>
        <v>5000</v>
      </c>
      <c r="K626" s="49">
        <v>5000</v>
      </c>
      <c r="L626" s="47" t="s">
        <v>22</v>
      </c>
      <c r="M626" s="46">
        <v>0</v>
      </c>
      <c r="N626" s="48" t="s">
        <v>23</v>
      </c>
      <c r="O626" s="47" t="s">
        <v>24</v>
      </c>
    </row>
    <row r="627" ht="14.25" customHeight="1" spans="1:15">
      <c r="A627" s="43" t="s">
        <v>1406</v>
      </c>
      <c r="B627" s="44">
        <v>46131</v>
      </c>
      <c r="C627" s="45">
        <v>0.888888888888889</v>
      </c>
      <c r="D627" s="46">
        <f t="shared" si="0"/>
        <v>21</v>
      </c>
      <c r="E627" s="47" t="str">
        <f t="shared" si="1"/>
        <v>Sunday</v>
      </c>
      <c r="F627" s="47" t="s">
        <v>16</v>
      </c>
      <c r="G627" s="47" t="s">
        <v>27</v>
      </c>
      <c r="H627" s="43" t="s">
        <v>28</v>
      </c>
      <c r="I627" s="48">
        <v>1</v>
      </c>
      <c r="J627" s="49">
        <v>15000</v>
      </c>
      <c r="K627" s="49">
        <v>15000</v>
      </c>
      <c r="L627" s="47" t="s">
        <v>22</v>
      </c>
      <c r="M627" s="46">
        <v>0</v>
      </c>
      <c r="N627" s="48" t="s">
        <v>23</v>
      </c>
      <c r="O627" s="47" t="s">
        <v>33</v>
      </c>
    </row>
    <row r="628" ht="14.25" customHeight="1" spans="1:15">
      <c r="A628" s="43" t="s">
        <v>1407</v>
      </c>
      <c r="B628" s="44">
        <v>46131</v>
      </c>
      <c r="C628" s="45">
        <v>0.954166666666667</v>
      </c>
      <c r="D628" s="46">
        <f t="shared" si="0"/>
        <v>22</v>
      </c>
      <c r="E628" s="47" t="str">
        <f t="shared" si="1"/>
        <v>Sunday</v>
      </c>
      <c r="F628" s="47" t="s">
        <v>16</v>
      </c>
      <c r="G628" s="47" t="s">
        <v>57</v>
      </c>
      <c r="H628" s="43" t="s">
        <v>28</v>
      </c>
      <c r="I628" s="48">
        <v>1</v>
      </c>
      <c r="J628" s="49">
        <v>18000</v>
      </c>
      <c r="K628" s="50">
        <v>18000</v>
      </c>
      <c r="L628" s="47" t="s">
        <v>22</v>
      </c>
      <c r="M628" s="46">
        <v>0</v>
      </c>
      <c r="N628" s="48">
        <v>5</v>
      </c>
      <c r="O628" s="47" t="s">
        <v>33</v>
      </c>
    </row>
    <row r="629" ht="14.25" customHeight="1" spans="1:15">
      <c r="A629" s="43" t="s">
        <v>1409</v>
      </c>
      <c r="B629" s="44">
        <v>46132</v>
      </c>
      <c r="C629" s="45">
        <v>0.677083333333333</v>
      </c>
      <c r="D629" s="46">
        <f t="shared" si="0"/>
        <v>16</v>
      </c>
      <c r="E629" s="47" t="str">
        <f t="shared" si="1"/>
        <v>Monday</v>
      </c>
      <c r="F629" s="47" t="s">
        <v>16</v>
      </c>
      <c r="G629" s="47" t="s">
        <v>63</v>
      </c>
      <c r="H629" s="43" t="s">
        <v>18</v>
      </c>
      <c r="I629" s="48">
        <v>3</v>
      </c>
      <c r="J629" s="49">
        <v>1500</v>
      </c>
      <c r="K629" s="49">
        <v>4500</v>
      </c>
      <c r="L629" s="47" t="s">
        <v>32</v>
      </c>
      <c r="M629" s="46">
        <v>0</v>
      </c>
      <c r="N629" s="48">
        <v>4</v>
      </c>
      <c r="O629" s="47" t="s">
        <v>24</v>
      </c>
    </row>
    <row r="630" ht="14.25" customHeight="1" spans="1:15">
      <c r="A630" s="43" t="s">
        <v>1412</v>
      </c>
      <c r="B630" s="44">
        <v>46132</v>
      </c>
      <c r="C630" s="45">
        <v>0.819444444444444</v>
      </c>
      <c r="D630" s="46">
        <f t="shared" si="0"/>
        <v>19</v>
      </c>
      <c r="E630" s="47" t="str">
        <f t="shared" si="1"/>
        <v>Monday</v>
      </c>
      <c r="F630" s="47" t="s">
        <v>16</v>
      </c>
      <c r="G630" s="47" t="s">
        <v>50</v>
      </c>
      <c r="H630" s="43" t="s">
        <v>28</v>
      </c>
      <c r="I630" s="48">
        <v>1</v>
      </c>
      <c r="J630" s="49">
        <v>25000</v>
      </c>
      <c r="K630" s="49">
        <v>25000</v>
      </c>
      <c r="L630" s="47" t="s">
        <v>22</v>
      </c>
      <c r="M630" s="46">
        <v>0</v>
      </c>
      <c r="N630" s="48">
        <v>4</v>
      </c>
      <c r="O630" s="47" t="s">
        <v>47</v>
      </c>
    </row>
    <row r="631" ht="14.25" customHeight="1" spans="1:15">
      <c r="A631" s="43" t="s">
        <v>1413</v>
      </c>
      <c r="B631" s="44">
        <v>46132</v>
      </c>
      <c r="C631" s="45">
        <v>0.856944444444444</v>
      </c>
      <c r="D631" s="46">
        <f t="shared" si="0"/>
        <v>20</v>
      </c>
      <c r="E631" s="47" t="str">
        <f t="shared" si="1"/>
        <v>Monday</v>
      </c>
      <c r="F631" s="47" t="s">
        <v>43</v>
      </c>
      <c r="G631" s="47" t="s">
        <v>103</v>
      </c>
      <c r="H631" s="43" t="s">
        <v>37</v>
      </c>
      <c r="I631" s="48">
        <v>1</v>
      </c>
      <c r="J631" s="49">
        <v>5000</v>
      </c>
      <c r="K631" s="49">
        <v>5000</v>
      </c>
      <c r="L631" s="47" t="s">
        <v>22</v>
      </c>
      <c r="M631" s="46">
        <v>0</v>
      </c>
      <c r="N631" s="48" t="s">
        <v>23</v>
      </c>
      <c r="O631" s="47" t="s">
        <v>33</v>
      </c>
    </row>
    <row r="632" ht="14.25" customHeight="1" spans="1:15">
      <c r="A632" s="43" t="s">
        <v>1414</v>
      </c>
      <c r="B632" s="44">
        <v>46132</v>
      </c>
      <c r="C632" s="45">
        <v>0.878472222222222</v>
      </c>
      <c r="D632" s="46">
        <f t="shared" si="0"/>
        <v>21</v>
      </c>
      <c r="E632" s="47" t="str">
        <f t="shared" si="1"/>
        <v>Monday</v>
      </c>
      <c r="F632" s="47" t="s">
        <v>16</v>
      </c>
      <c r="G632" s="47" t="s">
        <v>27</v>
      </c>
      <c r="H632" s="43" t="s">
        <v>28</v>
      </c>
      <c r="I632" s="48">
        <v>2</v>
      </c>
      <c r="J632" s="49">
        <v>15000</v>
      </c>
      <c r="K632" s="49">
        <v>30000</v>
      </c>
      <c r="L632" s="47" t="s">
        <v>22</v>
      </c>
      <c r="M632" s="46">
        <v>0</v>
      </c>
      <c r="N632" s="48" t="s">
        <v>23</v>
      </c>
      <c r="O632" s="47" t="s">
        <v>24</v>
      </c>
    </row>
    <row r="633" ht="14.25" customHeight="1" spans="1:15">
      <c r="A633" s="43" t="s">
        <v>1416</v>
      </c>
      <c r="B633" s="44">
        <v>46132</v>
      </c>
      <c r="C633" s="45">
        <v>0.917361111111111</v>
      </c>
      <c r="D633" s="46">
        <f t="shared" si="0"/>
        <v>22</v>
      </c>
      <c r="E633" s="47" t="str">
        <f t="shared" si="1"/>
        <v>Monday</v>
      </c>
      <c r="F633" s="47" t="s">
        <v>16</v>
      </c>
      <c r="G633" s="47" t="s">
        <v>95</v>
      </c>
      <c r="H633" s="43" t="s">
        <v>45</v>
      </c>
      <c r="I633" s="48">
        <v>1</v>
      </c>
      <c r="J633" s="49">
        <v>5000</v>
      </c>
      <c r="K633" s="49">
        <v>5000</v>
      </c>
      <c r="L633" s="47" t="s">
        <v>22</v>
      </c>
      <c r="M633" s="46">
        <v>0</v>
      </c>
      <c r="N633" s="48" t="s">
        <v>23</v>
      </c>
      <c r="O633" s="47" t="s">
        <v>33</v>
      </c>
    </row>
    <row r="634" ht="14.25" customHeight="1" spans="1:15">
      <c r="A634" s="43" t="s">
        <v>1418</v>
      </c>
      <c r="B634" s="44">
        <v>46133</v>
      </c>
      <c r="C634" s="45">
        <v>0.568055555555556</v>
      </c>
      <c r="D634" s="46">
        <f t="shared" si="0"/>
        <v>13</v>
      </c>
      <c r="E634" s="47" t="str">
        <f t="shared" si="1"/>
        <v>Tuesday</v>
      </c>
      <c r="F634" s="47" t="s">
        <v>16</v>
      </c>
      <c r="G634" s="47" t="s">
        <v>367</v>
      </c>
      <c r="H634" s="43" t="s">
        <v>109</v>
      </c>
      <c r="I634" s="48">
        <v>2</v>
      </c>
      <c r="J634" s="49">
        <v>7000</v>
      </c>
      <c r="K634" s="49">
        <v>14000</v>
      </c>
      <c r="L634" s="47" t="s">
        <v>22</v>
      </c>
      <c r="M634" s="46">
        <v>0</v>
      </c>
      <c r="N634" s="48">
        <v>4</v>
      </c>
      <c r="O634" s="47" t="s">
        <v>33</v>
      </c>
    </row>
    <row r="635" ht="14.25" customHeight="1" spans="1:15">
      <c r="A635" s="43" t="s">
        <v>1420</v>
      </c>
      <c r="B635" s="44">
        <v>46133</v>
      </c>
      <c r="C635" s="45">
        <v>0.669444444444444</v>
      </c>
      <c r="D635" s="46">
        <f t="shared" si="0"/>
        <v>16</v>
      </c>
      <c r="E635" s="47" t="str">
        <f t="shared" si="1"/>
        <v>Tuesday</v>
      </c>
      <c r="F635" s="47" t="s">
        <v>43</v>
      </c>
      <c r="G635" s="47" t="s">
        <v>95</v>
      </c>
      <c r="H635" s="43" t="s">
        <v>45</v>
      </c>
      <c r="I635" s="48">
        <v>1</v>
      </c>
      <c r="J635" s="49">
        <f>K635/I635</f>
        <v>5000</v>
      </c>
      <c r="K635" s="49">
        <v>5000</v>
      </c>
      <c r="L635" s="47" t="s">
        <v>22</v>
      </c>
      <c r="M635" s="46">
        <v>0</v>
      </c>
      <c r="N635" s="48" t="s">
        <v>23</v>
      </c>
      <c r="O635" s="47" t="s">
        <v>47</v>
      </c>
    </row>
    <row r="636" ht="14.25" customHeight="1" spans="1:15">
      <c r="A636" s="43" t="s">
        <v>1422</v>
      </c>
      <c r="B636" s="44">
        <v>46133</v>
      </c>
      <c r="C636" s="45">
        <v>0.7875</v>
      </c>
      <c r="D636" s="46">
        <f t="shared" si="0"/>
        <v>18</v>
      </c>
      <c r="E636" s="47" t="str">
        <f t="shared" si="1"/>
        <v>Tuesday</v>
      </c>
      <c r="F636" s="47" t="s">
        <v>43</v>
      </c>
      <c r="G636" s="43" t="s">
        <v>36</v>
      </c>
      <c r="H636" s="43" t="s">
        <v>37</v>
      </c>
      <c r="I636" s="48">
        <v>1</v>
      </c>
      <c r="J636" s="50">
        <v>3000</v>
      </c>
      <c r="K636" s="49">
        <v>3000</v>
      </c>
      <c r="L636" s="47" t="s">
        <v>22</v>
      </c>
      <c r="M636" s="46">
        <v>0</v>
      </c>
      <c r="N636" s="48" t="s">
        <v>23</v>
      </c>
      <c r="O636" s="47" t="s">
        <v>24</v>
      </c>
    </row>
    <row r="637" ht="14.25" customHeight="1" spans="1:15">
      <c r="A637" s="43" t="s">
        <v>1424</v>
      </c>
      <c r="B637" s="44">
        <v>46134</v>
      </c>
      <c r="C637" s="45">
        <v>0.573611111111111</v>
      </c>
      <c r="D637" s="46">
        <f t="shared" si="0"/>
        <v>13</v>
      </c>
      <c r="E637" s="47" t="str">
        <f t="shared" si="1"/>
        <v>Wednesday</v>
      </c>
      <c r="F637" s="47" t="s">
        <v>16</v>
      </c>
      <c r="G637" s="43" t="s">
        <v>647</v>
      </c>
      <c r="H637" s="43" t="s">
        <v>45</v>
      </c>
      <c r="I637" s="48">
        <f>K637/J637</f>
        <v>3</v>
      </c>
      <c r="J637" s="49">
        <v>4500</v>
      </c>
      <c r="K637" s="49">
        <v>13500</v>
      </c>
      <c r="L637" s="47" t="s">
        <v>22</v>
      </c>
      <c r="M637" s="46">
        <v>0</v>
      </c>
      <c r="N637" s="48">
        <v>3</v>
      </c>
      <c r="O637" s="47" t="s">
        <v>40</v>
      </c>
    </row>
    <row r="638" ht="14.25" customHeight="1" spans="1:15">
      <c r="A638" s="43" t="s">
        <v>1428</v>
      </c>
      <c r="B638" s="44">
        <v>46134</v>
      </c>
      <c r="C638" s="45">
        <v>0.584722222222222</v>
      </c>
      <c r="D638" s="46">
        <f t="shared" si="0"/>
        <v>14</v>
      </c>
      <c r="E638" s="47" t="str">
        <f t="shared" si="1"/>
        <v>Wednesday</v>
      </c>
      <c r="F638" s="47" t="s">
        <v>107</v>
      </c>
      <c r="G638" s="47" t="s">
        <v>17</v>
      </c>
      <c r="H638" s="43" t="s">
        <v>18</v>
      </c>
      <c r="I638" s="48">
        <v>1</v>
      </c>
      <c r="J638" s="49">
        <v>1000</v>
      </c>
      <c r="K638" s="50">
        <v>800</v>
      </c>
      <c r="L638" s="47" t="s">
        <v>22</v>
      </c>
      <c r="M638" s="51">
        <v>0.2</v>
      </c>
      <c r="N638" s="48">
        <v>5</v>
      </c>
      <c r="O638" s="47" t="s">
        <v>47</v>
      </c>
    </row>
    <row r="639" ht="14.25" customHeight="1" spans="1:15">
      <c r="A639" s="43" t="s">
        <v>1430</v>
      </c>
      <c r="B639" s="44">
        <v>46134</v>
      </c>
      <c r="C639" s="45">
        <v>0.703472222222222</v>
      </c>
      <c r="D639" s="46">
        <f t="shared" si="0"/>
        <v>16</v>
      </c>
      <c r="E639" s="47" t="str">
        <f t="shared" si="1"/>
        <v>Wednesday</v>
      </c>
      <c r="F639" s="47" t="s">
        <v>16</v>
      </c>
      <c r="G639" s="47" t="s">
        <v>367</v>
      </c>
      <c r="H639" s="43" t="s">
        <v>109</v>
      </c>
      <c r="I639" s="48">
        <f>K639/J639</f>
        <v>1</v>
      </c>
      <c r="J639" s="49">
        <v>7000</v>
      </c>
      <c r="K639" s="49">
        <v>7000</v>
      </c>
      <c r="L639" s="47" t="s">
        <v>22</v>
      </c>
      <c r="M639" s="46">
        <v>0</v>
      </c>
      <c r="N639" s="48">
        <v>3</v>
      </c>
      <c r="O639" s="47" t="s">
        <v>33</v>
      </c>
    </row>
    <row r="640" ht="14.25" customHeight="1" spans="1:15">
      <c r="A640" s="43" t="s">
        <v>1432</v>
      </c>
      <c r="B640" s="44">
        <v>46134</v>
      </c>
      <c r="C640" s="45">
        <v>0.834027777777778</v>
      </c>
      <c r="D640" s="46">
        <f t="shared" si="0"/>
        <v>20</v>
      </c>
      <c r="E640" s="47" t="str">
        <f t="shared" si="1"/>
        <v>Wednesday</v>
      </c>
      <c r="F640" s="47" t="s">
        <v>16</v>
      </c>
      <c r="G640" s="47" t="s">
        <v>63</v>
      </c>
      <c r="H640" s="43" t="s">
        <v>18</v>
      </c>
      <c r="I640" s="48">
        <v>1</v>
      </c>
      <c r="J640" s="49">
        <v>1500</v>
      </c>
      <c r="K640" s="49">
        <v>1500</v>
      </c>
      <c r="L640" s="47" t="s">
        <v>22</v>
      </c>
      <c r="M640" s="46">
        <v>0</v>
      </c>
      <c r="N640" s="48" t="s">
        <v>23</v>
      </c>
      <c r="O640" s="47" t="s">
        <v>24</v>
      </c>
    </row>
    <row r="641" ht="14.25" customHeight="1" spans="1:15">
      <c r="A641" s="43" t="s">
        <v>1433</v>
      </c>
      <c r="B641" s="44">
        <v>46134</v>
      </c>
      <c r="C641" s="45">
        <v>0.836805555555556</v>
      </c>
      <c r="D641" s="46">
        <f t="shared" si="0"/>
        <v>20</v>
      </c>
      <c r="E641" s="47" t="str">
        <f t="shared" si="1"/>
        <v>Wednesday</v>
      </c>
      <c r="F641" s="47" t="s">
        <v>107</v>
      </c>
      <c r="G641" s="47" t="s">
        <v>17</v>
      </c>
      <c r="H641" s="43" t="s">
        <v>18</v>
      </c>
      <c r="I641" s="48">
        <v>3</v>
      </c>
      <c r="J641" s="49">
        <v>1000</v>
      </c>
      <c r="K641" s="49">
        <v>3000</v>
      </c>
      <c r="L641" s="47" t="s">
        <v>22</v>
      </c>
      <c r="M641" s="46">
        <v>0</v>
      </c>
      <c r="N641" s="48">
        <v>5</v>
      </c>
      <c r="O641" s="47" t="s">
        <v>24</v>
      </c>
    </row>
    <row r="642" ht="14.25" customHeight="1" spans="1:15">
      <c r="A642" s="43" t="s">
        <v>1435</v>
      </c>
      <c r="B642" s="44">
        <v>46134</v>
      </c>
      <c r="C642" s="45">
        <v>0.933333333333333</v>
      </c>
      <c r="D642" s="46">
        <f t="shared" si="0"/>
        <v>22</v>
      </c>
      <c r="E642" s="47" t="str">
        <f t="shared" si="1"/>
        <v>Wednesday</v>
      </c>
      <c r="F642" s="47" t="s">
        <v>16</v>
      </c>
      <c r="G642" s="47" t="s">
        <v>50</v>
      </c>
      <c r="H642" s="43" t="s">
        <v>28</v>
      </c>
      <c r="I642" s="48">
        <v>2</v>
      </c>
      <c r="J642" s="49">
        <v>25000</v>
      </c>
      <c r="K642" s="49">
        <v>50000</v>
      </c>
      <c r="L642" s="47" t="s">
        <v>22</v>
      </c>
      <c r="M642" s="46">
        <v>0</v>
      </c>
      <c r="N642" s="48" t="s">
        <v>23</v>
      </c>
      <c r="O642" s="47" t="s">
        <v>24</v>
      </c>
    </row>
    <row r="643" ht="14.25" customHeight="1" spans="1:15">
      <c r="A643" s="43" t="s">
        <v>1436</v>
      </c>
      <c r="B643" s="44">
        <v>46134</v>
      </c>
      <c r="C643" s="45">
        <v>0.957638888888889</v>
      </c>
      <c r="D643" s="46">
        <f t="shared" si="0"/>
        <v>22</v>
      </c>
      <c r="E643" s="47" t="str">
        <f t="shared" si="1"/>
        <v>Wednesday</v>
      </c>
      <c r="F643" s="47" t="s">
        <v>16</v>
      </c>
      <c r="G643" s="43" t="s">
        <v>36</v>
      </c>
      <c r="H643" s="43" t="s">
        <v>37</v>
      </c>
      <c r="I643" s="48">
        <v>2</v>
      </c>
      <c r="J643" s="49">
        <v>3000</v>
      </c>
      <c r="K643" s="49">
        <v>6000</v>
      </c>
      <c r="L643" s="47" t="s">
        <v>22</v>
      </c>
      <c r="M643" s="46">
        <v>0</v>
      </c>
      <c r="N643" s="48">
        <v>5</v>
      </c>
      <c r="O643" s="47" t="s">
        <v>24</v>
      </c>
    </row>
    <row r="644" ht="14.25" customHeight="1" spans="1:15">
      <c r="A644" s="43" t="s">
        <v>1437</v>
      </c>
      <c r="B644" s="44">
        <v>46135</v>
      </c>
      <c r="C644" s="45">
        <v>0.788888888888889</v>
      </c>
      <c r="D644" s="46">
        <f t="shared" si="0"/>
        <v>18</v>
      </c>
      <c r="E644" s="47" t="str">
        <f t="shared" si="1"/>
        <v>Thursday</v>
      </c>
      <c r="F644" s="47" t="s">
        <v>107</v>
      </c>
      <c r="G644" s="47" t="s">
        <v>17</v>
      </c>
      <c r="H644" s="43" t="str">
        <f>VLOOKUP(G644,'02_Menu_Lookup'!$A$2:$C$16,2,FALSE)</f>
        <v>Beverages</v>
      </c>
      <c r="I644" s="48">
        <v>1</v>
      </c>
      <c r="J644" s="49">
        <v>1000</v>
      </c>
      <c r="K644" s="49">
        <v>1000</v>
      </c>
      <c r="L644" s="47" t="s">
        <v>22</v>
      </c>
      <c r="M644" s="46">
        <v>0</v>
      </c>
      <c r="N644" s="48" t="s">
        <v>23</v>
      </c>
      <c r="O644" s="47" t="s">
        <v>40</v>
      </c>
    </row>
    <row r="645" ht="14.25" customHeight="1" spans="1:15">
      <c r="A645" s="43" t="s">
        <v>1440</v>
      </c>
      <c r="B645" s="44">
        <v>46135</v>
      </c>
      <c r="C645" s="45">
        <v>0.802777777777778</v>
      </c>
      <c r="D645" s="46">
        <f t="shared" si="0"/>
        <v>19</v>
      </c>
      <c r="E645" s="47" t="str">
        <f t="shared" si="1"/>
        <v>Thursday</v>
      </c>
      <c r="F645" s="47" t="s">
        <v>107</v>
      </c>
      <c r="G645" s="47" t="s">
        <v>17</v>
      </c>
      <c r="H645" s="43" t="s">
        <v>18</v>
      </c>
      <c r="I645" s="48">
        <v>1</v>
      </c>
      <c r="J645" s="49">
        <v>1000</v>
      </c>
      <c r="K645" s="49">
        <v>1000</v>
      </c>
      <c r="L645" s="47" t="s">
        <v>22</v>
      </c>
      <c r="M645" s="46">
        <v>0</v>
      </c>
      <c r="N645" s="48" t="s">
        <v>23</v>
      </c>
      <c r="O645" s="47" t="s">
        <v>73</v>
      </c>
    </row>
    <row r="646" ht="14.25" customHeight="1" spans="1:15">
      <c r="A646" s="43" t="s">
        <v>1441</v>
      </c>
      <c r="B646" s="44">
        <v>46135</v>
      </c>
      <c r="C646" s="45">
        <v>0.804166666666667</v>
      </c>
      <c r="D646" s="46">
        <f t="shared" si="0"/>
        <v>19</v>
      </c>
      <c r="E646" s="47" t="str">
        <f t="shared" si="1"/>
        <v>Thursday</v>
      </c>
      <c r="F646" s="47" t="s">
        <v>43</v>
      </c>
      <c r="G646" s="47" t="s">
        <v>103</v>
      </c>
      <c r="H646" s="43" t="s">
        <v>37</v>
      </c>
      <c r="I646" s="48">
        <v>2</v>
      </c>
      <c r="J646" s="49">
        <v>5000</v>
      </c>
      <c r="K646" s="49">
        <v>10000</v>
      </c>
      <c r="L646" s="47" t="s">
        <v>22</v>
      </c>
      <c r="M646" s="46">
        <v>0</v>
      </c>
      <c r="N646" s="48" t="s">
        <v>23</v>
      </c>
      <c r="O646" s="47" t="s">
        <v>24</v>
      </c>
    </row>
    <row r="647" ht="14.25" customHeight="1" spans="1:15">
      <c r="A647" s="43" t="s">
        <v>1442</v>
      </c>
      <c r="B647" s="44">
        <v>46135</v>
      </c>
      <c r="C647" s="45">
        <v>0.838194444444444</v>
      </c>
      <c r="D647" s="46">
        <f t="shared" si="0"/>
        <v>20</v>
      </c>
      <c r="E647" s="47" t="str">
        <f t="shared" si="1"/>
        <v>Thursday</v>
      </c>
      <c r="F647" s="47" t="s">
        <v>107</v>
      </c>
      <c r="G647" s="47" t="s">
        <v>146</v>
      </c>
      <c r="H647" s="43" t="s">
        <v>28</v>
      </c>
      <c r="I647" s="48">
        <v>1</v>
      </c>
      <c r="J647" s="49">
        <v>16000</v>
      </c>
      <c r="K647" s="49">
        <v>16000</v>
      </c>
      <c r="L647" s="47" t="s">
        <v>22</v>
      </c>
      <c r="M647" s="46">
        <v>0</v>
      </c>
      <c r="N647" s="48">
        <v>4</v>
      </c>
      <c r="O647" s="47" t="s">
        <v>24</v>
      </c>
    </row>
    <row r="648" ht="14.25" customHeight="1" spans="1:15">
      <c r="A648" s="43" t="s">
        <v>1444</v>
      </c>
      <c r="B648" s="44">
        <v>46135</v>
      </c>
      <c r="C648" s="45">
        <v>0.841666666666667</v>
      </c>
      <c r="D648" s="46">
        <f t="shared" si="0"/>
        <v>20</v>
      </c>
      <c r="E648" s="47" t="str">
        <f t="shared" si="1"/>
        <v>Thursday</v>
      </c>
      <c r="F648" s="47" t="s">
        <v>16</v>
      </c>
      <c r="G648" s="43" t="s">
        <v>199</v>
      </c>
      <c r="H648" s="43" t="s">
        <v>18</v>
      </c>
      <c r="I648" s="48">
        <v>1</v>
      </c>
      <c r="J648" s="49">
        <v>3000</v>
      </c>
      <c r="K648" s="49">
        <v>3000</v>
      </c>
      <c r="L648" s="47" t="s">
        <v>32</v>
      </c>
      <c r="M648" s="46">
        <v>0</v>
      </c>
      <c r="N648" s="48" t="s">
        <v>23</v>
      </c>
      <c r="O648" s="47" t="s">
        <v>24</v>
      </c>
    </row>
    <row r="649" ht="14.25" customHeight="1" spans="1:15">
      <c r="A649" s="43" t="s">
        <v>1445</v>
      </c>
      <c r="B649" s="44">
        <v>46135</v>
      </c>
      <c r="C649" s="45">
        <v>0.84375</v>
      </c>
      <c r="D649" s="46">
        <f t="shared" si="0"/>
        <v>20</v>
      </c>
      <c r="E649" s="47" t="str">
        <f t="shared" si="1"/>
        <v>Thursday</v>
      </c>
      <c r="F649" s="47" t="s">
        <v>16</v>
      </c>
      <c r="G649" s="47" t="s">
        <v>367</v>
      </c>
      <c r="H649" s="43" t="s">
        <v>109</v>
      </c>
      <c r="I649" s="48">
        <v>1</v>
      </c>
      <c r="J649" s="49">
        <v>7000</v>
      </c>
      <c r="K649" s="49">
        <v>7000</v>
      </c>
      <c r="L649" s="47" t="s">
        <v>22</v>
      </c>
      <c r="M649" s="46">
        <v>0</v>
      </c>
      <c r="N649" s="48">
        <v>5</v>
      </c>
      <c r="O649" s="47" t="s">
        <v>47</v>
      </c>
    </row>
    <row r="650" ht="14.25" customHeight="1" spans="1:15">
      <c r="A650" s="43" t="s">
        <v>1446</v>
      </c>
      <c r="B650" s="44">
        <v>46135</v>
      </c>
      <c r="C650" s="45">
        <v>0.885416666666667</v>
      </c>
      <c r="D650" s="46">
        <f t="shared" si="0"/>
        <v>21</v>
      </c>
      <c r="E650" s="47" t="str">
        <f t="shared" si="1"/>
        <v>Thursday</v>
      </c>
      <c r="F650" s="47" t="s">
        <v>16</v>
      </c>
      <c r="G650" s="47" t="s">
        <v>103</v>
      </c>
      <c r="H650" s="43" t="s">
        <v>37</v>
      </c>
      <c r="I650" s="48">
        <v>3</v>
      </c>
      <c r="J650" s="49">
        <v>5000</v>
      </c>
      <c r="K650" s="49">
        <v>15000</v>
      </c>
      <c r="L650" s="47" t="s">
        <v>32</v>
      </c>
      <c r="M650" s="46">
        <v>0</v>
      </c>
      <c r="N650" s="48">
        <v>5</v>
      </c>
      <c r="O650" s="47" t="s">
        <v>24</v>
      </c>
    </row>
    <row r="651" ht="14.25" customHeight="1" spans="1:15">
      <c r="A651" s="43" t="s">
        <v>1448</v>
      </c>
      <c r="B651" s="44">
        <v>46135</v>
      </c>
      <c r="C651" s="45">
        <v>0.9125</v>
      </c>
      <c r="D651" s="46">
        <f t="shared" si="0"/>
        <v>21</v>
      </c>
      <c r="E651" s="47" t="str">
        <f t="shared" si="1"/>
        <v>Thursday</v>
      </c>
      <c r="F651" s="47" t="s">
        <v>107</v>
      </c>
      <c r="G651" s="47" t="s">
        <v>27</v>
      </c>
      <c r="H651" s="43" t="s">
        <v>28</v>
      </c>
      <c r="I651" s="48">
        <v>1</v>
      </c>
      <c r="J651" s="49">
        <v>15000</v>
      </c>
      <c r="K651" s="49">
        <v>15000</v>
      </c>
      <c r="L651" s="47" t="s">
        <v>32</v>
      </c>
      <c r="M651" s="46">
        <v>0</v>
      </c>
      <c r="N651" s="48" t="s">
        <v>23</v>
      </c>
      <c r="O651" s="47" t="s">
        <v>33</v>
      </c>
    </row>
    <row r="652" ht="14.25" customHeight="1" spans="1:15">
      <c r="A652" s="43" t="s">
        <v>1449</v>
      </c>
      <c r="B652" s="44">
        <v>46135</v>
      </c>
      <c r="C652" s="45">
        <v>0.919444444444444</v>
      </c>
      <c r="D652" s="46">
        <f t="shared" si="0"/>
        <v>22</v>
      </c>
      <c r="E652" s="47" t="str">
        <f t="shared" si="1"/>
        <v>Thursday</v>
      </c>
      <c r="F652" s="47" t="s">
        <v>43</v>
      </c>
      <c r="G652" s="47" t="s">
        <v>63</v>
      </c>
      <c r="H652" s="43" t="s">
        <v>18</v>
      </c>
      <c r="I652" s="48">
        <v>3</v>
      </c>
      <c r="J652" s="49">
        <v>1500</v>
      </c>
      <c r="K652" s="49">
        <v>4500</v>
      </c>
      <c r="L652" s="47" t="s">
        <v>22</v>
      </c>
      <c r="M652" s="46">
        <v>0</v>
      </c>
      <c r="N652" s="48" t="s">
        <v>23</v>
      </c>
      <c r="O652" s="47" t="s">
        <v>24</v>
      </c>
    </row>
    <row r="653" ht="14.25" customHeight="1" spans="1:15">
      <c r="A653" s="43" t="s">
        <v>1451</v>
      </c>
      <c r="B653" s="44">
        <v>46135</v>
      </c>
      <c r="C653" s="45">
        <v>0.936805555555556</v>
      </c>
      <c r="D653" s="46">
        <f t="shared" si="0"/>
        <v>22</v>
      </c>
      <c r="E653" s="47" t="str">
        <f t="shared" si="1"/>
        <v>Thursday</v>
      </c>
      <c r="F653" s="47" t="s">
        <v>43</v>
      </c>
      <c r="G653" s="47" t="s">
        <v>95</v>
      </c>
      <c r="H653" s="43" t="str">
        <f>VLOOKUP(G653,'02_Menu_Lookup'!$A$2:$C$16,2,FALSE)</f>
        <v>Appetizers</v>
      </c>
      <c r="I653" s="48">
        <v>1</v>
      </c>
      <c r="J653" s="49">
        <v>5000</v>
      </c>
      <c r="K653" s="49">
        <v>5000</v>
      </c>
      <c r="L653" s="47" t="s">
        <v>22</v>
      </c>
      <c r="M653" s="46">
        <v>0</v>
      </c>
      <c r="N653" s="48" t="s">
        <v>23</v>
      </c>
      <c r="O653" s="47" t="s">
        <v>24</v>
      </c>
    </row>
    <row r="654" ht="14.25" customHeight="1" spans="1:15">
      <c r="A654" s="43" t="s">
        <v>1452</v>
      </c>
      <c r="B654" s="44">
        <v>46135</v>
      </c>
      <c r="C654" s="45">
        <v>0.972222222222222</v>
      </c>
      <c r="D654" s="46">
        <f t="shared" si="0"/>
        <v>23</v>
      </c>
      <c r="E654" s="47" t="str">
        <f t="shared" si="1"/>
        <v>Thursday</v>
      </c>
      <c r="F654" s="47" t="s">
        <v>16</v>
      </c>
      <c r="G654" s="47" t="s">
        <v>17</v>
      </c>
      <c r="H654" s="43" t="s">
        <v>18</v>
      </c>
      <c r="I654" s="48">
        <v>1</v>
      </c>
      <c r="J654" s="49">
        <v>1000</v>
      </c>
      <c r="K654" s="49">
        <v>1000</v>
      </c>
      <c r="L654" s="47" t="s">
        <v>22</v>
      </c>
      <c r="M654" s="46">
        <v>0</v>
      </c>
      <c r="N654" s="48" t="s">
        <v>23</v>
      </c>
      <c r="O654" s="47" t="s">
        <v>73</v>
      </c>
    </row>
    <row r="655" ht="14.25" customHeight="1" spans="1:15">
      <c r="A655" s="43" t="s">
        <v>1454</v>
      </c>
      <c r="B655" s="44">
        <v>46136</v>
      </c>
      <c r="C655" s="45">
        <v>0.555555555555556</v>
      </c>
      <c r="D655" s="46">
        <f t="shared" si="0"/>
        <v>13</v>
      </c>
      <c r="E655" s="47" t="str">
        <f t="shared" si="1"/>
        <v>Friday</v>
      </c>
      <c r="F655" s="47" t="s">
        <v>16</v>
      </c>
      <c r="G655" s="43" t="s">
        <v>647</v>
      </c>
      <c r="H655" s="43" t="s">
        <v>45</v>
      </c>
      <c r="I655" s="48">
        <v>1</v>
      </c>
      <c r="J655" s="49">
        <v>4500</v>
      </c>
      <c r="K655" s="49">
        <v>4500</v>
      </c>
      <c r="L655" s="47" t="s">
        <v>22</v>
      </c>
      <c r="M655" s="46">
        <v>0</v>
      </c>
      <c r="N655" s="48" t="s">
        <v>23</v>
      </c>
      <c r="O655" s="47" t="s">
        <v>24</v>
      </c>
    </row>
    <row r="656" ht="14.25" customHeight="1" spans="1:15">
      <c r="A656" s="43" t="s">
        <v>1458</v>
      </c>
      <c r="B656" s="44">
        <v>46136</v>
      </c>
      <c r="C656" s="45">
        <v>0.557638888888889</v>
      </c>
      <c r="D656" s="46">
        <f t="shared" si="0"/>
        <v>13</v>
      </c>
      <c r="E656" s="47" t="str">
        <f t="shared" si="1"/>
        <v>Friday</v>
      </c>
      <c r="F656" s="47" t="s">
        <v>16</v>
      </c>
      <c r="G656" s="47" t="s">
        <v>63</v>
      </c>
      <c r="H656" s="43" t="s">
        <v>18</v>
      </c>
      <c r="I656" s="48">
        <v>1</v>
      </c>
      <c r="J656" s="49">
        <v>1500</v>
      </c>
      <c r="K656" s="49">
        <v>1500</v>
      </c>
      <c r="L656" s="47" t="s">
        <v>32</v>
      </c>
      <c r="M656" s="46">
        <v>0</v>
      </c>
      <c r="N656" s="48">
        <v>4</v>
      </c>
      <c r="O656" s="47" t="s">
        <v>47</v>
      </c>
    </row>
    <row r="657" ht="14.25" customHeight="1" spans="1:15">
      <c r="A657" s="43" t="s">
        <v>1460</v>
      </c>
      <c r="B657" s="44">
        <v>46136</v>
      </c>
      <c r="C657" s="45">
        <v>0.788194444444444</v>
      </c>
      <c r="D657" s="46">
        <f t="shared" si="0"/>
        <v>18</v>
      </c>
      <c r="E657" s="47" t="str">
        <f t="shared" si="1"/>
        <v>Friday</v>
      </c>
      <c r="F657" s="47" t="s">
        <v>16</v>
      </c>
      <c r="G657" s="47" t="s">
        <v>146</v>
      </c>
      <c r="H657" s="43" t="s">
        <v>28</v>
      </c>
      <c r="I657" s="48">
        <v>1</v>
      </c>
      <c r="J657" s="49">
        <v>16000</v>
      </c>
      <c r="K657" s="49">
        <v>16000</v>
      </c>
      <c r="L657" s="47" t="s">
        <v>32</v>
      </c>
      <c r="M657" s="46">
        <v>0</v>
      </c>
      <c r="N657" s="48" t="s">
        <v>23</v>
      </c>
      <c r="O657" s="47" t="s">
        <v>73</v>
      </c>
    </row>
    <row r="658" ht="14.25" customHeight="1" spans="1:15">
      <c r="A658" s="43" t="s">
        <v>1462</v>
      </c>
      <c r="B658" s="44">
        <v>46136</v>
      </c>
      <c r="C658" s="45">
        <v>0.793055555555556</v>
      </c>
      <c r="D658" s="46">
        <f t="shared" si="0"/>
        <v>19</v>
      </c>
      <c r="E658" s="47" t="str">
        <f t="shared" si="1"/>
        <v>Friday</v>
      </c>
      <c r="F658" s="47" t="s">
        <v>107</v>
      </c>
      <c r="G658" s="43" t="s">
        <v>36</v>
      </c>
      <c r="H658" s="43" t="s">
        <v>37</v>
      </c>
      <c r="I658" s="48">
        <v>1</v>
      </c>
      <c r="J658" s="49">
        <v>3000</v>
      </c>
      <c r="K658" s="50">
        <v>2700</v>
      </c>
      <c r="L658" s="47" t="s">
        <v>22</v>
      </c>
      <c r="M658" s="51">
        <v>0.1</v>
      </c>
      <c r="N658" s="48" t="s">
        <v>23</v>
      </c>
      <c r="O658" s="47" t="s">
        <v>40</v>
      </c>
    </row>
    <row r="659" ht="14.25" customHeight="1" spans="1:15">
      <c r="A659" s="43" t="s">
        <v>1463</v>
      </c>
      <c r="B659" s="44">
        <v>46136</v>
      </c>
      <c r="C659" s="45">
        <v>0.822222222222222</v>
      </c>
      <c r="D659" s="46">
        <f t="shared" si="0"/>
        <v>19</v>
      </c>
      <c r="E659" s="47" t="str">
        <f t="shared" si="1"/>
        <v>Friday</v>
      </c>
      <c r="F659" s="47" t="s">
        <v>16</v>
      </c>
      <c r="G659" s="47" t="s">
        <v>63</v>
      </c>
      <c r="H659" s="43" t="s">
        <v>18</v>
      </c>
      <c r="I659" s="48">
        <v>1</v>
      </c>
      <c r="J659" s="49">
        <v>1500</v>
      </c>
      <c r="K659" s="49">
        <v>1500</v>
      </c>
      <c r="L659" s="47" t="s">
        <v>22</v>
      </c>
      <c r="M659" s="46">
        <v>0</v>
      </c>
      <c r="N659" s="48">
        <v>3</v>
      </c>
      <c r="O659" s="47" t="s">
        <v>47</v>
      </c>
    </row>
    <row r="660" ht="14.25" customHeight="1" spans="1:15">
      <c r="A660" s="43" t="s">
        <v>1464</v>
      </c>
      <c r="B660" s="44">
        <v>46136</v>
      </c>
      <c r="C660" s="45">
        <v>0.839583333333333</v>
      </c>
      <c r="D660" s="46">
        <f t="shared" si="0"/>
        <v>20</v>
      </c>
      <c r="E660" s="47" t="str">
        <f t="shared" si="1"/>
        <v>Friday</v>
      </c>
      <c r="F660" s="47" t="s">
        <v>43</v>
      </c>
      <c r="G660" s="47" t="s">
        <v>63</v>
      </c>
      <c r="H660" s="43" t="s">
        <v>18</v>
      </c>
      <c r="I660" s="48">
        <v>2</v>
      </c>
      <c r="J660" s="49">
        <v>1500</v>
      </c>
      <c r="K660" s="50">
        <v>2400</v>
      </c>
      <c r="L660" s="47" t="s">
        <v>22</v>
      </c>
      <c r="M660" s="51">
        <v>0.2</v>
      </c>
      <c r="N660" s="48">
        <v>3</v>
      </c>
      <c r="O660" s="47" t="s">
        <v>24</v>
      </c>
    </row>
    <row r="661" ht="14.25" customHeight="1" spans="1:15">
      <c r="A661" s="43" t="s">
        <v>1465</v>
      </c>
      <c r="B661" s="44">
        <v>46136</v>
      </c>
      <c r="C661" s="45">
        <v>0.845833333333333</v>
      </c>
      <c r="D661" s="46">
        <f t="shared" si="0"/>
        <v>20</v>
      </c>
      <c r="E661" s="47" t="str">
        <f t="shared" si="1"/>
        <v>Friday</v>
      </c>
      <c r="F661" s="47" t="s">
        <v>16</v>
      </c>
      <c r="G661" s="47" t="s">
        <v>103</v>
      </c>
      <c r="H661" s="47" t="s">
        <v>37</v>
      </c>
      <c r="I661" s="48">
        <v>1</v>
      </c>
      <c r="J661" s="49">
        <v>5000</v>
      </c>
      <c r="K661" s="49">
        <v>5000</v>
      </c>
      <c r="L661" s="47" t="s">
        <v>22</v>
      </c>
      <c r="M661" s="46">
        <v>0</v>
      </c>
      <c r="N661" s="48">
        <v>4</v>
      </c>
      <c r="O661" s="47" t="s">
        <v>47</v>
      </c>
    </row>
    <row r="662" ht="14.25" customHeight="1" spans="1:15">
      <c r="A662" s="43" t="s">
        <v>1466</v>
      </c>
      <c r="B662" s="44">
        <v>46136</v>
      </c>
      <c r="C662" s="45">
        <v>0.882638888888889</v>
      </c>
      <c r="D662" s="46">
        <f t="shared" si="0"/>
        <v>21</v>
      </c>
      <c r="E662" s="47" t="str">
        <f t="shared" si="1"/>
        <v>Friday</v>
      </c>
      <c r="F662" s="47" t="s">
        <v>16</v>
      </c>
      <c r="G662" s="47" t="s">
        <v>367</v>
      </c>
      <c r="H662" s="43" t="s">
        <v>109</v>
      </c>
      <c r="I662" s="48">
        <v>2</v>
      </c>
      <c r="J662" s="49">
        <v>7000</v>
      </c>
      <c r="K662" s="49">
        <v>14000</v>
      </c>
      <c r="L662" s="47" t="s">
        <v>32</v>
      </c>
      <c r="M662" s="46">
        <v>0</v>
      </c>
      <c r="N662" s="48" t="s">
        <v>23</v>
      </c>
      <c r="O662" s="47" t="s">
        <v>40</v>
      </c>
    </row>
    <row r="663" ht="14.25" customHeight="1" spans="1:15">
      <c r="A663" s="43" t="s">
        <v>1467</v>
      </c>
      <c r="B663" s="44">
        <v>46136</v>
      </c>
      <c r="C663" s="45">
        <v>0.886805555555556</v>
      </c>
      <c r="D663" s="46">
        <f t="shared" si="0"/>
        <v>21</v>
      </c>
      <c r="E663" s="47" t="str">
        <f t="shared" si="1"/>
        <v>Friday</v>
      </c>
      <c r="F663" s="47" t="s">
        <v>16</v>
      </c>
      <c r="G663" s="47" t="s">
        <v>63</v>
      </c>
      <c r="H663" s="43" t="s">
        <v>18</v>
      </c>
      <c r="I663" s="48">
        <v>1</v>
      </c>
      <c r="J663" s="49">
        <v>1500</v>
      </c>
      <c r="K663" s="49">
        <v>1500</v>
      </c>
      <c r="L663" s="47" t="s">
        <v>22</v>
      </c>
      <c r="M663" s="46">
        <v>0</v>
      </c>
      <c r="N663" s="48" t="s">
        <v>23</v>
      </c>
      <c r="O663" s="47" t="s">
        <v>73</v>
      </c>
    </row>
    <row r="664" ht="14.25" customHeight="1" spans="1:15">
      <c r="A664" s="43" t="s">
        <v>1468</v>
      </c>
      <c r="B664" s="44">
        <v>46136</v>
      </c>
      <c r="C664" s="45">
        <v>0.890277777777778</v>
      </c>
      <c r="D664" s="46">
        <f t="shared" si="0"/>
        <v>21</v>
      </c>
      <c r="E664" s="47" t="str">
        <f t="shared" si="1"/>
        <v>Friday</v>
      </c>
      <c r="F664" s="47" t="s">
        <v>107</v>
      </c>
      <c r="G664" s="43" t="s">
        <v>199</v>
      </c>
      <c r="H664" s="43" t="s">
        <v>18</v>
      </c>
      <c r="I664" s="48">
        <v>1</v>
      </c>
      <c r="J664" s="49">
        <v>3000</v>
      </c>
      <c r="K664" s="49">
        <v>3000</v>
      </c>
      <c r="L664" s="47" t="s">
        <v>22</v>
      </c>
      <c r="M664" s="46">
        <v>0</v>
      </c>
      <c r="N664" s="48">
        <v>4</v>
      </c>
      <c r="O664" s="47" t="s">
        <v>33</v>
      </c>
    </row>
    <row r="665" ht="14.25" customHeight="1" spans="1:15">
      <c r="A665" s="43" t="s">
        <v>1470</v>
      </c>
      <c r="B665" s="44">
        <v>46136</v>
      </c>
      <c r="C665" s="45">
        <v>0.91875</v>
      </c>
      <c r="D665" s="46">
        <f t="shared" si="0"/>
        <v>22</v>
      </c>
      <c r="E665" s="47" t="str">
        <f t="shared" si="1"/>
        <v>Friday</v>
      </c>
      <c r="F665" s="47" t="s">
        <v>16</v>
      </c>
      <c r="G665" s="47" t="s">
        <v>367</v>
      </c>
      <c r="H665" s="43" t="s">
        <v>109</v>
      </c>
      <c r="I665" s="48">
        <v>1</v>
      </c>
      <c r="J665" s="49">
        <v>7000</v>
      </c>
      <c r="K665" s="49">
        <v>7000</v>
      </c>
      <c r="L665" s="47" t="s">
        <v>32</v>
      </c>
      <c r="M665" s="46">
        <v>0</v>
      </c>
      <c r="N665" s="48" t="s">
        <v>23</v>
      </c>
      <c r="O665" s="47" t="s">
        <v>24</v>
      </c>
    </row>
    <row r="666" ht="14.25" customHeight="1" spans="1:15">
      <c r="A666" s="43" t="s">
        <v>1471</v>
      </c>
      <c r="B666" s="44">
        <v>46136</v>
      </c>
      <c r="C666" s="45">
        <v>0.923611111111111</v>
      </c>
      <c r="D666" s="46">
        <f t="shared" si="0"/>
        <v>22</v>
      </c>
      <c r="E666" s="47" t="str">
        <f t="shared" si="1"/>
        <v>Friday</v>
      </c>
      <c r="F666" s="47" t="s">
        <v>16</v>
      </c>
      <c r="G666" s="47" t="s">
        <v>146</v>
      </c>
      <c r="H666" s="43" t="s">
        <v>28</v>
      </c>
      <c r="I666" s="48">
        <v>1</v>
      </c>
      <c r="J666" s="49">
        <v>16000</v>
      </c>
      <c r="K666" s="49">
        <v>16000</v>
      </c>
      <c r="L666" s="47" t="s">
        <v>22</v>
      </c>
      <c r="M666" s="46">
        <v>0</v>
      </c>
      <c r="N666" s="48">
        <v>4</v>
      </c>
      <c r="O666" s="47" t="s">
        <v>40</v>
      </c>
    </row>
    <row r="667" ht="14.25" customHeight="1" spans="1:15">
      <c r="A667" s="43" t="s">
        <v>1472</v>
      </c>
      <c r="B667" s="44">
        <v>46136</v>
      </c>
      <c r="C667" s="45">
        <v>0.947222222222222</v>
      </c>
      <c r="D667" s="46">
        <f t="shared" si="0"/>
        <v>22</v>
      </c>
      <c r="E667" s="47" t="str">
        <f t="shared" si="1"/>
        <v>Friday</v>
      </c>
      <c r="F667" s="47" t="s">
        <v>43</v>
      </c>
      <c r="G667" s="47" t="s">
        <v>367</v>
      </c>
      <c r="H667" s="43" t="s">
        <v>109</v>
      </c>
      <c r="I667" s="48">
        <v>1</v>
      </c>
      <c r="J667" s="49">
        <v>7000</v>
      </c>
      <c r="K667" s="49">
        <v>7000</v>
      </c>
      <c r="L667" s="47" t="s">
        <v>32</v>
      </c>
      <c r="M667" s="46">
        <v>0</v>
      </c>
      <c r="N667" s="48" t="s">
        <v>23</v>
      </c>
      <c r="O667" s="47" t="s">
        <v>24</v>
      </c>
    </row>
    <row r="668" ht="14.25" customHeight="1" spans="1:15">
      <c r="A668" s="43" t="s">
        <v>1473</v>
      </c>
      <c r="B668" s="44">
        <v>46137</v>
      </c>
      <c r="C668" s="45">
        <v>0.556944444444444</v>
      </c>
      <c r="D668" s="46">
        <f t="shared" si="0"/>
        <v>13</v>
      </c>
      <c r="E668" s="47" t="str">
        <f t="shared" si="1"/>
        <v>Saturday</v>
      </c>
      <c r="F668" s="47" t="s">
        <v>16</v>
      </c>
      <c r="G668" s="47" t="s">
        <v>44</v>
      </c>
      <c r="H668" s="47" t="s">
        <v>45</v>
      </c>
      <c r="I668" s="48">
        <v>1</v>
      </c>
      <c r="J668" s="49">
        <v>4000</v>
      </c>
      <c r="K668" s="50">
        <v>3400</v>
      </c>
      <c r="L668" s="47" t="s">
        <v>32</v>
      </c>
      <c r="M668" s="51">
        <v>0.15</v>
      </c>
      <c r="N668" s="48" t="s">
        <v>23</v>
      </c>
      <c r="O668" s="47" t="s">
        <v>73</v>
      </c>
    </row>
    <row r="669" ht="14.25" customHeight="1" spans="1:15">
      <c r="A669" s="43" t="s">
        <v>1476</v>
      </c>
      <c r="B669" s="44">
        <v>46142</v>
      </c>
      <c r="C669" s="45">
        <v>0.879861111111111</v>
      </c>
      <c r="D669" s="46">
        <f t="shared" si="0"/>
        <v>21</v>
      </c>
      <c r="E669" s="47" t="str">
        <f t="shared" si="1"/>
        <v>Thursday</v>
      </c>
      <c r="F669" s="47" t="s">
        <v>16</v>
      </c>
      <c r="G669" s="47" t="s">
        <v>103</v>
      </c>
      <c r="H669" s="43" t="s">
        <v>37</v>
      </c>
      <c r="I669" s="48">
        <v>1</v>
      </c>
      <c r="J669" s="49">
        <f>K669/I669</f>
        <v>5000</v>
      </c>
      <c r="K669" s="49">
        <v>5000</v>
      </c>
      <c r="L669" s="47" t="s">
        <v>32</v>
      </c>
      <c r="M669" s="46">
        <v>0</v>
      </c>
      <c r="N669" s="48">
        <v>4</v>
      </c>
      <c r="O669" s="47" t="s">
        <v>33</v>
      </c>
    </row>
    <row r="670" ht="14.25" customHeight="1" spans="1:15">
      <c r="A670" s="43" t="s">
        <v>1478</v>
      </c>
      <c r="B670" s="44">
        <v>46137</v>
      </c>
      <c r="C670" s="45">
        <v>0.804166666666667</v>
      </c>
      <c r="D670" s="46">
        <f t="shared" si="0"/>
        <v>19</v>
      </c>
      <c r="E670" s="47" t="str">
        <f t="shared" si="1"/>
        <v>Saturday</v>
      </c>
      <c r="F670" s="47" t="s">
        <v>107</v>
      </c>
      <c r="G670" s="47" t="s">
        <v>103</v>
      </c>
      <c r="H670" s="47" t="s">
        <v>37</v>
      </c>
      <c r="I670" s="48">
        <v>1</v>
      </c>
      <c r="J670" s="49">
        <v>5000</v>
      </c>
      <c r="K670" s="49">
        <v>5000</v>
      </c>
      <c r="L670" s="47" t="s">
        <v>22</v>
      </c>
      <c r="M670" s="46">
        <v>0</v>
      </c>
      <c r="N670" s="48" t="s">
        <v>23</v>
      </c>
      <c r="O670" s="47" t="s">
        <v>73</v>
      </c>
    </row>
    <row r="671" ht="14.25" customHeight="1" spans="1:15">
      <c r="A671" s="43" t="s">
        <v>1479</v>
      </c>
      <c r="B671" s="44">
        <v>46137</v>
      </c>
      <c r="C671" s="45">
        <v>0.869444444444444</v>
      </c>
      <c r="D671" s="46">
        <f t="shared" si="0"/>
        <v>20</v>
      </c>
      <c r="E671" s="47" t="str">
        <f t="shared" si="1"/>
        <v>Saturday</v>
      </c>
      <c r="F671" s="47" t="s">
        <v>107</v>
      </c>
      <c r="G671" s="47" t="s">
        <v>44</v>
      </c>
      <c r="H671" s="43" t="s">
        <v>45</v>
      </c>
      <c r="I671" s="48">
        <v>2</v>
      </c>
      <c r="J671" s="49">
        <v>4000</v>
      </c>
      <c r="K671" s="50">
        <v>6800</v>
      </c>
      <c r="L671" s="47" t="s">
        <v>22</v>
      </c>
      <c r="M671" s="51">
        <v>0.15</v>
      </c>
      <c r="N671" s="48" t="s">
        <v>23</v>
      </c>
      <c r="O671" s="47" t="s">
        <v>40</v>
      </c>
    </row>
    <row r="672" ht="14.25" customHeight="1" spans="1:15">
      <c r="A672" s="43" t="s">
        <v>1481</v>
      </c>
      <c r="B672" s="44">
        <v>46138</v>
      </c>
      <c r="C672" s="45">
        <v>0.55</v>
      </c>
      <c r="D672" s="46">
        <f t="shared" si="0"/>
        <v>13</v>
      </c>
      <c r="E672" s="47" t="str">
        <f t="shared" si="1"/>
        <v>Sunday</v>
      </c>
      <c r="F672" s="47" t="s">
        <v>16</v>
      </c>
      <c r="G672" s="47" t="s">
        <v>81</v>
      </c>
      <c r="H672" s="43" t="s">
        <v>37</v>
      </c>
      <c r="I672" s="48">
        <v>2</v>
      </c>
      <c r="J672" s="49">
        <v>6000</v>
      </c>
      <c r="K672" s="49">
        <v>12000</v>
      </c>
      <c r="L672" s="47" t="s">
        <v>22</v>
      </c>
      <c r="M672" s="46">
        <v>0</v>
      </c>
      <c r="N672" s="48">
        <v>5</v>
      </c>
      <c r="O672" s="47" t="s">
        <v>24</v>
      </c>
    </row>
    <row r="673" ht="14.25" customHeight="1" spans="1:15">
      <c r="A673" s="43" t="s">
        <v>1484</v>
      </c>
      <c r="B673" s="44">
        <v>46138</v>
      </c>
      <c r="C673" s="52">
        <v>0.617361111111111</v>
      </c>
      <c r="D673" s="46">
        <f t="shared" si="0"/>
        <v>14</v>
      </c>
      <c r="E673" s="47" t="str">
        <f t="shared" si="1"/>
        <v>Sunday</v>
      </c>
      <c r="F673" s="47" t="s">
        <v>16</v>
      </c>
      <c r="G673" s="47" t="s">
        <v>81</v>
      </c>
      <c r="H673" s="43" t="s">
        <v>37</v>
      </c>
      <c r="I673" s="48">
        <v>1</v>
      </c>
      <c r="J673" s="49">
        <v>6000</v>
      </c>
      <c r="K673" s="49">
        <v>6000</v>
      </c>
      <c r="L673" s="47" t="s">
        <v>22</v>
      </c>
      <c r="M673" s="46">
        <v>0</v>
      </c>
      <c r="N673" s="48" t="s">
        <v>23</v>
      </c>
      <c r="O673" s="47" t="s">
        <v>24</v>
      </c>
    </row>
    <row r="674" ht="14.25" customHeight="1" spans="1:15">
      <c r="A674" s="43" t="s">
        <v>1487</v>
      </c>
      <c r="B674" s="44">
        <v>46138</v>
      </c>
      <c r="C674" s="45">
        <v>0.681944444444444</v>
      </c>
      <c r="D674" s="46">
        <f t="shared" si="0"/>
        <v>16</v>
      </c>
      <c r="E674" s="47" t="str">
        <f t="shared" si="1"/>
        <v>Sunday</v>
      </c>
      <c r="F674" s="47" t="s">
        <v>107</v>
      </c>
      <c r="G674" s="47" t="s">
        <v>17</v>
      </c>
      <c r="H674" s="43" t="s">
        <v>18</v>
      </c>
      <c r="I674" s="48">
        <v>2</v>
      </c>
      <c r="J674" s="49">
        <v>1000</v>
      </c>
      <c r="K674" s="49">
        <v>2000</v>
      </c>
      <c r="L674" s="47" t="s">
        <v>22</v>
      </c>
      <c r="M674" s="46">
        <v>0</v>
      </c>
      <c r="N674" s="48">
        <v>4</v>
      </c>
      <c r="O674" s="47" t="s">
        <v>24</v>
      </c>
    </row>
    <row r="675" ht="14.25" customHeight="1" spans="1:15">
      <c r="A675" s="43" t="s">
        <v>1490</v>
      </c>
      <c r="B675" s="44">
        <v>46138</v>
      </c>
      <c r="C675" s="45">
        <v>0.934722222222222</v>
      </c>
      <c r="D675" s="46">
        <f t="shared" si="0"/>
        <v>22</v>
      </c>
      <c r="E675" s="47" t="str">
        <f t="shared" si="1"/>
        <v>Sunday</v>
      </c>
      <c r="F675" s="47" t="s">
        <v>16</v>
      </c>
      <c r="G675" s="47" t="s">
        <v>63</v>
      </c>
      <c r="H675" s="43" t="s">
        <v>18</v>
      </c>
      <c r="I675" s="48">
        <v>2</v>
      </c>
      <c r="J675" s="49">
        <v>1200</v>
      </c>
      <c r="K675" s="50">
        <v>1920</v>
      </c>
      <c r="L675" s="47" t="s">
        <v>22</v>
      </c>
      <c r="M675" s="51">
        <v>0.2</v>
      </c>
      <c r="N675" s="48">
        <v>4</v>
      </c>
      <c r="O675" s="47" t="s">
        <v>40</v>
      </c>
    </row>
    <row r="676" ht="14.25" customHeight="1" spans="1:15">
      <c r="A676" s="43" t="s">
        <v>1492</v>
      </c>
      <c r="B676" s="44">
        <v>46139</v>
      </c>
      <c r="C676" s="45">
        <v>0.509027777777778</v>
      </c>
      <c r="D676" s="46">
        <f t="shared" si="0"/>
        <v>12</v>
      </c>
      <c r="E676" s="47" t="str">
        <f t="shared" si="1"/>
        <v>Monday</v>
      </c>
      <c r="F676" s="47" t="s">
        <v>16</v>
      </c>
      <c r="G676" s="47" t="s">
        <v>17</v>
      </c>
      <c r="H676" s="43" t="s">
        <v>18</v>
      </c>
      <c r="I676" s="48">
        <v>1</v>
      </c>
      <c r="J676" s="49">
        <v>1000</v>
      </c>
      <c r="K676" s="49">
        <v>1000</v>
      </c>
      <c r="L676" s="47" t="s">
        <v>32</v>
      </c>
      <c r="M676" s="46">
        <v>0</v>
      </c>
      <c r="N676" s="48">
        <v>5</v>
      </c>
      <c r="O676" s="47" t="s">
        <v>33</v>
      </c>
    </row>
    <row r="677" ht="14.25" customHeight="1" spans="1:15">
      <c r="A677" s="43" t="s">
        <v>1495</v>
      </c>
      <c r="B677" s="44">
        <v>46139</v>
      </c>
      <c r="C677" s="45">
        <v>0.571527777777778</v>
      </c>
      <c r="D677" s="46">
        <f t="shared" si="0"/>
        <v>13</v>
      </c>
      <c r="E677" s="47" t="str">
        <f t="shared" si="1"/>
        <v>Monday</v>
      </c>
      <c r="F677" s="47" t="s">
        <v>16</v>
      </c>
      <c r="G677" s="47" t="s">
        <v>27</v>
      </c>
      <c r="H677" s="43" t="s">
        <v>28</v>
      </c>
      <c r="I677" s="48">
        <v>2</v>
      </c>
      <c r="J677" s="49">
        <v>15000</v>
      </c>
      <c r="K677" s="49">
        <v>30000</v>
      </c>
      <c r="L677" s="47" t="s">
        <v>22</v>
      </c>
      <c r="M677" s="46">
        <v>0</v>
      </c>
      <c r="N677" s="48" t="s">
        <v>23</v>
      </c>
      <c r="O677" s="47" t="s">
        <v>24</v>
      </c>
    </row>
    <row r="678" ht="14.25" customHeight="1" spans="1:15">
      <c r="A678" s="43" t="s">
        <v>1496</v>
      </c>
      <c r="B678" s="44">
        <v>46139</v>
      </c>
      <c r="C678" s="45">
        <v>0.764583333333333</v>
      </c>
      <c r="D678" s="46">
        <f t="shared" si="0"/>
        <v>18</v>
      </c>
      <c r="E678" s="47" t="str">
        <f t="shared" si="1"/>
        <v>Monday</v>
      </c>
      <c r="F678" s="47" t="s">
        <v>16</v>
      </c>
      <c r="G678" s="47" t="s">
        <v>103</v>
      </c>
      <c r="H678" s="43" t="s">
        <v>37</v>
      </c>
      <c r="I678" s="48">
        <v>1</v>
      </c>
      <c r="J678" s="49">
        <v>5000</v>
      </c>
      <c r="K678" s="49">
        <v>5000</v>
      </c>
      <c r="L678" s="47" t="s">
        <v>32</v>
      </c>
      <c r="M678" s="46">
        <v>0</v>
      </c>
      <c r="N678" s="48">
        <v>4</v>
      </c>
      <c r="O678" s="47" t="s">
        <v>24</v>
      </c>
    </row>
    <row r="679" ht="14.25" customHeight="1" spans="1:15">
      <c r="A679" s="43" t="s">
        <v>1497</v>
      </c>
      <c r="B679" s="44">
        <v>46139</v>
      </c>
      <c r="C679" s="45">
        <v>0.76875</v>
      </c>
      <c r="D679" s="46">
        <f t="shared" si="0"/>
        <v>18</v>
      </c>
      <c r="E679" s="47" t="str">
        <f t="shared" si="1"/>
        <v>Monday</v>
      </c>
      <c r="F679" s="47" t="s">
        <v>16</v>
      </c>
      <c r="G679" s="43" t="s">
        <v>647</v>
      </c>
      <c r="H679" s="43" t="s">
        <v>45</v>
      </c>
      <c r="I679" s="48">
        <v>1</v>
      </c>
      <c r="J679" s="49">
        <v>4500</v>
      </c>
      <c r="K679" s="50">
        <v>4050</v>
      </c>
      <c r="L679" s="47" t="s">
        <v>22</v>
      </c>
      <c r="M679" s="51">
        <v>0.1</v>
      </c>
      <c r="N679" s="48">
        <v>2</v>
      </c>
      <c r="O679" s="47" t="s">
        <v>47</v>
      </c>
    </row>
    <row r="680" ht="14.25" customHeight="1" spans="1:15">
      <c r="A680" s="43" t="s">
        <v>1499</v>
      </c>
      <c r="B680" s="44">
        <v>46139</v>
      </c>
      <c r="C680" s="45">
        <v>0.8</v>
      </c>
      <c r="D680" s="46">
        <f t="shared" si="0"/>
        <v>19</v>
      </c>
      <c r="E680" s="47" t="str">
        <f t="shared" si="1"/>
        <v>Monday</v>
      </c>
      <c r="F680" s="47" t="s">
        <v>16</v>
      </c>
      <c r="G680" s="47" t="s">
        <v>103</v>
      </c>
      <c r="H680" s="43" t="s">
        <v>37</v>
      </c>
      <c r="I680" s="48">
        <v>1</v>
      </c>
      <c r="J680" s="49">
        <v>5000</v>
      </c>
      <c r="K680" s="49">
        <v>5000</v>
      </c>
      <c r="L680" s="47" t="s">
        <v>22</v>
      </c>
      <c r="M680" s="46">
        <v>0</v>
      </c>
      <c r="N680" s="48">
        <v>3</v>
      </c>
      <c r="O680" s="47" t="s">
        <v>40</v>
      </c>
    </row>
    <row r="681" ht="14.25" customHeight="1" spans="1:15">
      <c r="A681" s="43" t="s">
        <v>1500</v>
      </c>
      <c r="B681" s="44">
        <v>46139</v>
      </c>
      <c r="C681" s="45">
        <v>0.844444444444444</v>
      </c>
      <c r="D681" s="46">
        <f t="shared" si="0"/>
        <v>20</v>
      </c>
      <c r="E681" s="47" t="str">
        <f t="shared" si="1"/>
        <v>Monday</v>
      </c>
      <c r="F681" s="47" t="s">
        <v>16</v>
      </c>
      <c r="G681" s="47" t="s">
        <v>63</v>
      </c>
      <c r="H681" s="43" t="s">
        <v>18</v>
      </c>
      <c r="I681" s="48">
        <v>1</v>
      </c>
      <c r="J681" s="49">
        <v>1500</v>
      </c>
      <c r="K681" s="49">
        <v>1500</v>
      </c>
      <c r="L681" s="47" t="s">
        <v>22</v>
      </c>
      <c r="M681" s="46">
        <v>0</v>
      </c>
      <c r="N681" s="48">
        <v>4</v>
      </c>
      <c r="O681" s="47" t="s">
        <v>47</v>
      </c>
    </row>
    <row r="682" ht="14.25" customHeight="1" spans="1:15">
      <c r="A682" s="43" t="s">
        <v>1502</v>
      </c>
      <c r="B682" s="44">
        <v>46139</v>
      </c>
      <c r="C682" s="45">
        <v>0.899305555555556</v>
      </c>
      <c r="D682" s="46">
        <f t="shared" si="0"/>
        <v>21</v>
      </c>
      <c r="E682" s="47" t="str">
        <f t="shared" si="1"/>
        <v>Monday</v>
      </c>
      <c r="F682" s="47" t="s">
        <v>16</v>
      </c>
      <c r="G682" s="47" t="s">
        <v>44</v>
      </c>
      <c r="H682" s="43" t="s">
        <v>45</v>
      </c>
      <c r="I682" s="48">
        <v>1</v>
      </c>
      <c r="J682" s="49">
        <v>4000</v>
      </c>
      <c r="K682" s="49">
        <v>4000</v>
      </c>
      <c r="L682" s="47" t="s">
        <v>22</v>
      </c>
      <c r="M682" s="46">
        <v>0</v>
      </c>
      <c r="N682" s="48" t="s">
        <v>23</v>
      </c>
      <c r="O682" s="47" t="s">
        <v>40</v>
      </c>
    </row>
    <row r="683" ht="14.25" customHeight="1" spans="1:15">
      <c r="A683" s="43" t="s">
        <v>1503</v>
      </c>
      <c r="B683" s="44">
        <v>46140</v>
      </c>
      <c r="C683" s="45">
        <v>0.538194444444444</v>
      </c>
      <c r="D683" s="46">
        <f t="shared" si="0"/>
        <v>12</v>
      </c>
      <c r="E683" s="47" t="str">
        <f t="shared" si="1"/>
        <v>Tuesday</v>
      </c>
      <c r="F683" s="47" t="s">
        <v>107</v>
      </c>
      <c r="G683" s="47" t="s">
        <v>103</v>
      </c>
      <c r="H683" s="43" t="s">
        <v>37</v>
      </c>
      <c r="I683" s="48">
        <v>1</v>
      </c>
      <c r="J683" s="49">
        <v>5000</v>
      </c>
      <c r="K683" s="49">
        <v>5000</v>
      </c>
      <c r="L683" s="47" t="s">
        <v>32</v>
      </c>
      <c r="M683" s="46">
        <v>0</v>
      </c>
      <c r="N683" s="48">
        <v>4</v>
      </c>
      <c r="O683" s="47" t="s">
        <v>24</v>
      </c>
    </row>
    <row r="684" ht="14.25" customHeight="1" spans="1:15">
      <c r="A684" s="43" t="s">
        <v>1505</v>
      </c>
      <c r="B684" s="44">
        <v>46140</v>
      </c>
      <c r="C684" s="45">
        <v>0.884722222222222</v>
      </c>
      <c r="D684" s="46">
        <f t="shared" si="0"/>
        <v>21</v>
      </c>
      <c r="E684" s="47" t="str">
        <f t="shared" si="1"/>
        <v>Tuesday</v>
      </c>
      <c r="F684" s="47" t="s">
        <v>16</v>
      </c>
      <c r="G684" s="47" t="s">
        <v>63</v>
      </c>
      <c r="H684" s="43" t="s">
        <v>18</v>
      </c>
      <c r="I684" s="48">
        <v>1</v>
      </c>
      <c r="J684" s="49">
        <v>1500</v>
      </c>
      <c r="K684" s="49">
        <v>1500</v>
      </c>
      <c r="L684" s="47" t="s">
        <v>32</v>
      </c>
      <c r="M684" s="46">
        <v>0</v>
      </c>
      <c r="N684" s="48">
        <v>3</v>
      </c>
      <c r="O684" s="47" t="s">
        <v>40</v>
      </c>
    </row>
    <row r="685" ht="14.25" customHeight="1" spans="1:15">
      <c r="A685" s="43" t="s">
        <v>1506</v>
      </c>
      <c r="B685" s="44">
        <v>46140</v>
      </c>
      <c r="C685" s="45">
        <v>0.922916666666667</v>
      </c>
      <c r="D685" s="46">
        <f t="shared" si="0"/>
        <v>22</v>
      </c>
      <c r="E685" s="47" t="str">
        <f t="shared" ref="E685:E1451" si="7">TEXT(B685:B1451,"dddd")</f>
        <v>Tuesday</v>
      </c>
      <c r="F685" s="47" t="s">
        <v>16</v>
      </c>
      <c r="G685" s="47" t="s">
        <v>146</v>
      </c>
      <c r="H685" s="43" t="str">
        <f>VLOOKUP(G685,'02_Menu_Lookup'!$A$2:$C$16,2,FALSE)</f>
        <v>Grills</v>
      </c>
      <c r="I685" s="48">
        <v>1</v>
      </c>
      <c r="J685" s="49">
        <v>16000</v>
      </c>
      <c r="K685" s="50">
        <v>14400</v>
      </c>
      <c r="L685" s="47" t="s">
        <v>22</v>
      </c>
      <c r="M685" s="51">
        <v>0.1</v>
      </c>
      <c r="N685" s="48" t="s">
        <v>23</v>
      </c>
      <c r="O685" s="47" t="s">
        <v>47</v>
      </c>
    </row>
    <row r="686" ht="14.25" customHeight="1" spans="1:15">
      <c r="A686" s="43" t="s">
        <v>1509</v>
      </c>
      <c r="B686" s="44">
        <v>46141</v>
      </c>
      <c r="C686" s="45">
        <v>0.514583333333333</v>
      </c>
      <c r="D686" s="46">
        <f t="shared" si="0"/>
        <v>12</v>
      </c>
      <c r="E686" s="47" t="str">
        <f t="shared" si="7"/>
        <v>Wednesday</v>
      </c>
      <c r="F686" s="47" t="s">
        <v>16</v>
      </c>
      <c r="G686" s="47" t="s">
        <v>27</v>
      </c>
      <c r="H686" s="43" t="str">
        <f>VLOOKUP(G686,'02_Menu_Lookup'!$A$2:$C$16,2,FALSE)</f>
        <v>Grills</v>
      </c>
      <c r="I686" s="48">
        <v>2</v>
      </c>
      <c r="J686" s="49">
        <v>15000</v>
      </c>
      <c r="K686" s="49">
        <v>30000</v>
      </c>
      <c r="L686" s="47" t="s">
        <v>22</v>
      </c>
      <c r="M686" s="46">
        <v>0</v>
      </c>
      <c r="N686" s="48">
        <v>4</v>
      </c>
      <c r="O686" s="47" t="s">
        <v>33</v>
      </c>
    </row>
    <row r="687" ht="14.25" customHeight="1" spans="1:15">
      <c r="A687" s="43" t="s">
        <v>1512</v>
      </c>
      <c r="B687" s="44">
        <v>46141</v>
      </c>
      <c r="C687" s="45">
        <v>0.792361111111111</v>
      </c>
      <c r="D687" s="46">
        <f t="shared" si="0"/>
        <v>19</v>
      </c>
      <c r="E687" s="47" t="str">
        <f t="shared" si="7"/>
        <v>Wednesday</v>
      </c>
      <c r="F687" s="47" t="s">
        <v>16</v>
      </c>
      <c r="G687" s="47" t="s">
        <v>17</v>
      </c>
      <c r="H687" s="43" t="str">
        <f>VLOOKUP(G687,'02_Menu_Lookup'!$A$2:$C$16,2,FALSE)</f>
        <v>Beverages</v>
      </c>
      <c r="I687" s="48">
        <v>2</v>
      </c>
      <c r="J687" s="49">
        <v>1000</v>
      </c>
      <c r="K687" s="49">
        <v>2000</v>
      </c>
      <c r="L687" s="47" t="s">
        <v>32</v>
      </c>
      <c r="M687" s="46">
        <v>0</v>
      </c>
      <c r="N687" s="48" t="s">
        <v>23</v>
      </c>
      <c r="O687" s="47" t="s">
        <v>33</v>
      </c>
    </row>
    <row r="688" ht="14.25" customHeight="1" spans="1:15">
      <c r="A688" s="43" t="s">
        <v>1513</v>
      </c>
      <c r="B688" s="44">
        <v>46141</v>
      </c>
      <c r="C688" s="45">
        <v>0.827777777777778</v>
      </c>
      <c r="D688" s="46">
        <f t="shared" si="0"/>
        <v>19</v>
      </c>
      <c r="E688" s="47" t="str">
        <f t="shared" si="7"/>
        <v>Wednesday</v>
      </c>
      <c r="F688" s="47" t="s">
        <v>16</v>
      </c>
      <c r="G688" s="47" t="s">
        <v>103</v>
      </c>
      <c r="H688" s="47" t="s">
        <v>37</v>
      </c>
      <c r="I688" s="48">
        <v>1</v>
      </c>
      <c r="J688" s="49">
        <v>5000</v>
      </c>
      <c r="K688" s="49">
        <v>5000</v>
      </c>
      <c r="L688" s="47" t="s">
        <v>22</v>
      </c>
      <c r="M688" s="46">
        <v>0</v>
      </c>
      <c r="N688" s="48" t="s">
        <v>23</v>
      </c>
      <c r="O688" s="47" t="s">
        <v>47</v>
      </c>
    </row>
    <row r="689" ht="14.25" customHeight="1" spans="1:15">
      <c r="A689" s="43" t="s">
        <v>1515</v>
      </c>
      <c r="B689" s="44">
        <v>46141</v>
      </c>
      <c r="C689" s="45">
        <v>0.855555555555556</v>
      </c>
      <c r="D689" s="46">
        <f t="shared" si="0"/>
        <v>20</v>
      </c>
      <c r="E689" s="47" t="str">
        <f t="shared" si="7"/>
        <v>Wednesday</v>
      </c>
      <c r="F689" s="47" t="s">
        <v>16</v>
      </c>
      <c r="G689" s="47" t="s">
        <v>103</v>
      </c>
      <c r="H689" s="43" t="s">
        <v>37</v>
      </c>
      <c r="I689" s="48">
        <v>1</v>
      </c>
      <c r="J689" s="49">
        <v>5000</v>
      </c>
      <c r="K689" s="49">
        <v>5000</v>
      </c>
      <c r="L689" s="47" t="s">
        <v>22</v>
      </c>
      <c r="M689" s="46">
        <v>0</v>
      </c>
      <c r="N689" s="48" t="s">
        <v>23</v>
      </c>
      <c r="O689" s="47" t="s">
        <v>24</v>
      </c>
    </row>
    <row r="690" ht="14.25" customHeight="1" spans="1:15">
      <c r="A690" s="43" t="s">
        <v>1516</v>
      </c>
      <c r="B690" s="44">
        <v>46141</v>
      </c>
      <c r="C690" s="45">
        <v>0.857638888888889</v>
      </c>
      <c r="D690" s="46">
        <f t="shared" si="0"/>
        <v>20</v>
      </c>
      <c r="E690" s="47" t="str">
        <f t="shared" si="7"/>
        <v>Wednesday</v>
      </c>
      <c r="F690" s="47" t="s">
        <v>107</v>
      </c>
      <c r="G690" s="47" t="s">
        <v>95</v>
      </c>
      <c r="H690" s="43" t="s">
        <v>45</v>
      </c>
      <c r="I690" s="48">
        <v>1</v>
      </c>
      <c r="J690" s="49">
        <v>5000</v>
      </c>
      <c r="K690" s="49">
        <v>5000</v>
      </c>
      <c r="L690" s="47" t="s">
        <v>32</v>
      </c>
      <c r="M690" s="46">
        <v>0</v>
      </c>
      <c r="N690" s="48" t="s">
        <v>23</v>
      </c>
      <c r="O690" s="47" t="s">
        <v>40</v>
      </c>
    </row>
    <row r="691" ht="14.25" customHeight="1" spans="1:15">
      <c r="A691" s="43" t="s">
        <v>1518</v>
      </c>
      <c r="B691" s="44">
        <v>46141</v>
      </c>
      <c r="C691" s="45">
        <v>0.906944444444444</v>
      </c>
      <c r="D691" s="46">
        <f t="shared" si="0"/>
        <v>21</v>
      </c>
      <c r="E691" s="47" t="str">
        <f t="shared" si="7"/>
        <v>Wednesday</v>
      </c>
      <c r="F691" s="47" t="s">
        <v>16</v>
      </c>
      <c r="G691" s="47" t="s">
        <v>81</v>
      </c>
      <c r="H691" s="43" t="s">
        <v>37</v>
      </c>
      <c r="I691" s="48">
        <v>2</v>
      </c>
      <c r="J691" s="49">
        <v>6000</v>
      </c>
      <c r="K691" s="49">
        <v>12000</v>
      </c>
      <c r="L691" s="47" t="s">
        <v>32</v>
      </c>
      <c r="M691" s="46">
        <v>0</v>
      </c>
      <c r="N691" s="48">
        <v>3</v>
      </c>
      <c r="O691" s="47" t="s">
        <v>40</v>
      </c>
    </row>
    <row r="692" ht="14.25" customHeight="1" spans="1:15">
      <c r="A692" s="43" t="s">
        <v>1519</v>
      </c>
      <c r="B692" s="44">
        <v>46142</v>
      </c>
      <c r="C692" s="45">
        <v>0.526388888888889</v>
      </c>
      <c r="D692" s="46">
        <f t="shared" si="0"/>
        <v>12</v>
      </c>
      <c r="E692" s="47" t="str">
        <f t="shared" si="7"/>
        <v>Thursday</v>
      </c>
      <c r="F692" s="47" t="s">
        <v>16</v>
      </c>
      <c r="G692" s="47" t="s">
        <v>63</v>
      </c>
      <c r="H692" s="43" t="s">
        <v>18</v>
      </c>
      <c r="I692" s="48">
        <v>1</v>
      </c>
      <c r="J692" s="49">
        <v>1500</v>
      </c>
      <c r="K692" s="49">
        <v>1500</v>
      </c>
      <c r="L692" s="47" t="s">
        <v>22</v>
      </c>
      <c r="M692" s="46">
        <v>0</v>
      </c>
      <c r="N692" s="48" t="s">
        <v>23</v>
      </c>
      <c r="O692" s="47" t="s">
        <v>40</v>
      </c>
    </row>
    <row r="693" ht="14.25" customHeight="1" spans="1:15">
      <c r="A693" s="43" t="s">
        <v>1521</v>
      </c>
      <c r="B693" s="44">
        <v>46142</v>
      </c>
      <c r="C693" s="45">
        <v>0.545138888888889</v>
      </c>
      <c r="D693" s="46">
        <f t="shared" si="0"/>
        <v>13</v>
      </c>
      <c r="E693" s="47" t="str">
        <f t="shared" si="7"/>
        <v>Thursday</v>
      </c>
      <c r="F693" s="47" t="s">
        <v>43</v>
      </c>
      <c r="G693" s="47" t="s">
        <v>44</v>
      </c>
      <c r="H693" s="43" t="s">
        <v>45</v>
      </c>
      <c r="I693" s="48">
        <v>2</v>
      </c>
      <c r="J693" s="49">
        <v>4000</v>
      </c>
      <c r="K693" s="49">
        <v>8000</v>
      </c>
      <c r="L693" s="47" t="s">
        <v>22</v>
      </c>
      <c r="M693" s="46">
        <v>0</v>
      </c>
      <c r="N693" s="48">
        <v>3</v>
      </c>
      <c r="O693" s="47" t="s">
        <v>40</v>
      </c>
    </row>
    <row r="694" ht="14.25" customHeight="1" spans="1:15">
      <c r="A694" s="43" t="s">
        <v>1524</v>
      </c>
      <c r="B694" s="44">
        <v>46142</v>
      </c>
      <c r="C694" s="45">
        <v>0.586111111111111</v>
      </c>
      <c r="D694" s="46">
        <f t="shared" si="0"/>
        <v>14</v>
      </c>
      <c r="E694" s="47" t="str">
        <f t="shared" si="7"/>
        <v>Thursday</v>
      </c>
      <c r="F694" s="47" t="s">
        <v>16</v>
      </c>
      <c r="G694" s="47" t="s">
        <v>81</v>
      </c>
      <c r="H694" s="43" t="s">
        <v>37</v>
      </c>
      <c r="I694" s="48">
        <v>1</v>
      </c>
      <c r="J694" s="49">
        <v>6000</v>
      </c>
      <c r="K694" s="49">
        <v>6000</v>
      </c>
      <c r="L694" s="47" t="s">
        <v>22</v>
      </c>
      <c r="M694" s="46">
        <v>0</v>
      </c>
      <c r="N694" s="48" t="s">
        <v>23</v>
      </c>
      <c r="O694" s="47" t="s">
        <v>40</v>
      </c>
    </row>
    <row r="695" ht="14.25" customHeight="1" spans="1:15">
      <c r="A695" s="43" t="s">
        <v>1526</v>
      </c>
      <c r="B695" s="44">
        <v>46142</v>
      </c>
      <c r="C695" s="45">
        <v>0.636805555555556</v>
      </c>
      <c r="D695" s="46">
        <f t="shared" si="0"/>
        <v>15</v>
      </c>
      <c r="E695" s="47" t="str">
        <f t="shared" si="7"/>
        <v>Thursday</v>
      </c>
      <c r="F695" s="47" t="s">
        <v>16</v>
      </c>
      <c r="G695" s="47" t="s">
        <v>44</v>
      </c>
      <c r="H695" s="43" t="s">
        <v>45</v>
      </c>
      <c r="I695" s="48">
        <v>1</v>
      </c>
      <c r="J695" s="49">
        <v>4000</v>
      </c>
      <c r="K695" s="49">
        <v>4000</v>
      </c>
      <c r="L695" s="47" t="s">
        <v>22</v>
      </c>
      <c r="M695" s="46">
        <v>0</v>
      </c>
      <c r="N695" s="48" t="s">
        <v>23</v>
      </c>
      <c r="O695" s="47" t="s">
        <v>24</v>
      </c>
    </row>
    <row r="696" ht="14.25" customHeight="1" spans="1:15">
      <c r="A696" s="43" t="s">
        <v>1527</v>
      </c>
      <c r="B696" s="44">
        <v>46142</v>
      </c>
      <c r="C696" s="45">
        <v>0.795138888888889</v>
      </c>
      <c r="D696" s="46">
        <f t="shared" si="0"/>
        <v>19</v>
      </c>
      <c r="E696" s="47" t="str">
        <f t="shared" si="7"/>
        <v>Thursday</v>
      </c>
      <c r="F696" s="47" t="s">
        <v>16</v>
      </c>
      <c r="G696" s="43" t="s">
        <v>199</v>
      </c>
      <c r="H696" s="43" t="s">
        <v>18</v>
      </c>
      <c r="I696" s="48">
        <v>1</v>
      </c>
      <c r="J696" s="49">
        <v>3000</v>
      </c>
      <c r="K696" s="49">
        <v>3000</v>
      </c>
      <c r="L696" s="47" t="s">
        <v>22</v>
      </c>
      <c r="M696" s="46">
        <v>0</v>
      </c>
      <c r="N696" s="48">
        <v>4</v>
      </c>
      <c r="O696" s="47" t="s">
        <v>40</v>
      </c>
    </row>
    <row r="697" ht="14.25" customHeight="1" spans="1:15">
      <c r="A697" s="43" t="s">
        <v>1529</v>
      </c>
      <c r="B697" s="44">
        <v>46137</v>
      </c>
      <c r="C697" s="45">
        <v>0.608333333333333</v>
      </c>
      <c r="D697" s="46">
        <f t="shared" si="0"/>
        <v>14</v>
      </c>
      <c r="E697" s="47" t="str">
        <f t="shared" si="7"/>
        <v>Saturday</v>
      </c>
      <c r="F697" s="47" t="s">
        <v>107</v>
      </c>
      <c r="G697" s="43" t="s">
        <v>36</v>
      </c>
      <c r="H697" s="43" t="s">
        <v>37</v>
      </c>
      <c r="I697" s="48">
        <v>1</v>
      </c>
      <c r="J697" s="49">
        <v>3000</v>
      </c>
      <c r="K697" s="50">
        <v>2400</v>
      </c>
      <c r="L697" s="47" t="s">
        <v>22</v>
      </c>
      <c r="M697" s="51">
        <v>0.2</v>
      </c>
      <c r="N697" s="48" t="s">
        <v>23</v>
      </c>
      <c r="O697" s="47" t="s">
        <v>33</v>
      </c>
    </row>
    <row r="698" ht="14.25" customHeight="1" spans="1:15">
      <c r="A698" s="43" t="s">
        <v>1531</v>
      </c>
      <c r="B698" s="44">
        <v>46142</v>
      </c>
      <c r="C698" s="45">
        <v>0.895833333333333</v>
      </c>
      <c r="D698" s="46">
        <f t="shared" si="0"/>
        <v>21</v>
      </c>
      <c r="E698" s="47" t="str">
        <f t="shared" si="7"/>
        <v>Thursday</v>
      </c>
      <c r="F698" s="47" t="s">
        <v>43</v>
      </c>
      <c r="G698" s="43" t="s">
        <v>36</v>
      </c>
      <c r="H698" s="43" t="s">
        <v>37</v>
      </c>
      <c r="I698" s="48">
        <v>3</v>
      </c>
      <c r="J698" s="49">
        <v>3000</v>
      </c>
      <c r="K698" s="50">
        <v>8100</v>
      </c>
      <c r="L698" s="47" t="s">
        <v>22</v>
      </c>
      <c r="M698" s="51">
        <v>0.1</v>
      </c>
      <c r="N698" s="48" t="s">
        <v>23</v>
      </c>
      <c r="O698" s="47" t="s">
        <v>33</v>
      </c>
    </row>
    <row r="699" ht="14.25" customHeight="1" spans="1:15">
      <c r="A699" s="43" t="s">
        <v>1532</v>
      </c>
      <c r="B699" s="44">
        <v>46142</v>
      </c>
      <c r="C699" s="45">
        <v>0.899305555555556</v>
      </c>
      <c r="D699" s="46">
        <f t="shared" si="0"/>
        <v>21</v>
      </c>
      <c r="E699" s="47" t="str">
        <f t="shared" si="7"/>
        <v>Thursday</v>
      </c>
      <c r="F699" s="47" t="s">
        <v>16</v>
      </c>
      <c r="G699" s="47" t="s">
        <v>103</v>
      </c>
      <c r="H699" s="43" t="s">
        <v>37</v>
      </c>
      <c r="I699" s="48">
        <v>1</v>
      </c>
      <c r="J699" s="49">
        <v>5000</v>
      </c>
      <c r="K699" s="50">
        <v>4000</v>
      </c>
      <c r="L699" s="47" t="s">
        <v>22</v>
      </c>
      <c r="M699" s="51">
        <v>0.2</v>
      </c>
      <c r="N699" s="48" t="s">
        <v>23</v>
      </c>
      <c r="O699" s="47" t="s">
        <v>24</v>
      </c>
    </row>
    <row r="700" ht="14.25" customHeight="1" spans="1:15">
      <c r="A700" s="43" t="s">
        <v>1533</v>
      </c>
      <c r="B700" s="44">
        <v>46142</v>
      </c>
      <c r="C700" s="45">
        <v>0.935416666666667</v>
      </c>
      <c r="D700" s="46">
        <f t="shared" si="0"/>
        <v>22</v>
      </c>
      <c r="E700" s="47" t="str">
        <f t="shared" si="7"/>
        <v>Thursday</v>
      </c>
      <c r="F700" s="47" t="s">
        <v>16</v>
      </c>
      <c r="G700" s="43" t="s">
        <v>165</v>
      </c>
      <c r="H700" s="43" t="s">
        <v>109</v>
      </c>
      <c r="I700" s="48">
        <v>2</v>
      </c>
      <c r="J700" s="49">
        <v>6000</v>
      </c>
      <c r="K700" s="50">
        <v>10800</v>
      </c>
      <c r="L700" s="47" t="s">
        <v>22</v>
      </c>
      <c r="M700" s="51">
        <v>0.1</v>
      </c>
      <c r="N700" s="48">
        <v>3</v>
      </c>
      <c r="O700" s="47" t="s">
        <v>40</v>
      </c>
    </row>
    <row r="701" ht="14.25" customHeight="1" spans="1:15">
      <c r="A701" s="43" t="s">
        <v>1534</v>
      </c>
      <c r="B701" s="44">
        <v>46142</v>
      </c>
      <c r="C701" s="45">
        <v>0.947222222222222</v>
      </c>
      <c r="D701" s="46">
        <f t="shared" si="0"/>
        <v>22</v>
      </c>
      <c r="E701" s="47" t="str">
        <f t="shared" si="7"/>
        <v>Thursday</v>
      </c>
      <c r="F701" s="47" t="s">
        <v>43</v>
      </c>
      <c r="G701" s="47" t="s">
        <v>95</v>
      </c>
      <c r="H701" s="43" t="s">
        <v>45</v>
      </c>
      <c r="I701" s="48">
        <v>2</v>
      </c>
      <c r="J701" s="49">
        <v>5000</v>
      </c>
      <c r="K701" s="49">
        <v>10000</v>
      </c>
      <c r="L701" s="47" t="s">
        <v>22</v>
      </c>
      <c r="M701" s="46">
        <v>0</v>
      </c>
      <c r="N701" s="48" t="s">
        <v>23</v>
      </c>
      <c r="O701" s="47" t="s">
        <v>73</v>
      </c>
    </row>
    <row r="702" ht="14.25" customHeight="1" spans="1:15">
      <c r="A702" s="43" t="s">
        <v>1537</v>
      </c>
      <c r="B702" s="44">
        <v>46143</v>
      </c>
      <c r="C702" s="45">
        <v>0.577777777777778</v>
      </c>
      <c r="D702" s="46">
        <f t="shared" si="0"/>
        <v>13</v>
      </c>
      <c r="E702" s="47" t="str">
        <f t="shared" si="7"/>
        <v>Friday</v>
      </c>
      <c r="F702" s="47" t="s">
        <v>107</v>
      </c>
      <c r="G702" s="43" t="s">
        <v>36</v>
      </c>
      <c r="H702" s="43" t="s">
        <v>37</v>
      </c>
      <c r="I702" s="48">
        <v>1</v>
      </c>
      <c r="J702" s="49">
        <v>3000</v>
      </c>
      <c r="K702" s="49">
        <v>3000</v>
      </c>
      <c r="L702" s="47" t="s">
        <v>22</v>
      </c>
      <c r="M702" s="46">
        <v>0</v>
      </c>
      <c r="N702" s="48" t="s">
        <v>23</v>
      </c>
      <c r="O702" s="47" t="s">
        <v>73</v>
      </c>
    </row>
    <row r="703" ht="14.25" customHeight="1" spans="1:15">
      <c r="A703" s="43" t="s">
        <v>1540</v>
      </c>
      <c r="B703" s="44">
        <v>46143</v>
      </c>
      <c r="C703" s="45">
        <v>0.583333333333333</v>
      </c>
      <c r="D703" s="46">
        <f t="shared" si="0"/>
        <v>14</v>
      </c>
      <c r="E703" s="47" t="str">
        <f t="shared" si="7"/>
        <v>Friday</v>
      </c>
      <c r="F703" s="47" t="s">
        <v>16</v>
      </c>
      <c r="G703" s="47" t="s">
        <v>27</v>
      </c>
      <c r="H703" s="43" t="s">
        <v>28</v>
      </c>
      <c r="I703" s="48">
        <v>1</v>
      </c>
      <c r="J703" s="49">
        <v>15000</v>
      </c>
      <c r="K703" s="50">
        <v>13500</v>
      </c>
      <c r="L703" s="47" t="s">
        <v>32</v>
      </c>
      <c r="M703" s="51">
        <v>0.1</v>
      </c>
      <c r="N703" s="48">
        <v>4</v>
      </c>
      <c r="O703" s="47" t="s">
        <v>47</v>
      </c>
    </row>
    <row r="704" ht="14.25" customHeight="1" spans="1:15">
      <c r="A704" s="43" t="s">
        <v>1542</v>
      </c>
      <c r="B704" s="44">
        <v>46027</v>
      </c>
      <c r="C704" s="45">
        <v>0.65625</v>
      </c>
      <c r="D704" s="46">
        <f t="shared" si="0"/>
        <v>15</v>
      </c>
      <c r="E704" s="47" t="str">
        <f t="shared" si="7"/>
        <v>Monday</v>
      </c>
      <c r="F704" s="47" t="s">
        <v>16</v>
      </c>
      <c r="G704" s="47" t="s">
        <v>103</v>
      </c>
      <c r="H704" s="43" t="s">
        <v>37</v>
      </c>
      <c r="I704" s="48">
        <v>1</v>
      </c>
      <c r="J704" s="49">
        <v>5000</v>
      </c>
      <c r="K704" s="49">
        <v>5000</v>
      </c>
      <c r="L704" s="47" t="s">
        <v>22</v>
      </c>
      <c r="M704" s="46">
        <v>0</v>
      </c>
      <c r="N704" s="48" t="s">
        <v>23</v>
      </c>
      <c r="O704" s="47" t="s">
        <v>40</v>
      </c>
    </row>
    <row r="705" ht="14.25" customHeight="1" spans="1:15">
      <c r="A705" s="43" t="s">
        <v>1545</v>
      </c>
      <c r="B705" s="44">
        <v>46143</v>
      </c>
      <c r="C705" s="45">
        <v>0.659027777777778</v>
      </c>
      <c r="D705" s="46">
        <f t="shared" si="0"/>
        <v>15</v>
      </c>
      <c r="E705" s="47" t="str">
        <f t="shared" si="7"/>
        <v>Friday</v>
      </c>
      <c r="F705" s="47" t="s">
        <v>107</v>
      </c>
      <c r="G705" s="47" t="s">
        <v>27</v>
      </c>
      <c r="H705" s="43" t="s">
        <v>28</v>
      </c>
      <c r="I705" s="48">
        <v>1</v>
      </c>
      <c r="J705" s="49">
        <v>15000</v>
      </c>
      <c r="K705" s="49">
        <v>15000</v>
      </c>
      <c r="L705" s="47" t="s">
        <v>22</v>
      </c>
      <c r="M705" s="46">
        <v>0</v>
      </c>
      <c r="N705" s="48" t="s">
        <v>23</v>
      </c>
      <c r="O705" s="47" t="s">
        <v>24</v>
      </c>
    </row>
    <row r="706" ht="14.25" customHeight="1" spans="1:15">
      <c r="A706" s="43" t="s">
        <v>1547</v>
      </c>
      <c r="B706" s="44">
        <v>46143</v>
      </c>
      <c r="C706" s="45">
        <v>0.805555555555556</v>
      </c>
      <c r="D706" s="46">
        <f t="shared" si="0"/>
        <v>19</v>
      </c>
      <c r="E706" s="47" t="str">
        <f t="shared" si="7"/>
        <v>Friday</v>
      </c>
      <c r="F706" s="47" t="s">
        <v>16</v>
      </c>
      <c r="G706" s="47" t="s">
        <v>57</v>
      </c>
      <c r="H706" s="43" t="s">
        <v>28</v>
      </c>
      <c r="I706" s="48">
        <v>2</v>
      </c>
      <c r="J706" s="49">
        <v>18000</v>
      </c>
      <c r="K706" s="49">
        <v>36000</v>
      </c>
      <c r="L706" s="47" t="s">
        <v>22</v>
      </c>
      <c r="M706" s="46">
        <v>0</v>
      </c>
      <c r="N706" s="48" t="s">
        <v>23</v>
      </c>
      <c r="O706" s="47" t="s">
        <v>33</v>
      </c>
    </row>
    <row r="707" ht="14.25" customHeight="1" spans="1:15">
      <c r="A707" s="43" t="s">
        <v>1548</v>
      </c>
      <c r="B707" s="44">
        <v>46143</v>
      </c>
      <c r="C707" s="45">
        <v>0.813888888888889</v>
      </c>
      <c r="D707" s="46">
        <f t="shared" si="0"/>
        <v>19</v>
      </c>
      <c r="E707" s="47" t="str">
        <f t="shared" si="7"/>
        <v>Friday</v>
      </c>
      <c r="F707" s="47" t="s">
        <v>43</v>
      </c>
      <c r="G707" s="47" t="s">
        <v>57</v>
      </c>
      <c r="H707" s="43" t="s">
        <v>28</v>
      </c>
      <c r="I707" s="48">
        <v>1</v>
      </c>
      <c r="J707" s="49">
        <v>18000</v>
      </c>
      <c r="K707" s="49">
        <v>18000</v>
      </c>
      <c r="L707" s="47" t="s">
        <v>32</v>
      </c>
      <c r="M707" s="46">
        <v>0</v>
      </c>
      <c r="N707" s="48" t="s">
        <v>23</v>
      </c>
      <c r="O707" s="47" t="s">
        <v>73</v>
      </c>
    </row>
    <row r="708" ht="14.25" customHeight="1" spans="1:15">
      <c r="A708" s="43" t="s">
        <v>1550</v>
      </c>
      <c r="B708" s="44">
        <v>46143</v>
      </c>
      <c r="C708" s="45">
        <v>0.834027777777778</v>
      </c>
      <c r="D708" s="46">
        <f t="shared" si="0"/>
        <v>20</v>
      </c>
      <c r="E708" s="47" t="str">
        <f t="shared" si="7"/>
        <v>Friday</v>
      </c>
      <c r="F708" s="47" t="s">
        <v>16</v>
      </c>
      <c r="G708" s="47" t="s">
        <v>81</v>
      </c>
      <c r="H708" s="43" t="s">
        <v>37</v>
      </c>
      <c r="I708" s="48">
        <v>2</v>
      </c>
      <c r="J708" s="49">
        <v>6000</v>
      </c>
      <c r="K708" s="49">
        <v>12000</v>
      </c>
      <c r="L708" s="47" t="s">
        <v>22</v>
      </c>
      <c r="M708" s="46">
        <v>0</v>
      </c>
      <c r="N708" s="48">
        <v>4</v>
      </c>
      <c r="O708" s="47" t="s">
        <v>40</v>
      </c>
    </row>
    <row r="709" ht="14.25" customHeight="1" spans="1:15">
      <c r="A709" s="43" t="s">
        <v>1552</v>
      </c>
      <c r="B709" s="44">
        <v>46143</v>
      </c>
      <c r="C709" s="45">
        <v>0.872222222222222</v>
      </c>
      <c r="D709" s="46">
        <f t="shared" si="0"/>
        <v>20</v>
      </c>
      <c r="E709" s="47" t="str">
        <f t="shared" si="7"/>
        <v>Friday</v>
      </c>
      <c r="F709" s="47" t="s">
        <v>16</v>
      </c>
      <c r="G709" s="47" t="s">
        <v>103</v>
      </c>
      <c r="H709" s="43" t="s">
        <v>37</v>
      </c>
      <c r="I709" s="48">
        <v>1</v>
      </c>
      <c r="J709" s="49">
        <v>5000</v>
      </c>
      <c r="K709" s="50">
        <v>4500</v>
      </c>
      <c r="L709" s="47" t="s">
        <v>32</v>
      </c>
      <c r="M709" s="51">
        <v>0.1</v>
      </c>
      <c r="N709" s="48" t="s">
        <v>23</v>
      </c>
      <c r="O709" s="47" t="s">
        <v>47</v>
      </c>
    </row>
    <row r="710" ht="14.25" customHeight="1" spans="1:15">
      <c r="A710" s="43" t="s">
        <v>1553</v>
      </c>
      <c r="B710" s="44">
        <v>46143</v>
      </c>
      <c r="C710" s="45">
        <v>0.890277777777778</v>
      </c>
      <c r="D710" s="46">
        <f t="shared" si="0"/>
        <v>21</v>
      </c>
      <c r="E710" s="47" t="str">
        <f t="shared" si="7"/>
        <v>Friday</v>
      </c>
      <c r="F710" s="47" t="s">
        <v>43</v>
      </c>
      <c r="G710" s="47" t="s">
        <v>146</v>
      </c>
      <c r="H710" s="43" t="s">
        <v>28</v>
      </c>
      <c r="I710" s="48">
        <v>2</v>
      </c>
      <c r="J710" s="50">
        <v>16000</v>
      </c>
      <c r="K710" s="49">
        <v>32000</v>
      </c>
      <c r="L710" s="47" t="s">
        <v>32</v>
      </c>
      <c r="M710" s="46">
        <v>0</v>
      </c>
      <c r="N710" s="48">
        <v>5</v>
      </c>
      <c r="O710" s="47" t="s">
        <v>47</v>
      </c>
    </row>
    <row r="711" ht="14.25" customHeight="1" spans="1:15">
      <c r="A711" s="43" t="s">
        <v>1554</v>
      </c>
      <c r="B711" s="44">
        <v>46143</v>
      </c>
      <c r="C711" s="45">
        <v>0.914583333333333</v>
      </c>
      <c r="D711" s="46">
        <f t="shared" si="0"/>
        <v>21</v>
      </c>
      <c r="E711" s="47" t="str">
        <f t="shared" si="7"/>
        <v>Friday</v>
      </c>
      <c r="F711" s="47" t="s">
        <v>16</v>
      </c>
      <c r="G711" s="47" t="s">
        <v>103</v>
      </c>
      <c r="H711" s="43" t="s">
        <v>37</v>
      </c>
      <c r="I711" s="48">
        <v>1</v>
      </c>
      <c r="J711" s="49">
        <v>5000</v>
      </c>
      <c r="K711" s="49">
        <v>5000</v>
      </c>
      <c r="L711" s="47" t="s">
        <v>22</v>
      </c>
      <c r="M711" s="46">
        <v>0</v>
      </c>
      <c r="N711" s="48" t="s">
        <v>23</v>
      </c>
      <c r="O711" s="47" t="s">
        <v>24</v>
      </c>
    </row>
    <row r="712" ht="14.25" customHeight="1" spans="1:15">
      <c r="A712" s="43" t="s">
        <v>1556</v>
      </c>
      <c r="B712" s="44">
        <v>46143</v>
      </c>
      <c r="C712" s="45">
        <v>0.932638888888889</v>
      </c>
      <c r="D712" s="46">
        <f t="shared" si="0"/>
        <v>22</v>
      </c>
      <c r="E712" s="47" t="str">
        <f t="shared" si="7"/>
        <v>Friday</v>
      </c>
      <c r="F712" s="47" t="s">
        <v>43</v>
      </c>
      <c r="G712" s="47" t="s">
        <v>367</v>
      </c>
      <c r="H712" s="47" t="s">
        <v>109</v>
      </c>
      <c r="I712" s="48">
        <v>1</v>
      </c>
      <c r="J712" s="49">
        <v>7000</v>
      </c>
      <c r="K712" s="49">
        <v>7000</v>
      </c>
      <c r="L712" s="47" t="s">
        <v>32</v>
      </c>
      <c r="M712" s="46">
        <v>0</v>
      </c>
      <c r="N712" s="48" t="s">
        <v>23</v>
      </c>
      <c r="O712" s="47" t="s">
        <v>47</v>
      </c>
    </row>
    <row r="713" ht="14.25" customHeight="1" spans="1:15">
      <c r="A713" s="43" t="s">
        <v>1558</v>
      </c>
      <c r="B713" s="44">
        <v>46058</v>
      </c>
      <c r="C713" s="45">
        <v>0.60625</v>
      </c>
      <c r="D713" s="46">
        <f t="shared" si="0"/>
        <v>14</v>
      </c>
      <c r="E713" s="47" t="str">
        <f t="shared" si="7"/>
        <v>Thursday</v>
      </c>
      <c r="F713" s="47" t="s">
        <v>16</v>
      </c>
      <c r="G713" s="47" t="s">
        <v>81</v>
      </c>
      <c r="H713" s="43" t="s">
        <v>37</v>
      </c>
      <c r="I713" s="48">
        <v>1</v>
      </c>
      <c r="J713" s="49">
        <v>6000</v>
      </c>
      <c r="K713" s="49">
        <v>6000</v>
      </c>
      <c r="L713" s="47" t="s">
        <v>22</v>
      </c>
      <c r="M713" s="46">
        <v>0</v>
      </c>
      <c r="N713" s="48" t="s">
        <v>23</v>
      </c>
      <c r="O713" s="47" t="s">
        <v>73</v>
      </c>
    </row>
    <row r="714" ht="14.25" customHeight="1" spans="1:15">
      <c r="A714" s="43" t="s">
        <v>1560</v>
      </c>
      <c r="B714" s="44">
        <v>46144</v>
      </c>
      <c r="C714" s="45">
        <v>0.695833333333333</v>
      </c>
      <c r="D714" s="46">
        <f t="shared" si="0"/>
        <v>16</v>
      </c>
      <c r="E714" s="47" t="str">
        <f t="shared" si="7"/>
        <v>Saturday</v>
      </c>
      <c r="F714" s="47" t="s">
        <v>107</v>
      </c>
      <c r="G714" s="47" t="s">
        <v>17</v>
      </c>
      <c r="H714" s="43" t="s">
        <v>18</v>
      </c>
      <c r="I714" s="48">
        <v>1</v>
      </c>
      <c r="J714" s="49">
        <v>1000</v>
      </c>
      <c r="K714" s="49">
        <v>1000</v>
      </c>
      <c r="L714" s="47" t="s">
        <v>32</v>
      </c>
      <c r="M714" s="46">
        <v>0</v>
      </c>
      <c r="N714" s="48">
        <v>4</v>
      </c>
      <c r="O714" s="47" t="s">
        <v>24</v>
      </c>
    </row>
    <row r="715" ht="14.25" customHeight="1" spans="1:15">
      <c r="A715" s="43" t="s">
        <v>1563</v>
      </c>
      <c r="B715" s="44">
        <v>46144</v>
      </c>
      <c r="C715" s="45">
        <v>0.706944444444444</v>
      </c>
      <c r="D715" s="46">
        <f t="shared" si="0"/>
        <v>16</v>
      </c>
      <c r="E715" s="47" t="str">
        <f t="shared" si="7"/>
        <v>Saturday</v>
      </c>
      <c r="F715" s="47" t="s">
        <v>16</v>
      </c>
      <c r="G715" s="47" t="s">
        <v>103</v>
      </c>
      <c r="H715" s="43" t="s">
        <v>37</v>
      </c>
      <c r="I715" s="48">
        <v>1</v>
      </c>
      <c r="J715" s="49">
        <v>5000</v>
      </c>
      <c r="K715" s="49">
        <v>5000</v>
      </c>
      <c r="L715" s="47" t="s">
        <v>22</v>
      </c>
      <c r="M715" s="46">
        <v>0</v>
      </c>
      <c r="N715" s="48">
        <v>4</v>
      </c>
      <c r="O715" s="47" t="s">
        <v>47</v>
      </c>
    </row>
    <row r="716" ht="14.25" customHeight="1" spans="1:15">
      <c r="A716" s="43" t="s">
        <v>1564</v>
      </c>
      <c r="B716" s="44">
        <v>46144</v>
      </c>
      <c r="C716" s="45">
        <v>0.755555555555556</v>
      </c>
      <c r="D716" s="46">
        <f t="shared" si="0"/>
        <v>18</v>
      </c>
      <c r="E716" s="47" t="str">
        <f t="shared" si="7"/>
        <v>Saturday</v>
      </c>
      <c r="F716" s="47" t="s">
        <v>16</v>
      </c>
      <c r="G716" s="47" t="s">
        <v>103</v>
      </c>
      <c r="H716" s="43" t="s">
        <v>37</v>
      </c>
      <c r="I716" s="48">
        <v>2</v>
      </c>
      <c r="J716" s="49">
        <v>5000</v>
      </c>
      <c r="K716" s="49">
        <v>10000</v>
      </c>
      <c r="L716" s="47" t="s">
        <v>22</v>
      </c>
      <c r="M716" s="46">
        <v>0</v>
      </c>
      <c r="N716" s="48" t="s">
        <v>23</v>
      </c>
      <c r="O716" s="47" t="s">
        <v>33</v>
      </c>
    </row>
    <row r="717" ht="14.25" customHeight="1" spans="1:15">
      <c r="A717" s="43" t="s">
        <v>1565</v>
      </c>
      <c r="B717" s="44">
        <v>46144</v>
      </c>
      <c r="C717" s="45">
        <v>0.840972222222222</v>
      </c>
      <c r="D717" s="46">
        <f t="shared" si="0"/>
        <v>20</v>
      </c>
      <c r="E717" s="47" t="str">
        <f t="shared" si="7"/>
        <v>Saturday</v>
      </c>
      <c r="F717" s="47" t="s">
        <v>16</v>
      </c>
      <c r="G717" s="47" t="s">
        <v>57</v>
      </c>
      <c r="H717" s="43" t="s">
        <v>28</v>
      </c>
      <c r="I717" s="48">
        <v>2</v>
      </c>
      <c r="J717" s="49">
        <v>18000</v>
      </c>
      <c r="K717" s="49">
        <v>36000</v>
      </c>
      <c r="L717" s="47" t="s">
        <v>22</v>
      </c>
      <c r="M717" s="46">
        <v>0</v>
      </c>
      <c r="N717" s="48">
        <v>4</v>
      </c>
      <c r="O717" s="47" t="s">
        <v>73</v>
      </c>
    </row>
    <row r="718" ht="14.25" customHeight="1" spans="1:15">
      <c r="A718" s="43" t="s">
        <v>1566</v>
      </c>
      <c r="B718" s="44">
        <v>46058</v>
      </c>
      <c r="C718" s="45">
        <v>0.847222222222222</v>
      </c>
      <c r="D718" s="46">
        <f t="shared" si="0"/>
        <v>20</v>
      </c>
      <c r="E718" s="47" t="str">
        <f t="shared" si="7"/>
        <v>Thursday</v>
      </c>
      <c r="F718" s="47" t="s">
        <v>43</v>
      </c>
      <c r="G718" s="43" t="s">
        <v>36</v>
      </c>
      <c r="H718" s="43" t="s">
        <v>37</v>
      </c>
      <c r="I718" s="48">
        <v>2</v>
      </c>
      <c r="J718" s="49">
        <v>3000</v>
      </c>
      <c r="K718" s="49">
        <v>6000</v>
      </c>
      <c r="L718" s="47" t="s">
        <v>22</v>
      </c>
      <c r="M718" s="46">
        <v>0</v>
      </c>
      <c r="N718" s="48">
        <v>4</v>
      </c>
      <c r="O718" s="47" t="s">
        <v>33</v>
      </c>
    </row>
    <row r="719" ht="14.25" customHeight="1" spans="1:15">
      <c r="A719" s="43" t="s">
        <v>1567</v>
      </c>
      <c r="B719" s="44">
        <v>46144</v>
      </c>
      <c r="C719" s="45">
        <v>0.852777777777778</v>
      </c>
      <c r="D719" s="46">
        <f t="shared" si="0"/>
        <v>20</v>
      </c>
      <c r="E719" s="47" t="str">
        <f t="shared" si="7"/>
        <v>Saturday</v>
      </c>
      <c r="F719" s="47" t="s">
        <v>107</v>
      </c>
      <c r="G719" s="47" t="s">
        <v>50</v>
      </c>
      <c r="H719" s="43" t="s">
        <v>28</v>
      </c>
      <c r="I719" s="48">
        <v>1</v>
      </c>
      <c r="J719" s="49">
        <v>25000</v>
      </c>
      <c r="K719" s="50">
        <v>22500</v>
      </c>
      <c r="L719" s="47" t="s">
        <v>22</v>
      </c>
      <c r="M719" s="51">
        <v>0.1</v>
      </c>
      <c r="N719" s="48" t="s">
        <v>23</v>
      </c>
      <c r="O719" s="47" t="s">
        <v>33</v>
      </c>
    </row>
    <row r="720" ht="14.25" customHeight="1" spans="1:15">
      <c r="A720" s="43" t="s">
        <v>1568</v>
      </c>
      <c r="B720" s="44">
        <v>46144</v>
      </c>
      <c r="C720" s="45">
        <v>0.852777777777778</v>
      </c>
      <c r="D720" s="46">
        <f t="shared" si="0"/>
        <v>20</v>
      </c>
      <c r="E720" s="47" t="str">
        <f t="shared" si="7"/>
        <v>Saturday</v>
      </c>
      <c r="F720" s="47" t="s">
        <v>107</v>
      </c>
      <c r="G720" s="47" t="s">
        <v>146</v>
      </c>
      <c r="H720" s="43" t="s">
        <v>28</v>
      </c>
      <c r="I720" s="48">
        <v>3</v>
      </c>
      <c r="J720" s="49">
        <v>16000</v>
      </c>
      <c r="K720" s="49">
        <v>48000</v>
      </c>
      <c r="L720" s="47" t="s">
        <v>22</v>
      </c>
      <c r="M720" s="46">
        <v>0</v>
      </c>
      <c r="N720" s="48" t="s">
        <v>23</v>
      </c>
      <c r="O720" s="47" t="s">
        <v>47</v>
      </c>
    </row>
    <row r="721" ht="14.25" customHeight="1" spans="1:15">
      <c r="A721" s="43" t="s">
        <v>1569</v>
      </c>
      <c r="B721" s="44">
        <v>46058</v>
      </c>
      <c r="C721" s="45">
        <v>0.861111111111111</v>
      </c>
      <c r="D721" s="46">
        <f t="shared" si="0"/>
        <v>20</v>
      </c>
      <c r="E721" s="47" t="str">
        <f t="shared" si="7"/>
        <v>Thursday</v>
      </c>
      <c r="F721" s="47" t="s">
        <v>43</v>
      </c>
      <c r="G721" s="47" t="s">
        <v>103</v>
      </c>
      <c r="H721" s="43" t="s">
        <v>37</v>
      </c>
      <c r="I721" s="48">
        <v>1</v>
      </c>
      <c r="J721" s="49">
        <v>5000</v>
      </c>
      <c r="K721" s="49">
        <v>5000</v>
      </c>
      <c r="L721" s="47" t="s">
        <v>22</v>
      </c>
      <c r="M721" s="46">
        <v>0</v>
      </c>
      <c r="N721" s="48" t="s">
        <v>23</v>
      </c>
      <c r="O721" s="47" t="s">
        <v>47</v>
      </c>
    </row>
    <row r="722" ht="14.25" customHeight="1" spans="1:15">
      <c r="A722" s="43" t="s">
        <v>1570</v>
      </c>
      <c r="B722" s="44">
        <v>46144</v>
      </c>
      <c r="C722" s="45">
        <v>0.864583333333333</v>
      </c>
      <c r="D722" s="46">
        <f t="shared" si="0"/>
        <v>20</v>
      </c>
      <c r="E722" s="47" t="str">
        <f t="shared" si="7"/>
        <v>Saturday</v>
      </c>
      <c r="F722" s="47" t="s">
        <v>43</v>
      </c>
      <c r="G722" s="43" t="s">
        <v>647</v>
      </c>
      <c r="H722" s="43" t="s">
        <v>45</v>
      </c>
      <c r="I722" s="48">
        <v>1</v>
      </c>
      <c r="J722" s="49">
        <v>4500</v>
      </c>
      <c r="K722" s="49">
        <v>4500</v>
      </c>
      <c r="L722" s="47" t="s">
        <v>22</v>
      </c>
      <c r="M722" s="46">
        <v>0</v>
      </c>
      <c r="N722" s="48" t="s">
        <v>23</v>
      </c>
      <c r="O722" s="47" t="s">
        <v>33</v>
      </c>
    </row>
    <row r="723" ht="14.25" customHeight="1" spans="1:15">
      <c r="A723" s="43" t="s">
        <v>1571</v>
      </c>
      <c r="B723" s="44">
        <v>46144</v>
      </c>
      <c r="C723" s="45">
        <v>0.872222222222222</v>
      </c>
      <c r="D723" s="46">
        <f t="shared" si="0"/>
        <v>20</v>
      </c>
      <c r="E723" s="47" t="str">
        <f t="shared" si="7"/>
        <v>Saturday</v>
      </c>
      <c r="F723" s="47" t="s">
        <v>107</v>
      </c>
      <c r="G723" s="43" t="s">
        <v>36</v>
      </c>
      <c r="H723" s="43" t="s">
        <v>37</v>
      </c>
      <c r="I723" s="48">
        <v>1</v>
      </c>
      <c r="J723" s="49">
        <v>3000</v>
      </c>
      <c r="K723" s="49">
        <v>3000</v>
      </c>
      <c r="L723" s="47" t="s">
        <v>22</v>
      </c>
      <c r="M723" s="46">
        <v>0</v>
      </c>
      <c r="N723" s="48">
        <v>4</v>
      </c>
      <c r="O723" s="47" t="s">
        <v>24</v>
      </c>
    </row>
    <row r="724" ht="14.25" customHeight="1" spans="1:15">
      <c r="A724" s="43" t="s">
        <v>1572</v>
      </c>
      <c r="B724" s="44">
        <v>46144</v>
      </c>
      <c r="C724" s="45">
        <v>0.874305555555556</v>
      </c>
      <c r="D724" s="46">
        <f t="shared" si="0"/>
        <v>20</v>
      </c>
      <c r="E724" s="47" t="str">
        <f t="shared" si="7"/>
        <v>Saturday</v>
      </c>
      <c r="F724" s="47" t="s">
        <v>107</v>
      </c>
      <c r="G724" s="47" t="s">
        <v>17</v>
      </c>
      <c r="H724" s="43" t="s">
        <v>18</v>
      </c>
      <c r="I724" s="48">
        <v>1</v>
      </c>
      <c r="J724" s="49">
        <v>1000</v>
      </c>
      <c r="K724" s="49">
        <v>1000</v>
      </c>
      <c r="L724" s="47" t="s">
        <v>32</v>
      </c>
      <c r="M724" s="46">
        <v>0</v>
      </c>
      <c r="N724" s="48" t="s">
        <v>23</v>
      </c>
      <c r="O724" s="47" t="s">
        <v>47</v>
      </c>
    </row>
    <row r="725" ht="14.25" customHeight="1" spans="1:15">
      <c r="A725" s="43" t="s">
        <v>1574</v>
      </c>
      <c r="B725" s="44">
        <v>46144</v>
      </c>
      <c r="C725" s="45">
        <v>0.879166666666667</v>
      </c>
      <c r="D725" s="46">
        <f t="shared" si="0"/>
        <v>21</v>
      </c>
      <c r="E725" s="47" t="str">
        <f t="shared" si="7"/>
        <v>Saturday</v>
      </c>
      <c r="F725" s="47" t="s">
        <v>43</v>
      </c>
      <c r="G725" s="47" t="s">
        <v>50</v>
      </c>
      <c r="H725" s="43" t="s">
        <v>28</v>
      </c>
      <c r="I725" s="48">
        <v>1</v>
      </c>
      <c r="J725" s="49">
        <v>25000</v>
      </c>
      <c r="K725" s="49">
        <v>25000</v>
      </c>
      <c r="L725" s="47" t="s">
        <v>22</v>
      </c>
      <c r="M725" s="46">
        <v>0</v>
      </c>
      <c r="N725" s="48" t="s">
        <v>23</v>
      </c>
      <c r="O725" s="47" t="s">
        <v>47</v>
      </c>
    </row>
    <row r="726" ht="14.25" customHeight="1" spans="1:15">
      <c r="A726" s="43" t="s">
        <v>1575</v>
      </c>
      <c r="B726" s="44">
        <v>46144</v>
      </c>
      <c r="C726" s="45">
        <v>0.89375</v>
      </c>
      <c r="D726" s="46">
        <f t="shared" si="0"/>
        <v>21</v>
      </c>
      <c r="E726" s="47" t="str">
        <f t="shared" si="7"/>
        <v>Saturday</v>
      </c>
      <c r="F726" s="47" t="s">
        <v>43</v>
      </c>
      <c r="G726" s="43" t="s">
        <v>36</v>
      </c>
      <c r="H726" s="43" t="s">
        <v>37</v>
      </c>
      <c r="I726" s="48">
        <v>1</v>
      </c>
      <c r="J726" s="49">
        <v>3000</v>
      </c>
      <c r="K726" s="49">
        <v>3000</v>
      </c>
      <c r="L726" s="47" t="s">
        <v>22</v>
      </c>
      <c r="M726" s="46">
        <v>0</v>
      </c>
      <c r="N726" s="48" t="s">
        <v>23</v>
      </c>
      <c r="O726" s="47" t="s">
        <v>47</v>
      </c>
    </row>
    <row r="727" ht="14.25" customHeight="1" spans="1:15">
      <c r="A727" s="43" t="s">
        <v>1577</v>
      </c>
      <c r="B727" s="44">
        <v>46144</v>
      </c>
      <c r="C727" s="45">
        <v>0.896527777777778</v>
      </c>
      <c r="D727" s="46">
        <f t="shared" si="0"/>
        <v>21</v>
      </c>
      <c r="E727" s="47" t="str">
        <f t="shared" si="7"/>
        <v>Saturday</v>
      </c>
      <c r="F727" s="47" t="s">
        <v>43</v>
      </c>
      <c r="G727" s="47" t="s">
        <v>17</v>
      </c>
      <c r="H727" s="43" t="s">
        <v>18</v>
      </c>
      <c r="I727" s="48">
        <v>2</v>
      </c>
      <c r="J727" s="49">
        <f>K727/I727</f>
        <v>1000</v>
      </c>
      <c r="K727" s="49">
        <v>2000</v>
      </c>
      <c r="L727" s="47" t="s">
        <v>22</v>
      </c>
      <c r="M727" s="46">
        <v>0</v>
      </c>
      <c r="N727" s="48">
        <v>4</v>
      </c>
      <c r="O727" s="47" t="s">
        <v>73</v>
      </c>
    </row>
    <row r="728" ht="14.25" customHeight="1" spans="1:15">
      <c r="A728" s="43" t="s">
        <v>1578</v>
      </c>
      <c r="B728" s="44">
        <v>46144</v>
      </c>
      <c r="C728" s="45">
        <v>0.9</v>
      </c>
      <c r="D728" s="46">
        <f t="shared" si="0"/>
        <v>21</v>
      </c>
      <c r="E728" s="47" t="str">
        <f t="shared" si="7"/>
        <v>Saturday</v>
      </c>
      <c r="F728" s="47" t="s">
        <v>16</v>
      </c>
      <c r="G728" s="47" t="s">
        <v>44</v>
      </c>
      <c r="H728" s="43" t="s">
        <v>45</v>
      </c>
      <c r="I728" s="48">
        <v>1</v>
      </c>
      <c r="J728" s="49">
        <v>4000</v>
      </c>
      <c r="K728" s="49">
        <v>4000</v>
      </c>
      <c r="L728" s="47" t="s">
        <v>22</v>
      </c>
      <c r="M728" s="46">
        <v>0</v>
      </c>
      <c r="N728" s="48" t="s">
        <v>23</v>
      </c>
      <c r="O728" s="47" t="s">
        <v>73</v>
      </c>
    </row>
    <row r="729" ht="14.25" customHeight="1" spans="1:15">
      <c r="A729" s="43" t="s">
        <v>1579</v>
      </c>
      <c r="B729" s="44">
        <v>46144</v>
      </c>
      <c r="C729" s="45">
        <v>0.906944444444444</v>
      </c>
      <c r="D729" s="46">
        <f t="shared" si="0"/>
        <v>21</v>
      </c>
      <c r="E729" s="47" t="str">
        <f t="shared" si="7"/>
        <v>Saturday</v>
      </c>
      <c r="F729" s="47" t="s">
        <v>107</v>
      </c>
      <c r="G729" s="47" t="s">
        <v>50</v>
      </c>
      <c r="H729" s="43" t="str">
        <f>VLOOKUP(G729,'02_Menu_Lookup'!$A$2:$C$16,2,FALSE)</f>
        <v>Grills</v>
      </c>
      <c r="I729" s="48">
        <v>1</v>
      </c>
      <c r="J729" s="49">
        <v>25000</v>
      </c>
      <c r="K729" s="49">
        <v>25000</v>
      </c>
      <c r="L729" s="47" t="s">
        <v>32</v>
      </c>
      <c r="M729" s="46">
        <v>0</v>
      </c>
      <c r="N729" s="48">
        <v>4</v>
      </c>
      <c r="O729" s="47" t="s">
        <v>73</v>
      </c>
    </row>
    <row r="730" ht="14.25" customHeight="1" spans="1:15">
      <c r="A730" s="43" t="s">
        <v>1580</v>
      </c>
      <c r="B730" s="44">
        <v>46144</v>
      </c>
      <c r="C730" s="45">
        <v>0.911805555555556</v>
      </c>
      <c r="D730" s="46">
        <f t="shared" si="0"/>
        <v>21</v>
      </c>
      <c r="E730" s="47" t="str">
        <f t="shared" si="7"/>
        <v>Saturday</v>
      </c>
      <c r="F730" s="47" t="s">
        <v>16</v>
      </c>
      <c r="G730" s="47" t="s">
        <v>146</v>
      </c>
      <c r="H730" s="43" t="s">
        <v>28</v>
      </c>
      <c r="I730" s="48">
        <v>2</v>
      </c>
      <c r="J730" s="49">
        <v>16000</v>
      </c>
      <c r="K730" s="49">
        <v>32000</v>
      </c>
      <c r="L730" s="47" t="s">
        <v>22</v>
      </c>
      <c r="M730" s="46">
        <v>0</v>
      </c>
      <c r="N730" s="48" t="s">
        <v>23</v>
      </c>
      <c r="O730" s="47" t="s">
        <v>47</v>
      </c>
    </row>
    <row r="731" ht="14.25" customHeight="1" spans="1:15">
      <c r="A731" s="43" t="s">
        <v>1581</v>
      </c>
      <c r="B731" s="44">
        <v>46144</v>
      </c>
      <c r="C731" s="45">
        <v>0.955555555555556</v>
      </c>
      <c r="D731" s="46">
        <f t="shared" si="0"/>
        <v>22</v>
      </c>
      <c r="E731" s="47" t="str">
        <f t="shared" si="7"/>
        <v>Saturday</v>
      </c>
      <c r="F731" s="47" t="s">
        <v>107</v>
      </c>
      <c r="G731" s="47" t="s">
        <v>81</v>
      </c>
      <c r="H731" s="43" t="s">
        <v>37</v>
      </c>
      <c r="I731" s="48">
        <v>1</v>
      </c>
      <c r="J731" s="49">
        <v>6000</v>
      </c>
      <c r="K731" s="49">
        <f>I731*J731</f>
        <v>6000</v>
      </c>
      <c r="L731" s="47" t="s">
        <v>22</v>
      </c>
      <c r="M731" s="46">
        <v>0</v>
      </c>
      <c r="N731" s="48" t="s">
        <v>23</v>
      </c>
      <c r="O731" s="47" t="s">
        <v>24</v>
      </c>
    </row>
    <row r="732" ht="14.25" customHeight="1" spans="1:15">
      <c r="A732" s="43" t="s">
        <v>1582</v>
      </c>
      <c r="B732" s="44">
        <v>46145</v>
      </c>
      <c r="C732" s="45">
        <v>0.709722222222222</v>
      </c>
      <c r="D732" s="46">
        <f t="shared" si="0"/>
        <v>17</v>
      </c>
      <c r="E732" s="47" t="str">
        <f t="shared" si="7"/>
        <v>Sunday</v>
      </c>
      <c r="F732" s="47" t="s">
        <v>107</v>
      </c>
      <c r="G732" s="47" t="s">
        <v>63</v>
      </c>
      <c r="H732" s="43" t="s">
        <v>18</v>
      </c>
      <c r="I732" s="48">
        <v>2</v>
      </c>
      <c r="J732" s="49">
        <v>1500</v>
      </c>
      <c r="K732" s="49">
        <v>3000</v>
      </c>
      <c r="L732" s="47" t="s">
        <v>22</v>
      </c>
      <c r="M732" s="46">
        <v>0</v>
      </c>
      <c r="N732" s="48" t="s">
        <v>23</v>
      </c>
      <c r="O732" s="47" t="s">
        <v>40</v>
      </c>
    </row>
    <row r="733" ht="14.25" customHeight="1" spans="1:15">
      <c r="A733" s="43" t="s">
        <v>1584</v>
      </c>
      <c r="B733" s="44">
        <v>46145</v>
      </c>
      <c r="C733" s="45">
        <v>0.760416666666667</v>
      </c>
      <c r="D733" s="46">
        <f t="shared" si="0"/>
        <v>18</v>
      </c>
      <c r="E733" s="47" t="str">
        <f t="shared" si="7"/>
        <v>Sunday</v>
      </c>
      <c r="F733" s="47" t="s">
        <v>16</v>
      </c>
      <c r="G733" s="47" t="s">
        <v>63</v>
      </c>
      <c r="H733" s="43" t="s">
        <v>18</v>
      </c>
      <c r="I733" s="48">
        <v>2</v>
      </c>
      <c r="J733" s="49">
        <v>1500</v>
      </c>
      <c r="K733" s="49">
        <v>3000</v>
      </c>
      <c r="L733" s="47" t="s">
        <v>22</v>
      </c>
      <c r="M733" s="46">
        <v>0</v>
      </c>
      <c r="N733" s="48">
        <v>3</v>
      </c>
      <c r="O733" s="47" t="s">
        <v>33</v>
      </c>
    </row>
    <row r="734" ht="14.25" customHeight="1" spans="1:15">
      <c r="A734" s="43" t="s">
        <v>1587</v>
      </c>
      <c r="B734" s="44">
        <v>46145</v>
      </c>
      <c r="C734" s="45">
        <v>0.80625</v>
      </c>
      <c r="D734" s="46">
        <f t="shared" si="0"/>
        <v>19</v>
      </c>
      <c r="E734" s="47" t="str">
        <f t="shared" si="7"/>
        <v>Sunday</v>
      </c>
      <c r="F734" s="47" t="s">
        <v>43</v>
      </c>
      <c r="G734" s="43" t="s">
        <v>199</v>
      </c>
      <c r="H734" s="43" t="s">
        <v>18</v>
      </c>
      <c r="I734" s="48">
        <v>1</v>
      </c>
      <c r="J734" s="49">
        <v>3000</v>
      </c>
      <c r="K734" s="49">
        <v>3000</v>
      </c>
      <c r="L734" s="47" t="s">
        <v>22</v>
      </c>
      <c r="M734" s="46">
        <v>0</v>
      </c>
      <c r="N734" s="48">
        <v>5</v>
      </c>
      <c r="O734" s="47" t="s">
        <v>73</v>
      </c>
    </row>
    <row r="735" ht="14.25" customHeight="1" spans="1:15">
      <c r="A735" s="43" t="s">
        <v>1589</v>
      </c>
      <c r="B735" s="44">
        <v>46086</v>
      </c>
      <c r="C735" s="45">
        <v>0.809722222222222</v>
      </c>
      <c r="D735" s="46">
        <f t="shared" si="0"/>
        <v>19</v>
      </c>
      <c r="E735" s="47" t="str">
        <f t="shared" si="7"/>
        <v>Thursday</v>
      </c>
      <c r="F735" s="47" t="s">
        <v>16</v>
      </c>
      <c r="G735" s="47" t="s">
        <v>63</v>
      </c>
      <c r="H735" s="43" t="s">
        <v>18</v>
      </c>
      <c r="I735" s="48">
        <v>1</v>
      </c>
      <c r="J735" s="49">
        <v>1500</v>
      </c>
      <c r="K735" s="49">
        <v>1500</v>
      </c>
      <c r="L735" s="47" t="s">
        <v>22</v>
      </c>
      <c r="M735" s="46">
        <v>0</v>
      </c>
      <c r="N735" s="48" t="s">
        <v>23</v>
      </c>
      <c r="O735" s="47" t="s">
        <v>40</v>
      </c>
    </row>
    <row r="736" ht="14.25" customHeight="1" spans="1:15">
      <c r="A736" s="43" t="s">
        <v>1592</v>
      </c>
      <c r="B736" s="44">
        <v>46145</v>
      </c>
      <c r="C736" s="45">
        <v>0.834722222222222</v>
      </c>
      <c r="D736" s="46">
        <f t="shared" si="0"/>
        <v>20</v>
      </c>
      <c r="E736" s="47" t="str">
        <f t="shared" si="7"/>
        <v>Sunday</v>
      </c>
      <c r="F736" s="47" t="s">
        <v>16</v>
      </c>
      <c r="G736" s="47" t="s">
        <v>146</v>
      </c>
      <c r="H736" s="43" t="s">
        <v>28</v>
      </c>
      <c r="I736" s="48">
        <v>1</v>
      </c>
      <c r="J736" s="49">
        <v>16000</v>
      </c>
      <c r="K736" s="49">
        <v>16000</v>
      </c>
      <c r="L736" s="47" t="s">
        <v>22</v>
      </c>
      <c r="M736" s="46">
        <v>0</v>
      </c>
      <c r="N736" s="48">
        <v>3</v>
      </c>
      <c r="O736" s="47" t="s">
        <v>47</v>
      </c>
    </row>
    <row r="737" ht="14.25" customHeight="1" spans="1:15">
      <c r="A737" s="43" t="s">
        <v>1594</v>
      </c>
      <c r="B737" s="44">
        <v>46145</v>
      </c>
      <c r="C737" s="45">
        <v>0.884027777777778</v>
      </c>
      <c r="D737" s="46">
        <f t="shared" si="0"/>
        <v>21</v>
      </c>
      <c r="E737" s="47" t="str">
        <f t="shared" si="7"/>
        <v>Sunday</v>
      </c>
      <c r="F737" s="47" t="s">
        <v>16</v>
      </c>
      <c r="G737" s="47" t="s">
        <v>81</v>
      </c>
      <c r="H737" s="43" t="s">
        <v>37</v>
      </c>
      <c r="I737" s="48">
        <v>1</v>
      </c>
      <c r="J737" s="49">
        <v>6000</v>
      </c>
      <c r="K737" s="49">
        <v>6000</v>
      </c>
      <c r="L737" s="47" t="s">
        <v>22</v>
      </c>
      <c r="M737" s="46">
        <v>0</v>
      </c>
      <c r="N737" s="48">
        <v>3</v>
      </c>
      <c r="O737" s="47" t="s">
        <v>47</v>
      </c>
    </row>
    <row r="738" ht="14.25" customHeight="1" spans="1:15">
      <c r="A738" s="43" t="s">
        <v>1595</v>
      </c>
      <c r="B738" s="44">
        <v>46086</v>
      </c>
      <c r="C738" s="45">
        <v>0.885416666666667</v>
      </c>
      <c r="D738" s="46">
        <f t="shared" si="0"/>
        <v>21</v>
      </c>
      <c r="E738" s="47" t="str">
        <f t="shared" si="7"/>
        <v>Thursday</v>
      </c>
      <c r="F738" s="47" t="s">
        <v>43</v>
      </c>
      <c r="G738" s="47" t="s">
        <v>81</v>
      </c>
      <c r="H738" s="43" t="s">
        <v>37</v>
      </c>
      <c r="I738" s="48">
        <v>1</v>
      </c>
      <c r="J738" s="49">
        <v>6000</v>
      </c>
      <c r="K738" s="49">
        <v>6000</v>
      </c>
      <c r="L738" s="47" t="s">
        <v>32</v>
      </c>
      <c r="M738" s="46">
        <v>0</v>
      </c>
      <c r="N738" s="48" t="s">
        <v>23</v>
      </c>
      <c r="O738" s="47" t="s">
        <v>24</v>
      </c>
    </row>
    <row r="739" ht="14.25" customHeight="1" spans="1:15">
      <c r="A739" s="43" t="s">
        <v>1596</v>
      </c>
      <c r="B739" s="44">
        <v>46146</v>
      </c>
      <c r="C739" s="45">
        <v>0.614583333333333</v>
      </c>
      <c r="D739" s="46">
        <f t="shared" si="0"/>
        <v>14</v>
      </c>
      <c r="E739" s="47" t="str">
        <f t="shared" si="7"/>
        <v>Monday</v>
      </c>
      <c r="F739" s="47" t="s">
        <v>107</v>
      </c>
      <c r="G739" s="43" t="s">
        <v>36</v>
      </c>
      <c r="H739" s="43" t="s">
        <v>37</v>
      </c>
      <c r="I739" s="48">
        <v>1</v>
      </c>
      <c r="J739" s="49">
        <v>3000</v>
      </c>
      <c r="K739" s="49">
        <v>3000</v>
      </c>
      <c r="L739" s="47" t="s">
        <v>22</v>
      </c>
      <c r="M739" s="46">
        <v>0</v>
      </c>
      <c r="N739" s="48">
        <v>3</v>
      </c>
      <c r="O739" s="47" t="s">
        <v>47</v>
      </c>
    </row>
    <row r="740" ht="14.25" customHeight="1" spans="1:15">
      <c r="A740" s="43" t="s">
        <v>1598</v>
      </c>
      <c r="B740" s="44">
        <v>46146</v>
      </c>
      <c r="C740" s="45">
        <v>0.6375</v>
      </c>
      <c r="D740" s="46">
        <f t="shared" si="0"/>
        <v>15</v>
      </c>
      <c r="E740" s="47" t="str">
        <f t="shared" si="7"/>
        <v>Monday</v>
      </c>
      <c r="F740" s="47" t="s">
        <v>16</v>
      </c>
      <c r="G740" s="47" t="s">
        <v>103</v>
      </c>
      <c r="H740" s="43" t="s">
        <v>37</v>
      </c>
      <c r="I740" s="48">
        <v>3</v>
      </c>
      <c r="J740" s="49">
        <v>5000</v>
      </c>
      <c r="K740" s="49">
        <v>15000</v>
      </c>
      <c r="L740" s="47" t="s">
        <v>32</v>
      </c>
      <c r="M740" s="46">
        <v>0</v>
      </c>
      <c r="N740" s="48" t="s">
        <v>23</v>
      </c>
      <c r="O740" s="47" t="s">
        <v>33</v>
      </c>
    </row>
    <row r="741" ht="14.25" customHeight="1" spans="1:15">
      <c r="A741" s="43" t="s">
        <v>1600</v>
      </c>
      <c r="B741" s="44">
        <v>46147</v>
      </c>
      <c r="C741" s="45">
        <v>0.554861111111111</v>
      </c>
      <c r="D741" s="46">
        <f t="shared" si="0"/>
        <v>13</v>
      </c>
      <c r="E741" s="47" t="str">
        <f t="shared" si="7"/>
        <v>Tuesday</v>
      </c>
      <c r="F741" s="47" t="s">
        <v>43</v>
      </c>
      <c r="G741" s="47" t="s">
        <v>50</v>
      </c>
      <c r="H741" s="43" t="s">
        <v>28</v>
      </c>
      <c r="I741" s="48">
        <v>1</v>
      </c>
      <c r="J741" s="49">
        <v>25000</v>
      </c>
      <c r="K741" s="49">
        <v>25000</v>
      </c>
      <c r="L741" s="47" t="s">
        <v>22</v>
      </c>
      <c r="M741" s="46">
        <v>0</v>
      </c>
      <c r="N741" s="48" t="s">
        <v>23</v>
      </c>
      <c r="O741" s="47" t="s">
        <v>40</v>
      </c>
    </row>
    <row r="742" ht="14.25" customHeight="1" spans="1:15">
      <c r="A742" s="43" t="s">
        <v>1604</v>
      </c>
      <c r="B742" s="44">
        <v>46147</v>
      </c>
      <c r="C742" s="45">
        <v>0.627777777777778</v>
      </c>
      <c r="D742" s="46">
        <f t="shared" si="0"/>
        <v>15</v>
      </c>
      <c r="E742" s="47" t="str">
        <f t="shared" si="7"/>
        <v>Tuesday</v>
      </c>
      <c r="F742" s="47" t="s">
        <v>43</v>
      </c>
      <c r="G742" s="47" t="s">
        <v>63</v>
      </c>
      <c r="H742" s="43" t="s">
        <v>18</v>
      </c>
      <c r="I742" s="48">
        <v>1</v>
      </c>
      <c r="J742" s="49">
        <v>1500</v>
      </c>
      <c r="K742" s="49">
        <v>1500</v>
      </c>
      <c r="L742" s="47" t="s">
        <v>22</v>
      </c>
      <c r="M742" s="46">
        <v>0</v>
      </c>
      <c r="N742" s="48" t="s">
        <v>23</v>
      </c>
      <c r="O742" s="47" t="s">
        <v>40</v>
      </c>
    </row>
    <row r="743" ht="14.25" customHeight="1" spans="1:15">
      <c r="A743" s="43" t="s">
        <v>1606</v>
      </c>
      <c r="B743" s="44">
        <v>46147</v>
      </c>
      <c r="C743" s="45">
        <v>0.809027777777778</v>
      </c>
      <c r="D743" s="46">
        <f t="shared" si="0"/>
        <v>19</v>
      </c>
      <c r="E743" s="47" t="str">
        <f t="shared" si="7"/>
        <v>Tuesday</v>
      </c>
      <c r="F743" s="47" t="s">
        <v>16</v>
      </c>
      <c r="G743" s="47" t="s">
        <v>63</v>
      </c>
      <c r="H743" s="43" t="s">
        <v>18</v>
      </c>
      <c r="I743" s="48">
        <v>1</v>
      </c>
      <c r="J743" s="49">
        <v>1500</v>
      </c>
      <c r="K743" s="49">
        <v>1500</v>
      </c>
      <c r="L743" s="47" t="s">
        <v>22</v>
      </c>
      <c r="M743" s="46">
        <v>0</v>
      </c>
      <c r="N743" s="48">
        <v>4</v>
      </c>
      <c r="O743" s="47" t="s">
        <v>73</v>
      </c>
    </row>
    <row r="744" ht="14.25" customHeight="1" spans="1:15">
      <c r="A744" s="43" t="s">
        <v>1608</v>
      </c>
      <c r="B744" s="44">
        <v>46147</v>
      </c>
      <c r="C744" s="45">
        <v>0.819444444444444</v>
      </c>
      <c r="D744" s="46">
        <f t="shared" si="0"/>
        <v>19</v>
      </c>
      <c r="E744" s="47" t="str">
        <f t="shared" si="7"/>
        <v>Tuesday</v>
      </c>
      <c r="F744" s="47" t="s">
        <v>16</v>
      </c>
      <c r="G744" s="47" t="s">
        <v>103</v>
      </c>
      <c r="H744" s="43" t="s">
        <v>37</v>
      </c>
      <c r="I744" s="48">
        <v>1</v>
      </c>
      <c r="J744" s="49">
        <v>5000</v>
      </c>
      <c r="K744" s="49">
        <f>I744*J744</f>
        <v>5000</v>
      </c>
      <c r="L744" s="47" t="s">
        <v>32</v>
      </c>
      <c r="M744" s="46">
        <v>0</v>
      </c>
      <c r="N744" s="48" t="s">
        <v>23</v>
      </c>
      <c r="O744" s="47" t="s">
        <v>47</v>
      </c>
    </row>
    <row r="745" ht="14.25" customHeight="1" spans="1:15">
      <c r="A745" s="43" t="s">
        <v>1609</v>
      </c>
      <c r="B745" s="44">
        <v>46147</v>
      </c>
      <c r="C745" s="45">
        <v>0.830555555555556</v>
      </c>
      <c r="D745" s="46">
        <f t="shared" si="0"/>
        <v>19</v>
      </c>
      <c r="E745" s="47" t="str">
        <f t="shared" si="7"/>
        <v>Tuesday</v>
      </c>
      <c r="F745" s="47" t="s">
        <v>43</v>
      </c>
      <c r="G745" s="47" t="s">
        <v>103</v>
      </c>
      <c r="H745" s="43" t="s">
        <v>37</v>
      </c>
      <c r="I745" s="48">
        <v>2</v>
      </c>
      <c r="J745" s="49">
        <v>5000</v>
      </c>
      <c r="K745" s="49">
        <v>10000</v>
      </c>
      <c r="L745" s="47" t="s">
        <v>22</v>
      </c>
      <c r="M745" s="46">
        <v>0</v>
      </c>
      <c r="N745" s="48">
        <v>5</v>
      </c>
      <c r="O745" s="47" t="s">
        <v>40</v>
      </c>
    </row>
    <row r="746" ht="14.25" customHeight="1" spans="1:15">
      <c r="A746" s="43" t="s">
        <v>1611</v>
      </c>
      <c r="B746" s="44">
        <v>46147</v>
      </c>
      <c r="C746" s="45">
        <v>0.865972222222222</v>
      </c>
      <c r="D746" s="46">
        <f t="shared" si="0"/>
        <v>20</v>
      </c>
      <c r="E746" s="47" t="str">
        <f t="shared" si="7"/>
        <v>Tuesday</v>
      </c>
      <c r="F746" s="47" t="s">
        <v>16</v>
      </c>
      <c r="G746" s="47" t="s">
        <v>103</v>
      </c>
      <c r="H746" s="43" t="s">
        <v>37</v>
      </c>
      <c r="I746" s="48">
        <v>1</v>
      </c>
      <c r="J746" s="49">
        <v>5000</v>
      </c>
      <c r="K746" s="49">
        <v>5000</v>
      </c>
      <c r="L746" s="47" t="s">
        <v>32</v>
      </c>
      <c r="M746" s="46">
        <v>0</v>
      </c>
      <c r="N746" s="48">
        <v>4</v>
      </c>
      <c r="O746" s="47" t="s">
        <v>47</v>
      </c>
    </row>
    <row r="747" ht="14.25" customHeight="1" spans="1:15">
      <c r="A747" s="43" t="s">
        <v>1612</v>
      </c>
      <c r="B747" s="44">
        <v>46148</v>
      </c>
      <c r="C747" s="45">
        <v>0.599305555555556</v>
      </c>
      <c r="D747" s="46">
        <f t="shared" si="0"/>
        <v>14</v>
      </c>
      <c r="E747" s="47" t="str">
        <f t="shared" si="7"/>
        <v>Wednesday</v>
      </c>
      <c r="F747" s="47" t="s">
        <v>43</v>
      </c>
      <c r="G747" s="47" t="s">
        <v>63</v>
      </c>
      <c r="H747" s="43" t="s">
        <v>18</v>
      </c>
      <c r="I747" s="48">
        <v>1</v>
      </c>
      <c r="J747" s="50">
        <v>1500</v>
      </c>
      <c r="K747" s="49">
        <v>1500</v>
      </c>
      <c r="L747" s="47" t="s">
        <v>22</v>
      </c>
      <c r="M747" s="46">
        <v>0</v>
      </c>
      <c r="N747" s="48" t="s">
        <v>23</v>
      </c>
      <c r="O747" s="47" t="s">
        <v>47</v>
      </c>
    </row>
    <row r="748" ht="14.25" customHeight="1" spans="1:15">
      <c r="A748" s="43" t="s">
        <v>1614</v>
      </c>
      <c r="B748" s="44">
        <v>46148</v>
      </c>
      <c r="C748" s="45">
        <v>0.821527777777778</v>
      </c>
      <c r="D748" s="46">
        <f t="shared" si="0"/>
        <v>19</v>
      </c>
      <c r="E748" s="47" t="str">
        <f t="shared" si="7"/>
        <v>Wednesday</v>
      </c>
      <c r="F748" s="47" t="s">
        <v>43</v>
      </c>
      <c r="G748" s="43" t="s">
        <v>36</v>
      </c>
      <c r="H748" s="43" t="s">
        <v>37</v>
      </c>
      <c r="I748" s="48">
        <v>1</v>
      </c>
      <c r="J748" s="49">
        <v>3000</v>
      </c>
      <c r="K748" s="49">
        <v>3000</v>
      </c>
      <c r="L748" s="47" t="s">
        <v>22</v>
      </c>
      <c r="M748" s="46">
        <v>0</v>
      </c>
      <c r="N748" s="48" t="s">
        <v>23</v>
      </c>
      <c r="O748" s="47" t="s">
        <v>73</v>
      </c>
    </row>
    <row r="749" ht="14.25" customHeight="1" spans="1:15">
      <c r="A749" s="43" t="s">
        <v>1616</v>
      </c>
      <c r="B749" s="44">
        <v>46148</v>
      </c>
      <c r="C749" s="45">
        <v>0.838194444444444</v>
      </c>
      <c r="D749" s="46">
        <f t="shared" si="0"/>
        <v>20</v>
      </c>
      <c r="E749" s="47" t="str">
        <f t="shared" si="7"/>
        <v>Wednesday</v>
      </c>
      <c r="F749" s="47" t="s">
        <v>43</v>
      </c>
      <c r="G749" s="47" t="s">
        <v>44</v>
      </c>
      <c r="H749" s="43" t="s">
        <v>45</v>
      </c>
      <c r="I749" s="48">
        <v>2</v>
      </c>
      <c r="J749" s="49">
        <v>4000</v>
      </c>
      <c r="K749" s="49">
        <v>8000</v>
      </c>
      <c r="L749" s="47" t="s">
        <v>32</v>
      </c>
      <c r="M749" s="46">
        <v>0</v>
      </c>
      <c r="N749" s="48" t="s">
        <v>23</v>
      </c>
      <c r="O749" s="47" t="s">
        <v>33</v>
      </c>
    </row>
    <row r="750" ht="14.25" customHeight="1" spans="1:15">
      <c r="A750" s="43" t="s">
        <v>1617</v>
      </c>
      <c r="B750" s="44">
        <v>46148</v>
      </c>
      <c r="C750" s="45">
        <v>0.850694444444444</v>
      </c>
      <c r="D750" s="46">
        <f t="shared" si="0"/>
        <v>20</v>
      </c>
      <c r="E750" s="47" t="str">
        <f t="shared" si="7"/>
        <v>Wednesday</v>
      </c>
      <c r="F750" s="47" t="s">
        <v>16</v>
      </c>
      <c r="G750" s="43" t="s">
        <v>165</v>
      </c>
      <c r="H750" s="43" t="s">
        <v>109</v>
      </c>
      <c r="I750" s="48">
        <v>1</v>
      </c>
      <c r="J750" s="49">
        <v>6000</v>
      </c>
      <c r="K750" s="49">
        <v>6000</v>
      </c>
      <c r="L750" s="47" t="s">
        <v>22</v>
      </c>
      <c r="M750" s="46">
        <v>0</v>
      </c>
      <c r="N750" s="48" t="s">
        <v>23</v>
      </c>
      <c r="O750" s="47" t="s">
        <v>24</v>
      </c>
    </row>
    <row r="751" ht="14.25" customHeight="1" spans="1:15">
      <c r="A751" s="43" t="s">
        <v>1618</v>
      </c>
      <c r="B751" s="44">
        <v>46148</v>
      </c>
      <c r="C751" s="45">
        <v>0.857638888888889</v>
      </c>
      <c r="D751" s="46">
        <f t="shared" si="0"/>
        <v>20</v>
      </c>
      <c r="E751" s="47" t="str">
        <f t="shared" si="7"/>
        <v>Wednesday</v>
      </c>
      <c r="F751" s="47" t="s">
        <v>16</v>
      </c>
      <c r="G751" s="43" t="s">
        <v>199</v>
      </c>
      <c r="H751" s="43" t="str">
        <f>VLOOKUP(G751,'02_Menu_Lookup'!$A$2:$C$16,2,FALSE)</f>
        <v>Beverages</v>
      </c>
      <c r="I751" s="48">
        <v>1</v>
      </c>
      <c r="J751" s="49">
        <v>3000</v>
      </c>
      <c r="K751" s="49">
        <v>3000</v>
      </c>
      <c r="L751" s="47" t="s">
        <v>22</v>
      </c>
      <c r="M751" s="46">
        <v>0</v>
      </c>
      <c r="N751" s="48" t="s">
        <v>23</v>
      </c>
      <c r="O751" s="47" t="s">
        <v>47</v>
      </c>
    </row>
    <row r="752" ht="14.25" customHeight="1" spans="1:15">
      <c r="A752" s="43" t="s">
        <v>1619</v>
      </c>
      <c r="B752" s="44">
        <v>46148</v>
      </c>
      <c r="C752" s="45">
        <v>0.861805555555556</v>
      </c>
      <c r="D752" s="46">
        <f t="shared" si="0"/>
        <v>20</v>
      </c>
      <c r="E752" s="47" t="str">
        <f t="shared" si="7"/>
        <v>Wednesday</v>
      </c>
      <c r="F752" s="47" t="s">
        <v>43</v>
      </c>
      <c r="G752" s="43" t="s">
        <v>36</v>
      </c>
      <c r="H752" s="43" t="s">
        <v>37</v>
      </c>
      <c r="I752" s="48">
        <v>2</v>
      </c>
      <c r="J752" s="49">
        <f>K752/I752</f>
        <v>3000</v>
      </c>
      <c r="K752" s="49">
        <v>6000</v>
      </c>
      <c r="L752" s="47" t="s">
        <v>22</v>
      </c>
      <c r="M752" s="46">
        <v>0</v>
      </c>
      <c r="N752" s="48" t="s">
        <v>23</v>
      </c>
      <c r="O752" s="47" t="s">
        <v>24</v>
      </c>
    </row>
    <row r="753" ht="14.25" customHeight="1" spans="1:15">
      <c r="A753" s="43" t="s">
        <v>1621</v>
      </c>
      <c r="B753" s="44">
        <v>46148</v>
      </c>
      <c r="C753" s="45">
        <v>0.875</v>
      </c>
      <c r="D753" s="46">
        <f t="shared" si="0"/>
        <v>21</v>
      </c>
      <c r="E753" s="47" t="str">
        <f t="shared" si="7"/>
        <v>Wednesday</v>
      </c>
      <c r="F753" s="47" t="s">
        <v>16</v>
      </c>
      <c r="G753" s="43" t="s">
        <v>199</v>
      </c>
      <c r="H753" s="43" t="s">
        <v>18</v>
      </c>
      <c r="I753" s="48">
        <v>1</v>
      </c>
      <c r="J753" s="49">
        <v>3000</v>
      </c>
      <c r="K753" s="49">
        <v>3000</v>
      </c>
      <c r="L753" s="47" t="s">
        <v>22</v>
      </c>
      <c r="M753" s="46">
        <v>0</v>
      </c>
      <c r="N753" s="48" t="s">
        <v>23</v>
      </c>
      <c r="O753" s="47" t="s">
        <v>47</v>
      </c>
    </row>
    <row r="754" ht="14.25" customHeight="1" spans="1:15">
      <c r="A754" s="43" t="s">
        <v>1623</v>
      </c>
      <c r="B754" s="44">
        <v>46148</v>
      </c>
      <c r="C754" s="45">
        <v>0.878472222222222</v>
      </c>
      <c r="D754" s="46">
        <f t="shared" si="0"/>
        <v>21</v>
      </c>
      <c r="E754" s="47" t="str">
        <f t="shared" si="7"/>
        <v>Wednesday</v>
      </c>
      <c r="F754" s="47" t="s">
        <v>16</v>
      </c>
      <c r="G754" s="47" t="s">
        <v>44</v>
      </c>
      <c r="H754" s="43" t="s">
        <v>45</v>
      </c>
      <c r="I754" s="48">
        <v>1</v>
      </c>
      <c r="J754" s="49">
        <v>4000</v>
      </c>
      <c r="K754" s="50">
        <v>3600</v>
      </c>
      <c r="L754" s="47" t="s">
        <v>22</v>
      </c>
      <c r="M754" s="51">
        <v>0.1</v>
      </c>
      <c r="N754" s="48">
        <v>5</v>
      </c>
      <c r="O754" s="47" t="s">
        <v>24</v>
      </c>
    </row>
    <row r="755" ht="14.25" customHeight="1" spans="1:15">
      <c r="A755" s="43" t="s">
        <v>1624</v>
      </c>
      <c r="B755" s="44">
        <v>46148</v>
      </c>
      <c r="C755" s="45">
        <v>0.903472222222222</v>
      </c>
      <c r="D755" s="46">
        <f t="shared" si="0"/>
        <v>21</v>
      </c>
      <c r="E755" s="47" t="str">
        <f t="shared" si="7"/>
        <v>Wednesday</v>
      </c>
      <c r="F755" s="47" t="s">
        <v>16</v>
      </c>
      <c r="G755" s="47" t="s">
        <v>63</v>
      </c>
      <c r="H755" s="43" t="s">
        <v>18</v>
      </c>
      <c r="I755" s="48">
        <v>2</v>
      </c>
      <c r="J755" s="49">
        <v>1500</v>
      </c>
      <c r="K755" s="49">
        <v>3000</v>
      </c>
      <c r="L755" s="47" t="s">
        <v>32</v>
      </c>
      <c r="M755" s="46">
        <v>0</v>
      </c>
      <c r="N755" s="48" t="s">
        <v>23</v>
      </c>
      <c r="O755" s="47" t="s">
        <v>73</v>
      </c>
    </row>
    <row r="756" ht="14.25" customHeight="1" spans="1:15">
      <c r="A756" s="43" t="s">
        <v>1625</v>
      </c>
      <c r="B756" s="44">
        <v>46148</v>
      </c>
      <c r="C756" s="45">
        <v>0.906944444444444</v>
      </c>
      <c r="D756" s="46">
        <f t="shared" si="0"/>
        <v>21</v>
      </c>
      <c r="E756" s="47" t="str">
        <f t="shared" si="7"/>
        <v>Wednesday</v>
      </c>
      <c r="F756" s="47" t="s">
        <v>43</v>
      </c>
      <c r="G756" s="47" t="s">
        <v>57</v>
      </c>
      <c r="H756" s="43" t="s">
        <v>28</v>
      </c>
      <c r="I756" s="48"/>
      <c r="J756" s="49">
        <v>18000</v>
      </c>
      <c r="K756" s="50">
        <v>0</v>
      </c>
      <c r="L756" s="47" t="s">
        <v>22</v>
      </c>
      <c r="M756" s="51">
        <v>0.1</v>
      </c>
      <c r="N756" s="48" t="s">
        <v>23</v>
      </c>
      <c r="O756" s="47" t="s">
        <v>33</v>
      </c>
    </row>
    <row r="757" ht="14.25" customHeight="1" spans="1:15">
      <c r="A757" s="43" t="s">
        <v>1628</v>
      </c>
      <c r="B757" s="44">
        <v>46148</v>
      </c>
      <c r="C757" s="45">
        <v>0.9375</v>
      </c>
      <c r="D757" s="46">
        <f t="shared" si="0"/>
        <v>22</v>
      </c>
      <c r="E757" s="47" t="str">
        <f t="shared" si="7"/>
        <v>Wednesday</v>
      </c>
      <c r="F757" s="47" t="s">
        <v>43</v>
      </c>
      <c r="G757" s="47" t="s">
        <v>57</v>
      </c>
      <c r="H757" s="43" t="s">
        <v>28</v>
      </c>
      <c r="I757" s="48">
        <v>1</v>
      </c>
      <c r="J757" s="49">
        <v>18000</v>
      </c>
      <c r="K757" s="49">
        <v>18000</v>
      </c>
      <c r="L757" s="47" t="s">
        <v>22</v>
      </c>
      <c r="M757" s="46">
        <v>0</v>
      </c>
      <c r="N757" s="48" t="s">
        <v>23</v>
      </c>
      <c r="O757" s="47" t="s">
        <v>24</v>
      </c>
    </row>
    <row r="758" ht="14.25" customHeight="1" spans="1:15">
      <c r="A758" s="43" t="s">
        <v>1629</v>
      </c>
      <c r="B758" s="44">
        <v>46148</v>
      </c>
      <c r="C758" s="45">
        <v>0.956944444444444</v>
      </c>
      <c r="D758" s="46">
        <f t="shared" si="0"/>
        <v>22</v>
      </c>
      <c r="E758" s="47" t="str">
        <f t="shared" si="7"/>
        <v>Wednesday</v>
      </c>
      <c r="F758" s="47" t="s">
        <v>43</v>
      </c>
      <c r="G758" s="47" t="s">
        <v>27</v>
      </c>
      <c r="H758" s="43" t="s">
        <v>28</v>
      </c>
      <c r="I758" s="48">
        <v>1</v>
      </c>
      <c r="J758" s="49">
        <v>15000</v>
      </c>
      <c r="K758" s="49">
        <v>15000</v>
      </c>
      <c r="L758" s="47" t="s">
        <v>22</v>
      </c>
      <c r="M758" s="46">
        <v>0</v>
      </c>
      <c r="N758" s="48" t="s">
        <v>23</v>
      </c>
      <c r="O758" s="47" t="s">
        <v>24</v>
      </c>
    </row>
    <row r="759" ht="14.25" customHeight="1" spans="1:15">
      <c r="A759" s="43" t="s">
        <v>1630</v>
      </c>
      <c r="B759" s="44">
        <v>46149</v>
      </c>
      <c r="C759" s="45">
        <v>0.584722222222222</v>
      </c>
      <c r="D759" s="46">
        <f t="shared" si="0"/>
        <v>14</v>
      </c>
      <c r="E759" s="47" t="str">
        <f t="shared" si="7"/>
        <v>Thursday</v>
      </c>
      <c r="F759" s="47" t="s">
        <v>107</v>
      </c>
      <c r="G759" s="47" t="s">
        <v>95</v>
      </c>
      <c r="H759" s="43" t="s">
        <v>45</v>
      </c>
      <c r="I759" s="48">
        <v>1</v>
      </c>
      <c r="J759" s="49">
        <v>5000</v>
      </c>
      <c r="K759" s="49">
        <v>5000</v>
      </c>
      <c r="L759" s="47" t="s">
        <v>32</v>
      </c>
      <c r="M759" s="46">
        <v>0</v>
      </c>
      <c r="N759" s="48" t="s">
        <v>23</v>
      </c>
      <c r="O759" s="47" t="s">
        <v>73</v>
      </c>
    </row>
    <row r="760" ht="14.25" customHeight="1" spans="1:15">
      <c r="A760" s="43" t="s">
        <v>1632</v>
      </c>
      <c r="B760" s="44">
        <v>46149</v>
      </c>
      <c r="C760" s="45">
        <v>0.865277777777778</v>
      </c>
      <c r="D760" s="46">
        <f t="shared" si="0"/>
        <v>20</v>
      </c>
      <c r="E760" s="47" t="str">
        <f t="shared" si="7"/>
        <v>Thursday</v>
      </c>
      <c r="F760" s="47" t="s">
        <v>43</v>
      </c>
      <c r="G760" s="47" t="s">
        <v>95</v>
      </c>
      <c r="H760" s="43" t="str">
        <f>VLOOKUP(G760,'02_Menu_Lookup'!$A$2:$C$16,2,FALSE)</f>
        <v>Appetizers</v>
      </c>
      <c r="I760" s="48">
        <v>2</v>
      </c>
      <c r="J760" s="49">
        <v>5000</v>
      </c>
      <c r="K760" s="50">
        <v>10000</v>
      </c>
      <c r="L760" s="47" t="s">
        <v>22</v>
      </c>
      <c r="M760" s="46">
        <v>0</v>
      </c>
      <c r="N760" s="48" t="s">
        <v>23</v>
      </c>
      <c r="O760" s="47" t="s">
        <v>40</v>
      </c>
    </row>
    <row r="761" ht="14.25" customHeight="1" spans="1:15">
      <c r="A761" s="43" t="s">
        <v>1634</v>
      </c>
      <c r="B761" s="44">
        <v>46208</v>
      </c>
      <c r="C761" s="45">
        <v>0.878472222222222</v>
      </c>
      <c r="D761" s="46">
        <f t="shared" si="0"/>
        <v>21</v>
      </c>
      <c r="E761" s="47" t="str">
        <f t="shared" si="7"/>
        <v>Sunday</v>
      </c>
      <c r="F761" s="47" t="s">
        <v>16</v>
      </c>
      <c r="G761" s="47" t="s">
        <v>17</v>
      </c>
      <c r="H761" s="43" t="s">
        <v>18</v>
      </c>
      <c r="I761" s="48">
        <v>1</v>
      </c>
      <c r="J761" s="49">
        <v>1000</v>
      </c>
      <c r="K761" s="49">
        <v>1000</v>
      </c>
      <c r="L761" s="47" t="s">
        <v>22</v>
      </c>
      <c r="M761" s="46">
        <v>0</v>
      </c>
      <c r="N761" s="48" t="s">
        <v>23</v>
      </c>
      <c r="O761" s="47" t="s">
        <v>24</v>
      </c>
    </row>
    <row r="762" ht="14.25" customHeight="1" spans="1:15">
      <c r="A762" s="43" t="s">
        <v>1636</v>
      </c>
      <c r="B762" s="44">
        <v>46208</v>
      </c>
      <c r="C762" s="45">
        <v>0.88125</v>
      </c>
      <c r="D762" s="46">
        <f t="shared" si="0"/>
        <v>21</v>
      </c>
      <c r="E762" s="47" t="str">
        <f t="shared" si="7"/>
        <v>Sunday</v>
      </c>
      <c r="F762" s="47" t="s">
        <v>107</v>
      </c>
      <c r="G762" s="47" t="s">
        <v>146</v>
      </c>
      <c r="H762" s="43" t="s">
        <v>28</v>
      </c>
      <c r="I762" s="48">
        <v>1</v>
      </c>
      <c r="J762" s="49">
        <v>16000</v>
      </c>
      <c r="K762" s="49">
        <v>16000</v>
      </c>
      <c r="L762" s="47" t="s">
        <v>32</v>
      </c>
      <c r="M762" s="46">
        <v>0</v>
      </c>
      <c r="N762" s="48">
        <v>4</v>
      </c>
      <c r="O762" s="47" t="s">
        <v>33</v>
      </c>
    </row>
    <row r="763" ht="14.25" customHeight="1" spans="1:15">
      <c r="A763" s="43" t="s">
        <v>1638</v>
      </c>
      <c r="B763" s="44">
        <v>46149</v>
      </c>
      <c r="C763" s="45">
        <v>0.895138888888889</v>
      </c>
      <c r="D763" s="46">
        <f t="shared" si="0"/>
        <v>21</v>
      </c>
      <c r="E763" s="47" t="str">
        <f t="shared" si="7"/>
        <v>Thursday</v>
      </c>
      <c r="F763" s="47" t="s">
        <v>16</v>
      </c>
      <c r="G763" s="43" t="s">
        <v>36</v>
      </c>
      <c r="H763" s="43" t="s">
        <v>37</v>
      </c>
      <c r="I763" s="48">
        <v>1</v>
      </c>
      <c r="J763" s="49">
        <v>3000</v>
      </c>
      <c r="K763" s="49">
        <v>3000</v>
      </c>
      <c r="L763" s="47" t="s">
        <v>22</v>
      </c>
      <c r="M763" s="46">
        <v>0</v>
      </c>
      <c r="N763" s="48" t="s">
        <v>23</v>
      </c>
      <c r="O763" s="47" t="s">
        <v>24</v>
      </c>
    </row>
    <row r="764" ht="14.25" customHeight="1" spans="1:15">
      <c r="A764" s="43" t="s">
        <v>1639</v>
      </c>
      <c r="B764" s="44">
        <v>46208</v>
      </c>
      <c r="C764" s="45">
        <v>0.934722222222222</v>
      </c>
      <c r="D764" s="46">
        <f t="shared" si="0"/>
        <v>22</v>
      </c>
      <c r="E764" s="47" t="str">
        <f t="shared" si="7"/>
        <v>Sunday</v>
      </c>
      <c r="F764" s="47" t="s">
        <v>43</v>
      </c>
      <c r="G764" s="47" t="s">
        <v>367</v>
      </c>
      <c r="H764" s="43" t="s">
        <v>109</v>
      </c>
      <c r="I764" s="48">
        <v>1</v>
      </c>
      <c r="J764" s="49">
        <v>7000</v>
      </c>
      <c r="K764" s="49">
        <v>7000</v>
      </c>
      <c r="L764" s="47" t="s">
        <v>22</v>
      </c>
      <c r="M764" s="46">
        <v>0</v>
      </c>
      <c r="N764" s="48" t="s">
        <v>23</v>
      </c>
      <c r="O764" s="47" t="s">
        <v>33</v>
      </c>
    </row>
    <row r="765" ht="14.25" customHeight="1" spans="1:15">
      <c r="A765" s="43" t="s">
        <v>1640</v>
      </c>
      <c r="B765" s="44">
        <v>46149</v>
      </c>
      <c r="C765" s="45">
        <v>0.973611111111111</v>
      </c>
      <c r="D765" s="46">
        <f t="shared" si="0"/>
        <v>23</v>
      </c>
      <c r="E765" s="47" t="str">
        <f t="shared" si="7"/>
        <v>Thursday</v>
      </c>
      <c r="F765" s="47" t="s">
        <v>43</v>
      </c>
      <c r="G765" s="43" t="s">
        <v>199</v>
      </c>
      <c r="H765" s="43" t="s">
        <v>18</v>
      </c>
      <c r="I765" s="48">
        <v>1</v>
      </c>
      <c r="J765" s="49">
        <v>3000</v>
      </c>
      <c r="K765" s="49">
        <v>3000</v>
      </c>
      <c r="L765" s="47" t="s">
        <v>22</v>
      </c>
      <c r="M765" s="46">
        <v>0</v>
      </c>
      <c r="N765" s="48" t="s">
        <v>23</v>
      </c>
      <c r="O765" s="47" t="s">
        <v>47</v>
      </c>
    </row>
    <row r="766" ht="14.25" customHeight="1" spans="1:15">
      <c r="A766" s="43" t="s">
        <v>1642</v>
      </c>
      <c r="B766" s="44">
        <v>46150</v>
      </c>
      <c r="C766" s="45">
        <v>0.505555555555556</v>
      </c>
      <c r="D766" s="46">
        <f t="shared" si="0"/>
        <v>12</v>
      </c>
      <c r="E766" s="47" t="str">
        <f t="shared" si="7"/>
        <v>Friday</v>
      </c>
      <c r="F766" s="47" t="s">
        <v>16</v>
      </c>
      <c r="G766" s="47" t="s">
        <v>146</v>
      </c>
      <c r="H766" s="43" t="str">
        <f>VLOOKUP(G766,'02_Menu_Lookup'!$A$2:$C$16,2,FALSE)</f>
        <v>Grills</v>
      </c>
      <c r="I766" s="48">
        <v>3</v>
      </c>
      <c r="J766" s="49">
        <v>16000</v>
      </c>
      <c r="K766" s="49">
        <v>48000</v>
      </c>
      <c r="L766" s="47" t="s">
        <v>22</v>
      </c>
      <c r="M766" s="46">
        <v>0</v>
      </c>
      <c r="N766" s="48" t="s">
        <v>23</v>
      </c>
      <c r="O766" s="47" t="s">
        <v>73</v>
      </c>
    </row>
    <row r="767" ht="14.25" customHeight="1" spans="1:15">
      <c r="A767" s="43" t="s">
        <v>1646</v>
      </c>
      <c r="B767" s="44">
        <v>46150</v>
      </c>
      <c r="C767" s="45">
        <v>0.529861111111111</v>
      </c>
      <c r="D767" s="46">
        <f t="shared" si="0"/>
        <v>12</v>
      </c>
      <c r="E767" s="47" t="str">
        <f t="shared" si="7"/>
        <v>Friday</v>
      </c>
      <c r="F767" s="47" t="s">
        <v>107</v>
      </c>
      <c r="G767" s="47" t="s">
        <v>63</v>
      </c>
      <c r="H767" s="43" t="s">
        <v>18</v>
      </c>
      <c r="I767" s="48">
        <v>1</v>
      </c>
      <c r="J767" s="49">
        <f>K767/I767</f>
        <v>1500</v>
      </c>
      <c r="K767" s="49">
        <v>1500</v>
      </c>
      <c r="L767" s="47" t="s">
        <v>22</v>
      </c>
      <c r="M767" s="46">
        <v>0</v>
      </c>
      <c r="N767" s="48" t="s">
        <v>23</v>
      </c>
      <c r="O767" s="47" t="s">
        <v>24</v>
      </c>
    </row>
    <row r="768" ht="14.25" customHeight="1" spans="1:15">
      <c r="A768" s="43" t="s">
        <v>1647</v>
      </c>
      <c r="B768" s="44">
        <v>46150</v>
      </c>
      <c r="C768" s="45">
        <v>0.745138888888889</v>
      </c>
      <c r="D768" s="46">
        <f t="shared" si="0"/>
        <v>17</v>
      </c>
      <c r="E768" s="47" t="str">
        <f t="shared" si="7"/>
        <v>Friday</v>
      </c>
      <c r="F768" s="47" t="s">
        <v>107</v>
      </c>
      <c r="G768" s="47" t="s">
        <v>95</v>
      </c>
      <c r="H768" s="43" t="s">
        <v>45</v>
      </c>
      <c r="I768" s="48">
        <v>1</v>
      </c>
      <c r="J768" s="49">
        <v>5000</v>
      </c>
      <c r="K768" s="50">
        <v>4500</v>
      </c>
      <c r="L768" s="47" t="s">
        <v>22</v>
      </c>
      <c r="M768" s="51">
        <v>0.1</v>
      </c>
      <c r="N768" s="48">
        <v>3</v>
      </c>
      <c r="O768" s="47" t="s">
        <v>24</v>
      </c>
    </row>
    <row r="769" ht="14.25" customHeight="1" spans="1:15">
      <c r="A769" s="43" t="s">
        <v>1649</v>
      </c>
      <c r="B769" s="44">
        <v>46150</v>
      </c>
      <c r="C769" s="45">
        <v>0.758333333333333</v>
      </c>
      <c r="D769" s="46">
        <f t="shared" si="0"/>
        <v>18</v>
      </c>
      <c r="E769" s="47" t="str">
        <f t="shared" si="7"/>
        <v>Friday</v>
      </c>
      <c r="F769" s="47" t="s">
        <v>43</v>
      </c>
      <c r="G769" s="47" t="s">
        <v>63</v>
      </c>
      <c r="H769" s="43" t="s">
        <v>18</v>
      </c>
      <c r="I769" s="48">
        <v>2</v>
      </c>
      <c r="J769" s="49">
        <v>1500</v>
      </c>
      <c r="K769" s="49">
        <v>3000</v>
      </c>
      <c r="L769" s="47" t="s">
        <v>32</v>
      </c>
      <c r="M769" s="46">
        <v>0</v>
      </c>
      <c r="N769" s="48">
        <v>3</v>
      </c>
      <c r="O769" s="47" t="s">
        <v>73</v>
      </c>
    </row>
    <row r="770" ht="14.25" customHeight="1" spans="1:15">
      <c r="A770" s="43" t="s">
        <v>1651</v>
      </c>
      <c r="B770" s="44">
        <v>46150</v>
      </c>
      <c r="C770" s="45">
        <v>0.829166666666667</v>
      </c>
      <c r="D770" s="46">
        <f t="shared" si="0"/>
        <v>19</v>
      </c>
      <c r="E770" s="47" t="str">
        <f t="shared" si="7"/>
        <v>Friday</v>
      </c>
      <c r="F770" s="47" t="s">
        <v>43</v>
      </c>
      <c r="G770" s="47" t="s">
        <v>81</v>
      </c>
      <c r="H770" s="43" t="s">
        <v>37</v>
      </c>
      <c r="I770" s="48">
        <v>1</v>
      </c>
      <c r="J770" s="49">
        <v>6000</v>
      </c>
      <c r="K770" s="49">
        <v>6000</v>
      </c>
      <c r="L770" s="47" t="s">
        <v>22</v>
      </c>
      <c r="M770" s="46">
        <v>0</v>
      </c>
      <c r="N770" s="48" t="s">
        <v>23</v>
      </c>
      <c r="O770" s="47" t="s">
        <v>24</v>
      </c>
    </row>
    <row r="771" ht="14.25" customHeight="1" spans="1:15">
      <c r="A771" s="43" t="s">
        <v>1652</v>
      </c>
      <c r="B771" s="44">
        <v>46239</v>
      </c>
      <c r="C771" s="45">
        <v>0.840277777777778</v>
      </c>
      <c r="D771" s="46">
        <f t="shared" si="0"/>
        <v>20</v>
      </c>
      <c r="E771" s="47" t="str">
        <f t="shared" si="7"/>
        <v>Wednesday</v>
      </c>
      <c r="F771" s="47" t="s">
        <v>107</v>
      </c>
      <c r="G771" s="43" t="s">
        <v>36</v>
      </c>
      <c r="H771" s="43" t="str">
        <f>VLOOKUP(G771,'02_Menu_Lookup'!$A$2:$C$16,2,FALSE)</f>
        <v>Sandwiches</v>
      </c>
      <c r="I771" s="48">
        <v>1</v>
      </c>
      <c r="J771" s="49">
        <v>3000</v>
      </c>
      <c r="K771" s="49">
        <v>3000</v>
      </c>
      <c r="L771" s="47" t="s">
        <v>22</v>
      </c>
      <c r="M771" s="46">
        <v>0</v>
      </c>
      <c r="N771" s="48" t="s">
        <v>23</v>
      </c>
      <c r="O771" s="47" t="s">
        <v>73</v>
      </c>
    </row>
    <row r="772" ht="14.25" customHeight="1" spans="1:15">
      <c r="A772" s="43" t="s">
        <v>1654</v>
      </c>
      <c r="B772" s="44">
        <v>46150</v>
      </c>
      <c r="C772" s="45">
        <v>0.8625</v>
      </c>
      <c r="D772" s="46">
        <f t="shared" si="0"/>
        <v>20</v>
      </c>
      <c r="E772" s="47" t="str">
        <f t="shared" si="7"/>
        <v>Friday</v>
      </c>
      <c r="F772" s="47" t="s">
        <v>16</v>
      </c>
      <c r="G772" s="47" t="s">
        <v>17</v>
      </c>
      <c r="H772" s="43" t="s">
        <v>18</v>
      </c>
      <c r="I772" s="48">
        <v>1</v>
      </c>
      <c r="J772" s="49">
        <v>1000</v>
      </c>
      <c r="K772" s="49">
        <v>1000</v>
      </c>
      <c r="L772" s="47" t="s">
        <v>22</v>
      </c>
      <c r="M772" s="46">
        <v>0</v>
      </c>
      <c r="N772" s="48" t="s">
        <v>23</v>
      </c>
      <c r="O772" s="47" t="s">
        <v>33</v>
      </c>
    </row>
    <row r="773" ht="14.25" customHeight="1" spans="1:15">
      <c r="A773" s="43" t="s">
        <v>1655</v>
      </c>
      <c r="B773" s="44">
        <v>46150</v>
      </c>
      <c r="C773" s="45">
        <v>0.867361111111111</v>
      </c>
      <c r="D773" s="46">
        <f t="shared" si="0"/>
        <v>20</v>
      </c>
      <c r="E773" s="47" t="str">
        <f t="shared" si="7"/>
        <v>Friday</v>
      </c>
      <c r="F773" s="47" t="s">
        <v>43</v>
      </c>
      <c r="G773" s="47" t="s">
        <v>95</v>
      </c>
      <c r="H773" s="43" t="s">
        <v>45</v>
      </c>
      <c r="I773" s="48">
        <v>1</v>
      </c>
      <c r="J773" s="49">
        <v>5000</v>
      </c>
      <c r="K773" s="49">
        <v>5000</v>
      </c>
      <c r="L773" s="47" t="s">
        <v>32</v>
      </c>
      <c r="M773" s="46">
        <v>0</v>
      </c>
      <c r="N773" s="48">
        <v>4</v>
      </c>
      <c r="O773" s="47" t="s">
        <v>73</v>
      </c>
    </row>
    <row r="774" ht="14.25" customHeight="1" spans="1:15">
      <c r="A774" s="43" t="s">
        <v>1658</v>
      </c>
      <c r="B774" s="44">
        <v>46150</v>
      </c>
      <c r="C774" s="45">
        <v>0.885416666666667</v>
      </c>
      <c r="D774" s="46">
        <f t="shared" si="0"/>
        <v>21</v>
      </c>
      <c r="E774" s="47" t="str">
        <f t="shared" si="7"/>
        <v>Friday</v>
      </c>
      <c r="F774" s="47" t="s">
        <v>107</v>
      </c>
      <c r="G774" s="47" t="s">
        <v>27</v>
      </c>
      <c r="H774" s="43" t="s">
        <v>28</v>
      </c>
      <c r="I774" s="48">
        <v>1</v>
      </c>
      <c r="J774" s="49">
        <v>15000</v>
      </c>
      <c r="K774" s="49">
        <v>15000</v>
      </c>
      <c r="L774" s="47" t="s">
        <v>22</v>
      </c>
      <c r="M774" s="46">
        <v>0</v>
      </c>
      <c r="N774" s="48" t="s">
        <v>23</v>
      </c>
      <c r="O774" s="47" t="s">
        <v>47</v>
      </c>
    </row>
    <row r="775" ht="14.25" customHeight="1" spans="1:15">
      <c r="A775" s="43" t="s">
        <v>1659</v>
      </c>
      <c r="B775" s="44">
        <v>46239</v>
      </c>
      <c r="C775" s="45">
        <v>0.900694444444444</v>
      </c>
      <c r="D775" s="46">
        <f t="shared" si="0"/>
        <v>21</v>
      </c>
      <c r="E775" s="47" t="str">
        <f t="shared" si="7"/>
        <v>Wednesday</v>
      </c>
      <c r="F775" s="47" t="s">
        <v>16</v>
      </c>
      <c r="G775" s="47" t="s">
        <v>103</v>
      </c>
      <c r="H775" s="43" t="s">
        <v>37</v>
      </c>
      <c r="I775" s="48">
        <v>1</v>
      </c>
      <c r="J775" s="49">
        <v>5000</v>
      </c>
      <c r="K775" s="49">
        <v>5000</v>
      </c>
      <c r="L775" s="47" t="s">
        <v>22</v>
      </c>
      <c r="M775" s="46">
        <v>0</v>
      </c>
      <c r="N775" s="48">
        <v>4</v>
      </c>
      <c r="O775" s="47" t="s">
        <v>47</v>
      </c>
    </row>
    <row r="776" ht="14.25" customHeight="1" spans="1:15">
      <c r="A776" s="43" t="s">
        <v>1660</v>
      </c>
      <c r="B776" s="44">
        <v>46150</v>
      </c>
      <c r="C776" s="45">
        <v>0.941666666666667</v>
      </c>
      <c r="D776" s="46">
        <f t="shared" si="0"/>
        <v>22</v>
      </c>
      <c r="E776" s="47" t="str">
        <f t="shared" si="7"/>
        <v>Friday</v>
      </c>
      <c r="F776" s="47" t="s">
        <v>16</v>
      </c>
      <c r="G776" s="47" t="s">
        <v>44</v>
      </c>
      <c r="H776" s="43" t="s">
        <v>45</v>
      </c>
      <c r="I776" s="48">
        <v>3</v>
      </c>
      <c r="J776" s="49">
        <v>4000</v>
      </c>
      <c r="K776" s="49">
        <v>12000</v>
      </c>
      <c r="L776" s="47" t="s">
        <v>22</v>
      </c>
      <c r="M776" s="46">
        <v>0</v>
      </c>
      <c r="N776" s="48">
        <v>3</v>
      </c>
      <c r="O776" s="47" t="s">
        <v>47</v>
      </c>
    </row>
    <row r="777" ht="14.25" customHeight="1" spans="1:15">
      <c r="A777" s="43" t="s">
        <v>1662</v>
      </c>
      <c r="B777" s="44">
        <v>46150</v>
      </c>
      <c r="C777" s="45">
        <v>0.964583333333333</v>
      </c>
      <c r="D777" s="46">
        <f t="shared" si="0"/>
        <v>23</v>
      </c>
      <c r="E777" s="47" t="str">
        <f t="shared" si="7"/>
        <v>Friday</v>
      </c>
      <c r="F777" s="47" t="s">
        <v>43</v>
      </c>
      <c r="G777" s="43" t="s">
        <v>36</v>
      </c>
      <c r="H777" s="43" t="s">
        <v>37</v>
      </c>
      <c r="I777" s="48">
        <v>1</v>
      </c>
      <c r="J777" s="49">
        <v>3000</v>
      </c>
      <c r="K777" s="49">
        <v>3000</v>
      </c>
      <c r="L777" s="47" t="s">
        <v>22</v>
      </c>
      <c r="M777" s="46">
        <v>0</v>
      </c>
      <c r="N777" s="48" t="s">
        <v>23</v>
      </c>
      <c r="O777" s="47" t="s">
        <v>73</v>
      </c>
    </row>
    <row r="778" ht="14.25" customHeight="1" spans="1:15">
      <c r="A778" s="43" t="s">
        <v>1664</v>
      </c>
      <c r="B778" s="44">
        <v>46151</v>
      </c>
      <c r="C778" s="45">
        <v>0.5</v>
      </c>
      <c r="D778" s="46">
        <f t="shared" si="0"/>
        <v>12</v>
      </c>
      <c r="E778" s="47" t="str">
        <f t="shared" si="7"/>
        <v>Saturday</v>
      </c>
      <c r="F778" s="47" t="s">
        <v>16</v>
      </c>
      <c r="G778" s="47" t="s">
        <v>44</v>
      </c>
      <c r="H778" s="43" t="s">
        <v>45</v>
      </c>
      <c r="I778" s="48">
        <v>1</v>
      </c>
      <c r="J778" s="49">
        <v>4000</v>
      </c>
      <c r="K778" s="49">
        <v>4000</v>
      </c>
      <c r="L778" s="47" t="s">
        <v>22</v>
      </c>
      <c r="M778" s="46">
        <v>0</v>
      </c>
      <c r="N778" s="48" t="s">
        <v>23</v>
      </c>
      <c r="O778" s="47" t="s">
        <v>47</v>
      </c>
    </row>
    <row r="779" ht="14.25" customHeight="1" spans="1:15">
      <c r="A779" s="43" t="s">
        <v>1667</v>
      </c>
      <c r="B779" s="44">
        <v>46151</v>
      </c>
      <c r="C779" s="45">
        <v>0.584027777777778</v>
      </c>
      <c r="D779" s="46">
        <f t="shared" si="0"/>
        <v>14</v>
      </c>
      <c r="E779" s="47" t="str">
        <f t="shared" si="7"/>
        <v>Saturday</v>
      </c>
      <c r="F779" s="47" t="s">
        <v>43</v>
      </c>
      <c r="G779" s="47" t="s">
        <v>63</v>
      </c>
      <c r="H779" s="43" t="s">
        <v>18</v>
      </c>
      <c r="I779" s="48">
        <v>1</v>
      </c>
      <c r="J779" s="49">
        <v>1500</v>
      </c>
      <c r="K779" s="49">
        <v>1500</v>
      </c>
      <c r="L779" s="47" t="s">
        <v>32</v>
      </c>
      <c r="M779" s="46">
        <v>0</v>
      </c>
      <c r="N779" s="48">
        <v>3</v>
      </c>
      <c r="O779" s="47" t="s">
        <v>33</v>
      </c>
    </row>
    <row r="780" ht="14.25" customHeight="1" spans="1:15">
      <c r="A780" s="43" t="s">
        <v>1668</v>
      </c>
      <c r="B780" s="44">
        <v>46151</v>
      </c>
      <c r="C780" s="45">
        <v>0.586805555555556</v>
      </c>
      <c r="D780" s="46">
        <f t="shared" si="0"/>
        <v>14</v>
      </c>
      <c r="E780" s="47" t="str">
        <f t="shared" si="7"/>
        <v>Saturday</v>
      </c>
      <c r="F780" s="47" t="s">
        <v>16</v>
      </c>
      <c r="G780" s="43" t="s">
        <v>36</v>
      </c>
      <c r="H780" s="43" t="s">
        <v>37</v>
      </c>
      <c r="I780" s="48">
        <v>3</v>
      </c>
      <c r="J780" s="49">
        <v>3000</v>
      </c>
      <c r="K780" s="49">
        <v>9000</v>
      </c>
      <c r="L780" s="47" t="s">
        <v>22</v>
      </c>
      <c r="M780" s="46">
        <v>0</v>
      </c>
      <c r="N780" s="48" t="s">
        <v>23</v>
      </c>
      <c r="O780" s="47" t="s">
        <v>47</v>
      </c>
    </row>
    <row r="781" ht="14.25" customHeight="1" spans="1:15">
      <c r="A781" s="43" t="s">
        <v>1669</v>
      </c>
      <c r="B781" s="44">
        <v>46151</v>
      </c>
      <c r="C781" s="45">
        <v>0.793055555555556</v>
      </c>
      <c r="D781" s="46">
        <f t="shared" si="0"/>
        <v>19</v>
      </c>
      <c r="E781" s="47" t="str">
        <f t="shared" si="7"/>
        <v>Saturday</v>
      </c>
      <c r="F781" s="47" t="s">
        <v>16</v>
      </c>
      <c r="G781" s="47" t="s">
        <v>44</v>
      </c>
      <c r="H781" s="43" t="s">
        <v>45</v>
      </c>
      <c r="I781" s="48">
        <v>1</v>
      </c>
      <c r="J781" s="49">
        <v>4000</v>
      </c>
      <c r="K781" s="49">
        <f>I781*J781</f>
        <v>4000</v>
      </c>
      <c r="L781" s="47" t="s">
        <v>22</v>
      </c>
      <c r="M781" s="46">
        <v>0</v>
      </c>
      <c r="N781" s="48">
        <v>4</v>
      </c>
      <c r="O781" s="47" t="s">
        <v>33</v>
      </c>
    </row>
    <row r="782" ht="14.25" customHeight="1" spans="1:15">
      <c r="A782" s="43" t="s">
        <v>1670</v>
      </c>
      <c r="B782" s="44">
        <v>46151</v>
      </c>
      <c r="C782" s="45">
        <v>0.818055555555556</v>
      </c>
      <c r="D782" s="46">
        <f t="shared" si="0"/>
        <v>19</v>
      </c>
      <c r="E782" s="47" t="str">
        <f t="shared" si="7"/>
        <v>Saturday</v>
      </c>
      <c r="F782" s="47" t="s">
        <v>16</v>
      </c>
      <c r="G782" s="43" t="s">
        <v>165</v>
      </c>
      <c r="H782" s="43" t="s">
        <v>109</v>
      </c>
      <c r="I782" s="48">
        <v>1</v>
      </c>
      <c r="J782" s="49">
        <v>6000</v>
      </c>
      <c r="K782" s="49">
        <v>6000</v>
      </c>
      <c r="L782" s="47" t="s">
        <v>22</v>
      </c>
      <c r="M782" s="46">
        <v>0</v>
      </c>
      <c r="N782" s="48">
        <v>4</v>
      </c>
      <c r="O782" s="47" t="s">
        <v>40</v>
      </c>
    </row>
    <row r="783" ht="14.25" customHeight="1" spans="1:15">
      <c r="A783" s="43" t="s">
        <v>1671</v>
      </c>
      <c r="B783" s="44">
        <v>46151</v>
      </c>
      <c r="C783" s="45">
        <v>0.81875</v>
      </c>
      <c r="D783" s="46">
        <f t="shared" si="0"/>
        <v>19</v>
      </c>
      <c r="E783" s="47" t="str">
        <f t="shared" si="7"/>
        <v>Saturday</v>
      </c>
      <c r="F783" s="47" t="s">
        <v>16</v>
      </c>
      <c r="G783" s="47" t="s">
        <v>44</v>
      </c>
      <c r="H783" s="43" t="s">
        <v>45</v>
      </c>
      <c r="I783" s="48">
        <v>1</v>
      </c>
      <c r="J783" s="49">
        <v>4000</v>
      </c>
      <c r="K783" s="49">
        <v>4000</v>
      </c>
      <c r="L783" s="47" t="s">
        <v>32</v>
      </c>
      <c r="M783" s="46">
        <v>0</v>
      </c>
      <c r="N783" s="48" t="s">
        <v>23</v>
      </c>
      <c r="O783" s="47" t="s">
        <v>24</v>
      </c>
    </row>
    <row r="784" ht="14.25" customHeight="1" spans="1:15">
      <c r="A784" s="43" t="s">
        <v>1672</v>
      </c>
      <c r="B784" s="44">
        <v>46151</v>
      </c>
      <c r="C784" s="45">
        <v>0.868055555555556</v>
      </c>
      <c r="D784" s="46">
        <f t="shared" si="0"/>
        <v>20</v>
      </c>
      <c r="E784" s="47" t="str">
        <f t="shared" si="7"/>
        <v>Saturday</v>
      </c>
      <c r="F784" s="47" t="s">
        <v>43</v>
      </c>
      <c r="G784" s="47" t="s">
        <v>63</v>
      </c>
      <c r="H784" s="43" t="s">
        <v>18</v>
      </c>
      <c r="I784" s="48">
        <v>1</v>
      </c>
      <c r="J784" s="49">
        <v>1500</v>
      </c>
      <c r="K784" s="49">
        <v>1500</v>
      </c>
      <c r="L784" s="47" t="s">
        <v>22</v>
      </c>
      <c r="M784" s="46">
        <v>0</v>
      </c>
      <c r="N784" s="48" t="s">
        <v>23</v>
      </c>
      <c r="O784" s="47" t="s">
        <v>40</v>
      </c>
    </row>
    <row r="785" ht="14.25" customHeight="1" spans="1:15">
      <c r="A785" s="43" t="s">
        <v>1673</v>
      </c>
      <c r="B785" s="44">
        <v>46151</v>
      </c>
      <c r="C785" s="45">
        <v>0.897916666666667</v>
      </c>
      <c r="D785" s="46">
        <f t="shared" si="0"/>
        <v>21</v>
      </c>
      <c r="E785" s="47" t="str">
        <f t="shared" si="7"/>
        <v>Saturday</v>
      </c>
      <c r="F785" s="47" t="s">
        <v>16</v>
      </c>
      <c r="G785" s="47" t="s">
        <v>103</v>
      </c>
      <c r="H785" s="43" t="s">
        <v>37</v>
      </c>
      <c r="I785" s="48">
        <v>1</v>
      </c>
      <c r="J785" s="49">
        <v>5000</v>
      </c>
      <c r="K785" s="49">
        <v>5000</v>
      </c>
      <c r="L785" s="47" t="s">
        <v>22</v>
      </c>
      <c r="M785" s="46">
        <v>0</v>
      </c>
      <c r="N785" s="48" t="s">
        <v>23</v>
      </c>
      <c r="O785" s="47" t="s">
        <v>40</v>
      </c>
    </row>
    <row r="786" ht="14.25" customHeight="1" spans="1:15">
      <c r="A786" s="43" t="s">
        <v>1674</v>
      </c>
      <c r="B786" s="44">
        <v>46151</v>
      </c>
      <c r="C786" s="45">
        <v>0.899305555555556</v>
      </c>
      <c r="D786" s="46">
        <f t="shared" si="0"/>
        <v>21</v>
      </c>
      <c r="E786" s="47" t="str">
        <f t="shared" si="7"/>
        <v>Saturday</v>
      </c>
      <c r="F786" s="47" t="s">
        <v>43</v>
      </c>
      <c r="G786" s="47" t="s">
        <v>63</v>
      </c>
      <c r="H786" s="43" t="s">
        <v>18</v>
      </c>
      <c r="I786" s="48">
        <v>2</v>
      </c>
      <c r="J786" s="49">
        <v>1500</v>
      </c>
      <c r="K786" s="49">
        <v>3000</v>
      </c>
      <c r="L786" s="47" t="s">
        <v>32</v>
      </c>
      <c r="M786" s="46">
        <v>0</v>
      </c>
      <c r="N786" s="48">
        <v>4</v>
      </c>
      <c r="O786" s="47" t="s">
        <v>24</v>
      </c>
    </row>
    <row r="787" ht="14.25" customHeight="1" spans="1:15">
      <c r="A787" s="43" t="s">
        <v>1675</v>
      </c>
      <c r="B787" s="44">
        <v>46151</v>
      </c>
      <c r="C787" s="45">
        <v>0.901388888888889</v>
      </c>
      <c r="D787" s="46">
        <f t="shared" si="0"/>
        <v>21</v>
      </c>
      <c r="E787" s="47" t="str">
        <f t="shared" si="7"/>
        <v>Saturday</v>
      </c>
      <c r="F787" s="47" t="s">
        <v>16</v>
      </c>
      <c r="G787" s="47" t="s">
        <v>103</v>
      </c>
      <c r="H787" s="43" t="s">
        <v>37</v>
      </c>
      <c r="I787" s="48">
        <v>1</v>
      </c>
      <c r="J787" s="49">
        <v>5000</v>
      </c>
      <c r="K787" s="49">
        <v>5000</v>
      </c>
      <c r="L787" s="47" t="s">
        <v>22</v>
      </c>
      <c r="M787" s="46">
        <v>0</v>
      </c>
      <c r="N787" s="48">
        <v>4</v>
      </c>
      <c r="O787" s="47" t="s">
        <v>73</v>
      </c>
    </row>
    <row r="788" ht="14.25" customHeight="1" spans="1:15">
      <c r="A788" s="43" t="s">
        <v>1676</v>
      </c>
      <c r="B788" s="44">
        <v>46151</v>
      </c>
      <c r="C788" s="45">
        <v>0.901388888888889</v>
      </c>
      <c r="D788" s="46">
        <f t="shared" si="0"/>
        <v>21</v>
      </c>
      <c r="E788" s="47" t="str">
        <f t="shared" si="7"/>
        <v>Saturday</v>
      </c>
      <c r="F788" s="47" t="s">
        <v>107</v>
      </c>
      <c r="G788" s="47" t="s">
        <v>81</v>
      </c>
      <c r="H788" s="43" t="s">
        <v>37</v>
      </c>
      <c r="I788" s="48">
        <v>1</v>
      </c>
      <c r="J788" s="49">
        <v>6000</v>
      </c>
      <c r="K788" s="49">
        <v>6000</v>
      </c>
      <c r="L788" s="47" t="s">
        <v>22</v>
      </c>
      <c r="M788" s="46">
        <v>0</v>
      </c>
      <c r="N788" s="48">
        <v>4</v>
      </c>
      <c r="O788" s="47" t="s">
        <v>33</v>
      </c>
    </row>
    <row r="789" ht="14.25" customHeight="1" spans="1:15">
      <c r="A789" s="43" t="s">
        <v>1677</v>
      </c>
      <c r="B789" s="44">
        <v>46151</v>
      </c>
      <c r="C789" s="45">
        <v>0.909027777777778</v>
      </c>
      <c r="D789" s="46">
        <f t="shared" si="0"/>
        <v>21</v>
      </c>
      <c r="E789" s="47" t="str">
        <f t="shared" si="7"/>
        <v>Saturday</v>
      </c>
      <c r="F789" s="47" t="s">
        <v>16</v>
      </c>
      <c r="G789" s="47" t="s">
        <v>63</v>
      </c>
      <c r="H789" s="43" t="s">
        <v>18</v>
      </c>
      <c r="I789" s="48">
        <v>1</v>
      </c>
      <c r="J789" s="49">
        <v>1500</v>
      </c>
      <c r="K789" s="49">
        <v>1500</v>
      </c>
      <c r="L789" s="47" t="s">
        <v>22</v>
      </c>
      <c r="M789" s="46">
        <v>0</v>
      </c>
      <c r="N789" s="48">
        <v>4</v>
      </c>
      <c r="O789" s="47" t="s">
        <v>33</v>
      </c>
    </row>
    <row r="790" ht="14.25" customHeight="1" spans="1:15">
      <c r="A790" s="43" t="s">
        <v>1678</v>
      </c>
      <c r="B790" s="44">
        <v>46151</v>
      </c>
      <c r="C790" s="45">
        <v>0.909722222222222</v>
      </c>
      <c r="D790" s="46">
        <f t="shared" si="0"/>
        <v>21</v>
      </c>
      <c r="E790" s="47" t="str">
        <f t="shared" si="7"/>
        <v>Saturday</v>
      </c>
      <c r="F790" s="47" t="s">
        <v>16</v>
      </c>
      <c r="G790" s="47" t="s">
        <v>44</v>
      </c>
      <c r="H790" s="43" t="s">
        <v>45</v>
      </c>
      <c r="I790" s="48">
        <v>2</v>
      </c>
      <c r="J790" s="49">
        <v>4000</v>
      </c>
      <c r="K790" s="49">
        <v>8000</v>
      </c>
      <c r="L790" s="47" t="s">
        <v>22</v>
      </c>
      <c r="M790" s="46">
        <v>0</v>
      </c>
      <c r="N790" s="48">
        <v>5</v>
      </c>
      <c r="O790" s="47" t="s">
        <v>40</v>
      </c>
    </row>
    <row r="791" ht="14.25" customHeight="1" spans="1:15">
      <c r="A791" s="43" t="s">
        <v>1680</v>
      </c>
      <c r="B791" s="44">
        <v>46151</v>
      </c>
      <c r="C791" s="45">
        <v>0.927083333333333</v>
      </c>
      <c r="D791" s="46">
        <f t="shared" si="0"/>
        <v>22</v>
      </c>
      <c r="E791" s="47" t="str">
        <f t="shared" si="7"/>
        <v>Saturday</v>
      </c>
      <c r="F791" s="47" t="s">
        <v>16</v>
      </c>
      <c r="G791" s="47" t="s">
        <v>367</v>
      </c>
      <c r="H791" s="47" t="s">
        <v>109</v>
      </c>
      <c r="I791" s="48">
        <v>1</v>
      </c>
      <c r="J791" s="49">
        <v>7000</v>
      </c>
      <c r="K791" s="49">
        <v>7000</v>
      </c>
      <c r="L791" s="47" t="s">
        <v>32</v>
      </c>
      <c r="M791" s="46">
        <v>0</v>
      </c>
      <c r="N791" s="48">
        <v>4</v>
      </c>
      <c r="O791" s="47" t="s">
        <v>40</v>
      </c>
    </row>
    <row r="792" ht="14.25" customHeight="1" spans="1:15">
      <c r="A792" s="43" t="s">
        <v>1683</v>
      </c>
      <c r="B792" s="44">
        <v>46151</v>
      </c>
      <c r="C792" s="45">
        <v>0.941666666666667</v>
      </c>
      <c r="D792" s="46">
        <f t="shared" si="0"/>
        <v>22</v>
      </c>
      <c r="E792" s="47" t="str">
        <f t="shared" si="7"/>
        <v>Saturday</v>
      </c>
      <c r="F792" s="47" t="s">
        <v>43</v>
      </c>
      <c r="G792" s="43" t="s">
        <v>36</v>
      </c>
      <c r="H792" s="43" t="s">
        <v>37</v>
      </c>
      <c r="I792" s="48">
        <v>1</v>
      </c>
      <c r="J792" s="49">
        <v>3000</v>
      </c>
      <c r="K792" s="49">
        <v>3000</v>
      </c>
      <c r="L792" s="47" t="s">
        <v>32</v>
      </c>
      <c r="M792" s="46">
        <v>0</v>
      </c>
      <c r="N792" s="48" t="s">
        <v>23</v>
      </c>
      <c r="O792" s="47" t="s">
        <v>33</v>
      </c>
    </row>
    <row r="793" ht="14.25" customHeight="1" spans="1:15">
      <c r="A793" s="43" t="s">
        <v>1684</v>
      </c>
      <c r="B793" s="44">
        <v>46152</v>
      </c>
      <c r="C793" s="45">
        <v>0.703472222222222</v>
      </c>
      <c r="D793" s="46">
        <f t="shared" si="0"/>
        <v>16</v>
      </c>
      <c r="E793" s="47" t="str">
        <f t="shared" si="7"/>
        <v>Sunday</v>
      </c>
      <c r="F793" s="47" t="s">
        <v>16</v>
      </c>
      <c r="G793" s="47" t="s">
        <v>63</v>
      </c>
      <c r="H793" s="43" t="s">
        <v>18</v>
      </c>
      <c r="I793" s="48">
        <v>1</v>
      </c>
      <c r="J793" s="49">
        <v>1500</v>
      </c>
      <c r="K793" s="49">
        <v>1500</v>
      </c>
      <c r="L793" s="47" t="s">
        <v>22</v>
      </c>
      <c r="M793" s="46">
        <v>0</v>
      </c>
      <c r="N793" s="48" t="s">
        <v>23</v>
      </c>
      <c r="O793" s="47" t="s">
        <v>47</v>
      </c>
    </row>
    <row r="794" ht="14.25" customHeight="1" spans="1:15">
      <c r="A794" s="43" t="s">
        <v>1686</v>
      </c>
      <c r="B794" s="44">
        <v>46152</v>
      </c>
      <c r="C794" s="45">
        <v>0.797222222222222</v>
      </c>
      <c r="D794" s="46">
        <f t="shared" si="0"/>
        <v>19</v>
      </c>
      <c r="E794" s="47" t="str">
        <f t="shared" si="7"/>
        <v>Sunday</v>
      </c>
      <c r="F794" s="47" t="s">
        <v>16</v>
      </c>
      <c r="G794" s="47" t="s">
        <v>367</v>
      </c>
      <c r="H794" s="43" t="s">
        <v>109</v>
      </c>
      <c r="I794" s="48">
        <v>1</v>
      </c>
      <c r="J794" s="49">
        <v>7000</v>
      </c>
      <c r="K794" s="49">
        <v>7000</v>
      </c>
      <c r="L794" s="47" t="s">
        <v>32</v>
      </c>
      <c r="M794" s="46">
        <v>0</v>
      </c>
      <c r="N794" s="48" t="s">
        <v>23</v>
      </c>
      <c r="O794" s="47" t="s">
        <v>40</v>
      </c>
    </row>
    <row r="795" ht="14.25" customHeight="1" spans="1:15">
      <c r="A795" s="43" t="s">
        <v>1688</v>
      </c>
      <c r="B795" s="44">
        <v>46152</v>
      </c>
      <c r="C795" s="45">
        <v>0.896527777777778</v>
      </c>
      <c r="D795" s="46">
        <f t="shared" si="0"/>
        <v>21</v>
      </c>
      <c r="E795" s="47" t="str">
        <f t="shared" si="7"/>
        <v>Sunday</v>
      </c>
      <c r="F795" s="47" t="s">
        <v>16</v>
      </c>
      <c r="G795" s="47" t="s">
        <v>146</v>
      </c>
      <c r="H795" s="43" t="s">
        <v>28</v>
      </c>
      <c r="I795" s="48">
        <v>1</v>
      </c>
      <c r="J795" s="49">
        <v>16000</v>
      </c>
      <c r="K795" s="49">
        <v>16000</v>
      </c>
      <c r="L795" s="47" t="s">
        <v>32</v>
      </c>
      <c r="M795" s="46">
        <v>0</v>
      </c>
      <c r="N795" s="48">
        <v>5</v>
      </c>
      <c r="O795" s="47" t="s">
        <v>40</v>
      </c>
    </row>
    <row r="796" ht="14.25" customHeight="1" spans="1:15">
      <c r="A796" s="43" t="s">
        <v>1689</v>
      </c>
      <c r="B796" s="44">
        <v>46152</v>
      </c>
      <c r="C796" s="45">
        <v>0.95</v>
      </c>
      <c r="D796" s="46">
        <f t="shared" si="0"/>
        <v>22</v>
      </c>
      <c r="E796" s="47" t="str">
        <f t="shared" si="7"/>
        <v>Sunday</v>
      </c>
      <c r="F796" s="47" t="s">
        <v>43</v>
      </c>
      <c r="G796" s="47" t="s">
        <v>17</v>
      </c>
      <c r="H796" s="43" t="s">
        <v>18</v>
      </c>
      <c r="I796" s="48">
        <v>1</v>
      </c>
      <c r="J796" s="49">
        <v>1000</v>
      </c>
      <c r="K796" s="49">
        <v>1000</v>
      </c>
      <c r="L796" s="47" t="s">
        <v>32</v>
      </c>
      <c r="M796" s="46">
        <v>0</v>
      </c>
      <c r="N796" s="48" t="s">
        <v>23</v>
      </c>
      <c r="O796" s="47" t="s">
        <v>47</v>
      </c>
    </row>
    <row r="797" ht="14.25" customHeight="1" spans="1:15">
      <c r="A797" s="43" t="s">
        <v>1690</v>
      </c>
      <c r="B797" s="44">
        <v>46152</v>
      </c>
      <c r="C797" s="45">
        <v>0.972916666666667</v>
      </c>
      <c r="D797" s="46">
        <f t="shared" si="0"/>
        <v>23</v>
      </c>
      <c r="E797" s="47" t="str">
        <f t="shared" si="7"/>
        <v>Sunday</v>
      </c>
      <c r="F797" s="47" t="s">
        <v>43</v>
      </c>
      <c r="G797" s="47" t="s">
        <v>103</v>
      </c>
      <c r="H797" s="47" t="s">
        <v>37</v>
      </c>
      <c r="I797" s="48">
        <v>1</v>
      </c>
      <c r="J797" s="49">
        <v>5000</v>
      </c>
      <c r="K797" s="49">
        <v>5000</v>
      </c>
      <c r="L797" s="47" t="s">
        <v>22</v>
      </c>
      <c r="M797" s="46">
        <v>0</v>
      </c>
      <c r="N797" s="48" t="s">
        <v>23</v>
      </c>
      <c r="O797" s="47" t="s">
        <v>40</v>
      </c>
    </row>
    <row r="798" ht="14.25" customHeight="1" spans="1:15">
      <c r="A798" s="43" t="s">
        <v>1692</v>
      </c>
      <c r="B798" s="44">
        <v>46331</v>
      </c>
      <c r="C798" s="45">
        <v>0.495138888888889</v>
      </c>
      <c r="D798" s="46">
        <f t="shared" si="0"/>
        <v>11</v>
      </c>
      <c r="E798" s="47" t="str">
        <f t="shared" si="7"/>
        <v>Thursday</v>
      </c>
      <c r="F798" s="47" t="s">
        <v>16</v>
      </c>
      <c r="G798" s="47" t="s">
        <v>81</v>
      </c>
      <c r="H798" s="43" t="s">
        <v>37</v>
      </c>
      <c r="I798" s="48">
        <v>1</v>
      </c>
      <c r="J798" s="49">
        <v>6000</v>
      </c>
      <c r="K798" s="49">
        <v>6000</v>
      </c>
      <c r="L798" s="47" t="s">
        <v>22</v>
      </c>
      <c r="M798" s="46">
        <v>0</v>
      </c>
      <c r="N798" s="48" t="s">
        <v>23</v>
      </c>
      <c r="O798" s="47" t="s">
        <v>40</v>
      </c>
    </row>
    <row r="799" ht="14.25" customHeight="1" spans="1:15">
      <c r="A799" s="43" t="s">
        <v>1695</v>
      </c>
      <c r="B799" s="44">
        <v>46153</v>
      </c>
      <c r="C799" s="45">
        <v>0.795138888888889</v>
      </c>
      <c r="D799" s="46">
        <f t="shared" si="0"/>
        <v>19</v>
      </c>
      <c r="E799" s="47" t="str">
        <f t="shared" si="7"/>
        <v>Monday</v>
      </c>
      <c r="F799" s="47" t="s">
        <v>43</v>
      </c>
      <c r="G799" s="47" t="s">
        <v>44</v>
      </c>
      <c r="H799" s="43" t="s">
        <v>45</v>
      </c>
      <c r="I799" s="48">
        <v>1</v>
      </c>
      <c r="J799" s="49">
        <v>4000</v>
      </c>
      <c r="K799" s="49">
        <v>4000</v>
      </c>
      <c r="L799" s="47" t="s">
        <v>22</v>
      </c>
      <c r="M799" s="46">
        <v>0</v>
      </c>
      <c r="N799" s="48" t="s">
        <v>23</v>
      </c>
      <c r="O799" s="47" t="s">
        <v>33</v>
      </c>
    </row>
    <row r="800" ht="14.25" customHeight="1" spans="1:15">
      <c r="A800" s="43" t="s">
        <v>1697</v>
      </c>
      <c r="B800" s="44">
        <v>46153</v>
      </c>
      <c r="C800" s="45">
        <v>0.8</v>
      </c>
      <c r="D800" s="46">
        <f t="shared" si="0"/>
        <v>19</v>
      </c>
      <c r="E800" s="47" t="str">
        <f t="shared" si="7"/>
        <v>Monday</v>
      </c>
      <c r="F800" s="47" t="s">
        <v>107</v>
      </c>
      <c r="G800" s="47" t="s">
        <v>17</v>
      </c>
      <c r="H800" s="43" t="s">
        <v>18</v>
      </c>
      <c r="I800" s="48">
        <v>1</v>
      </c>
      <c r="J800" s="50">
        <v>1000</v>
      </c>
      <c r="K800" s="49">
        <f t="shared" ref="K800:K801" si="8">I800*J800</f>
        <v>1000</v>
      </c>
      <c r="L800" s="47" t="s">
        <v>22</v>
      </c>
      <c r="M800" s="46">
        <v>0</v>
      </c>
      <c r="N800" s="48" t="s">
        <v>23</v>
      </c>
      <c r="O800" s="47" t="s">
        <v>24</v>
      </c>
    </row>
    <row r="801" ht="14.25" customHeight="1" spans="1:15">
      <c r="A801" s="43" t="s">
        <v>1698</v>
      </c>
      <c r="B801" s="44">
        <v>46153</v>
      </c>
      <c r="C801" s="45">
        <v>0.896527777777778</v>
      </c>
      <c r="D801" s="46">
        <f t="shared" si="0"/>
        <v>21</v>
      </c>
      <c r="E801" s="47" t="str">
        <f t="shared" si="7"/>
        <v>Monday</v>
      </c>
      <c r="F801" s="47" t="s">
        <v>43</v>
      </c>
      <c r="G801" s="47" t="s">
        <v>81</v>
      </c>
      <c r="H801" s="43" t="s">
        <v>37</v>
      </c>
      <c r="I801" s="48">
        <v>2</v>
      </c>
      <c r="J801" s="49">
        <v>6000</v>
      </c>
      <c r="K801" s="49">
        <f t="shared" si="8"/>
        <v>12000</v>
      </c>
      <c r="L801" s="47" t="s">
        <v>32</v>
      </c>
      <c r="M801" s="46">
        <v>0</v>
      </c>
      <c r="N801" s="48">
        <v>5</v>
      </c>
      <c r="O801" s="47" t="s">
        <v>73</v>
      </c>
    </row>
    <row r="802" ht="14.25" customHeight="1" spans="1:15">
      <c r="A802" s="43" t="s">
        <v>1699</v>
      </c>
      <c r="B802" s="44">
        <v>46153</v>
      </c>
      <c r="C802" s="45">
        <v>0.943055555555556</v>
      </c>
      <c r="D802" s="46">
        <f t="shared" si="0"/>
        <v>22</v>
      </c>
      <c r="E802" s="47" t="str">
        <f t="shared" si="7"/>
        <v>Monday</v>
      </c>
      <c r="F802" s="47" t="s">
        <v>43</v>
      </c>
      <c r="G802" s="43" t="s">
        <v>36</v>
      </c>
      <c r="H802" s="43" t="s">
        <v>37</v>
      </c>
      <c r="I802" s="48">
        <v>3</v>
      </c>
      <c r="J802" s="49">
        <v>3000</v>
      </c>
      <c r="K802" s="49">
        <v>9000</v>
      </c>
      <c r="L802" s="47" t="s">
        <v>22</v>
      </c>
      <c r="M802" s="46">
        <v>0</v>
      </c>
      <c r="N802" s="48" t="s">
        <v>23</v>
      </c>
      <c r="O802" s="47" t="s">
        <v>33</v>
      </c>
    </row>
    <row r="803" ht="14.25" customHeight="1" spans="1:15">
      <c r="A803" s="43" t="s">
        <v>1701</v>
      </c>
      <c r="B803" s="44">
        <v>46154</v>
      </c>
      <c r="C803" s="45">
        <v>0.538888888888889</v>
      </c>
      <c r="D803" s="46">
        <f t="shared" si="0"/>
        <v>12</v>
      </c>
      <c r="E803" s="47" t="str">
        <f t="shared" si="7"/>
        <v>Tuesday</v>
      </c>
      <c r="F803" s="47" t="s">
        <v>16</v>
      </c>
      <c r="G803" s="47" t="s">
        <v>17</v>
      </c>
      <c r="H803" s="43" t="str">
        <f>VLOOKUP(G803,'02_Menu_Lookup'!$A$2:$C$16,2,FALSE)</f>
        <v>Beverages</v>
      </c>
      <c r="I803" s="48">
        <v>1</v>
      </c>
      <c r="J803" s="49">
        <v>1000</v>
      </c>
      <c r="K803" s="50">
        <v>900</v>
      </c>
      <c r="L803" s="47" t="s">
        <v>32</v>
      </c>
      <c r="M803" s="51">
        <v>0.1</v>
      </c>
      <c r="N803" s="48" t="s">
        <v>23</v>
      </c>
      <c r="O803" s="47" t="s">
        <v>73</v>
      </c>
    </row>
    <row r="804" ht="14.25" customHeight="1" spans="1:15">
      <c r="A804" s="43" t="s">
        <v>1704</v>
      </c>
      <c r="B804" s="44">
        <v>46154</v>
      </c>
      <c r="C804" s="45">
        <v>0.773611111111111</v>
      </c>
      <c r="D804" s="46">
        <f t="shared" si="0"/>
        <v>18</v>
      </c>
      <c r="E804" s="47" t="str">
        <f t="shared" si="7"/>
        <v>Tuesday</v>
      </c>
      <c r="F804" s="47" t="s">
        <v>16</v>
      </c>
      <c r="G804" s="47" t="s">
        <v>81</v>
      </c>
      <c r="H804" s="47" t="s">
        <v>37</v>
      </c>
      <c r="I804" s="48">
        <v>1</v>
      </c>
      <c r="J804" s="49">
        <v>6000</v>
      </c>
      <c r="K804" s="50">
        <v>5100</v>
      </c>
      <c r="L804" s="47" t="s">
        <v>22</v>
      </c>
      <c r="M804" s="51">
        <v>0.15</v>
      </c>
      <c r="N804" s="48" t="s">
        <v>23</v>
      </c>
      <c r="O804" s="47" t="s">
        <v>73</v>
      </c>
    </row>
    <row r="805" ht="14.25" customHeight="1" spans="1:15">
      <c r="A805" s="43" t="s">
        <v>1706</v>
      </c>
      <c r="B805" s="44">
        <v>46154</v>
      </c>
      <c r="C805" s="45">
        <v>0.861111111111111</v>
      </c>
      <c r="D805" s="46">
        <f t="shared" si="0"/>
        <v>20</v>
      </c>
      <c r="E805" s="47" t="str">
        <f t="shared" si="7"/>
        <v>Tuesday</v>
      </c>
      <c r="F805" s="47" t="s">
        <v>16</v>
      </c>
      <c r="G805" s="43" t="s">
        <v>199</v>
      </c>
      <c r="H805" s="43" t="s">
        <v>18</v>
      </c>
      <c r="I805" s="48">
        <v>1</v>
      </c>
      <c r="J805" s="49">
        <v>3000</v>
      </c>
      <c r="K805" s="49">
        <v>3000</v>
      </c>
      <c r="L805" s="47" t="s">
        <v>22</v>
      </c>
      <c r="M805" s="46">
        <v>0</v>
      </c>
      <c r="N805" s="48" t="s">
        <v>23</v>
      </c>
      <c r="O805" s="47" t="s">
        <v>47</v>
      </c>
    </row>
    <row r="806" ht="14.25" customHeight="1" spans="1:15">
      <c r="A806" s="43" t="s">
        <v>1707</v>
      </c>
      <c r="B806" s="44">
        <v>46154</v>
      </c>
      <c r="C806" s="45">
        <v>0.890277777777778</v>
      </c>
      <c r="D806" s="46">
        <f t="shared" si="0"/>
        <v>21</v>
      </c>
      <c r="E806" s="47" t="str">
        <f t="shared" si="7"/>
        <v>Tuesday</v>
      </c>
      <c r="F806" s="47" t="s">
        <v>16</v>
      </c>
      <c r="G806" s="47" t="s">
        <v>103</v>
      </c>
      <c r="H806" s="43" t="s">
        <v>37</v>
      </c>
      <c r="I806" s="48">
        <v>1</v>
      </c>
      <c r="J806" s="49">
        <v>5000</v>
      </c>
      <c r="K806" s="49">
        <v>5000</v>
      </c>
      <c r="L806" s="47" t="s">
        <v>22</v>
      </c>
      <c r="M806" s="46">
        <v>0</v>
      </c>
      <c r="N806" s="48" t="s">
        <v>23</v>
      </c>
      <c r="O806" s="47" t="s">
        <v>24</v>
      </c>
    </row>
    <row r="807" ht="14.25" customHeight="1" spans="1:15">
      <c r="A807" s="43" t="s">
        <v>1708</v>
      </c>
      <c r="B807" s="44">
        <v>46154</v>
      </c>
      <c r="C807" s="45">
        <v>0.985416666666667</v>
      </c>
      <c r="D807" s="46">
        <f t="shared" si="0"/>
        <v>23</v>
      </c>
      <c r="E807" s="47" t="str">
        <f t="shared" si="7"/>
        <v>Tuesday</v>
      </c>
      <c r="F807" s="47" t="s">
        <v>16</v>
      </c>
      <c r="G807" s="47" t="s">
        <v>103</v>
      </c>
      <c r="H807" s="43" t="s">
        <v>37</v>
      </c>
      <c r="I807" s="48">
        <v>1</v>
      </c>
      <c r="J807" s="49">
        <v>5000</v>
      </c>
      <c r="K807" s="50">
        <v>4000</v>
      </c>
      <c r="L807" s="47" t="s">
        <v>22</v>
      </c>
      <c r="M807" s="51">
        <v>0.2</v>
      </c>
      <c r="N807" s="48" t="s">
        <v>23</v>
      </c>
      <c r="O807" s="47" t="s">
        <v>24</v>
      </c>
    </row>
    <row r="808" ht="14.25" customHeight="1" spans="1:15">
      <c r="A808" s="43" t="s">
        <v>1710</v>
      </c>
      <c r="B808" s="44">
        <v>46155</v>
      </c>
      <c r="C808" s="45">
        <v>0.466666666666667</v>
      </c>
      <c r="D808" s="46">
        <f t="shared" si="0"/>
        <v>11</v>
      </c>
      <c r="E808" s="47" t="str">
        <f t="shared" si="7"/>
        <v>Wednesday</v>
      </c>
      <c r="F808" s="47" t="s">
        <v>16</v>
      </c>
      <c r="G808" s="47" t="s">
        <v>81</v>
      </c>
      <c r="H808" s="43" t="s">
        <v>37</v>
      </c>
      <c r="I808" s="48">
        <v>1</v>
      </c>
      <c r="J808" s="49">
        <v>6000</v>
      </c>
      <c r="K808" s="49">
        <v>6000</v>
      </c>
      <c r="L808" s="47" t="s">
        <v>32</v>
      </c>
      <c r="M808" s="46">
        <v>0</v>
      </c>
      <c r="N808" s="48" t="s">
        <v>23</v>
      </c>
      <c r="O808" s="47" t="s">
        <v>73</v>
      </c>
    </row>
    <row r="809" ht="14.25" customHeight="1" spans="1:15">
      <c r="A809" s="43" t="s">
        <v>1713</v>
      </c>
      <c r="B809" s="44">
        <v>46155</v>
      </c>
      <c r="C809" s="45">
        <v>0.550694444444444</v>
      </c>
      <c r="D809" s="46">
        <f t="shared" si="0"/>
        <v>13</v>
      </c>
      <c r="E809" s="47" t="str">
        <f t="shared" si="7"/>
        <v>Wednesday</v>
      </c>
      <c r="F809" s="47" t="s">
        <v>16</v>
      </c>
      <c r="G809" s="47" t="s">
        <v>103</v>
      </c>
      <c r="H809" s="43" t="s">
        <v>37</v>
      </c>
      <c r="I809" s="48">
        <v>2</v>
      </c>
      <c r="J809" s="49">
        <v>5000</v>
      </c>
      <c r="K809" s="49">
        <v>10000</v>
      </c>
      <c r="L809" s="47" t="s">
        <v>22</v>
      </c>
      <c r="M809" s="46">
        <v>0</v>
      </c>
      <c r="N809" s="48" t="s">
        <v>23</v>
      </c>
      <c r="O809" s="47" t="s">
        <v>73</v>
      </c>
    </row>
    <row r="810" ht="14.25" customHeight="1" spans="1:15">
      <c r="A810" s="43" t="s">
        <v>1716</v>
      </c>
      <c r="B810" s="44">
        <v>46155</v>
      </c>
      <c r="C810" s="45">
        <v>0.570833333333333</v>
      </c>
      <c r="D810" s="46">
        <f t="shared" si="0"/>
        <v>13</v>
      </c>
      <c r="E810" s="47" t="str">
        <f t="shared" si="7"/>
        <v>Wednesday</v>
      </c>
      <c r="F810" s="47" t="s">
        <v>107</v>
      </c>
      <c r="G810" s="47" t="s">
        <v>367</v>
      </c>
      <c r="H810" s="43" t="s">
        <v>109</v>
      </c>
      <c r="I810" s="48">
        <v>1</v>
      </c>
      <c r="J810" s="49">
        <v>7000</v>
      </c>
      <c r="K810" s="49">
        <v>7000</v>
      </c>
      <c r="L810" s="47" t="s">
        <v>22</v>
      </c>
      <c r="M810" s="46">
        <v>0</v>
      </c>
      <c r="N810" s="48" t="s">
        <v>23</v>
      </c>
      <c r="O810" s="47" t="s">
        <v>40</v>
      </c>
    </row>
    <row r="811" ht="14.25" customHeight="1" spans="1:15">
      <c r="A811" s="43" t="s">
        <v>1718</v>
      </c>
      <c r="B811" s="44">
        <v>46155</v>
      </c>
      <c r="C811" s="45">
        <v>0.732638888888889</v>
      </c>
      <c r="D811" s="46">
        <f t="shared" si="0"/>
        <v>17</v>
      </c>
      <c r="E811" s="47" t="str">
        <f t="shared" si="7"/>
        <v>Wednesday</v>
      </c>
      <c r="F811" s="47" t="s">
        <v>43</v>
      </c>
      <c r="G811" s="43" t="s">
        <v>165</v>
      </c>
      <c r="H811" s="43" t="s">
        <v>109</v>
      </c>
      <c r="I811" s="48">
        <v>1</v>
      </c>
      <c r="J811" s="49">
        <v>6000</v>
      </c>
      <c r="K811" s="50">
        <v>5400</v>
      </c>
      <c r="L811" s="47" t="s">
        <v>22</v>
      </c>
      <c r="M811" s="51">
        <v>0.1</v>
      </c>
      <c r="N811" s="48">
        <v>4</v>
      </c>
      <c r="O811" s="47" t="s">
        <v>40</v>
      </c>
    </row>
    <row r="812" ht="14.25" customHeight="1" spans="1:15">
      <c r="A812" s="43" t="s">
        <v>1720</v>
      </c>
      <c r="B812" s="44">
        <v>46155</v>
      </c>
      <c r="C812" s="45">
        <v>0.752777777777778</v>
      </c>
      <c r="D812" s="46">
        <f t="shared" si="0"/>
        <v>18</v>
      </c>
      <c r="E812" s="47" t="str">
        <f t="shared" si="7"/>
        <v>Wednesday</v>
      </c>
      <c r="F812" s="47" t="s">
        <v>16</v>
      </c>
      <c r="G812" s="47" t="s">
        <v>81</v>
      </c>
      <c r="H812" s="43" t="s">
        <v>37</v>
      </c>
      <c r="I812" s="48">
        <v>2</v>
      </c>
      <c r="J812" s="49">
        <v>6000</v>
      </c>
      <c r="K812" s="49">
        <v>12000</v>
      </c>
      <c r="L812" s="47" t="s">
        <v>32</v>
      </c>
      <c r="M812" s="46">
        <v>0</v>
      </c>
      <c r="N812" s="48">
        <v>4</v>
      </c>
      <c r="O812" s="47" t="s">
        <v>24</v>
      </c>
    </row>
    <row r="813" ht="14.25" customHeight="1" spans="1:15">
      <c r="A813" s="43" t="s">
        <v>1722</v>
      </c>
      <c r="B813" s="44">
        <v>46155</v>
      </c>
      <c r="C813" s="45">
        <v>0.801388888888889</v>
      </c>
      <c r="D813" s="46">
        <f t="shared" si="0"/>
        <v>19</v>
      </c>
      <c r="E813" s="47" t="str">
        <f t="shared" si="7"/>
        <v>Wednesday</v>
      </c>
      <c r="F813" s="47" t="s">
        <v>107</v>
      </c>
      <c r="G813" s="47" t="s">
        <v>50</v>
      </c>
      <c r="H813" s="43" t="s">
        <v>28</v>
      </c>
      <c r="I813" s="48">
        <v>2</v>
      </c>
      <c r="J813" s="49">
        <v>25000</v>
      </c>
      <c r="K813" s="50">
        <v>42500</v>
      </c>
      <c r="L813" s="47" t="s">
        <v>32</v>
      </c>
      <c r="M813" s="51">
        <v>0.15</v>
      </c>
      <c r="N813" s="48">
        <v>4</v>
      </c>
      <c r="O813" s="47" t="s">
        <v>73</v>
      </c>
    </row>
    <row r="814" ht="14.25" customHeight="1" spans="1:15">
      <c r="A814" s="43" t="s">
        <v>1724</v>
      </c>
      <c r="B814" s="44">
        <v>46155</v>
      </c>
      <c r="C814" s="45">
        <v>0.827083333333333</v>
      </c>
      <c r="D814" s="46">
        <f t="shared" si="0"/>
        <v>19</v>
      </c>
      <c r="E814" s="47" t="str">
        <f t="shared" si="7"/>
        <v>Wednesday</v>
      </c>
      <c r="F814" s="47" t="s">
        <v>16</v>
      </c>
      <c r="G814" s="47" t="s">
        <v>17</v>
      </c>
      <c r="H814" s="43" t="s">
        <v>18</v>
      </c>
      <c r="I814" s="48">
        <v>3</v>
      </c>
      <c r="J814" s="49">
        <v>1000</v>
      </c>
      <c r="K814" s="49">
        <v>3000</v>
      </c>
      <c r="L814" s="47" t="s">
        <v>22</v>
      </c>
      <c r="M814" s="46">
        <v>0</v>
      </c>
      <c r="N814" s="48" t="s">
        <v>23</v>
      </c>
      <c r="O814" s="47" t="s">
        <v>47</v>
      </c>
    </row>
    <row r="815" ht="14.25" customHeight="1" spans="1:15">
      <c r="A815" s="43" t="s">
        <v>1725</v>
      </c>
      <c r="B815" s="44">
        <v>46155</v>
      </c>
      <c r="C815" s="45">
        <v>0.85625</v>
      </c>
      <c r="D815" s="46">
        <f t="shared" si="0"/>
        <v>20</v>
      </c>
      <c r="E815" s="47" t="str">
        <f t="shared" si="7"/>
        <v>Wednesday</v>
      </c>
      <c r="F815" s="47" t="s">
        <v>16</v>
      </c>
      <c r="G815" s="43" t="s">
        <v>36</v>
      </c>
      <c r="H815" s="43" t="s">
        <v>37</v>
      </c>
      <c r="I815" s="48">
        <v>1</v>
      </c>
      <c r="J815" s="50">
        <v>3000</v>
      </c>
      <c r="K815" s="49">
        <v>3000</v>
      </c>
      <c r="L815" s="47" t="s">
        <v>22</v>
      </c>
      <c r="M815" s="46">
        <v>0</v>
      </c>
      <c r="N815" s="48">
        <v>3</v>
      </c>
      <c r="O815" s="47" t="s">
        <v>33</v>
      </c>
    </row>
    <row r="816" ht="14.25" customHeight="1" spans="1:15">
      <c r="A816" s="43" t="s">
        <v>1726</v>
      </c>
      <c r="B816" s="44">
        <v>46155</v>
      </c>
      <c r="C816" s="45">
        <v>0.959722222222222</v>
      </c>
      <c r="D816" s="46">
        <f t="shared" si="0"/>
        <v>23</v>
      </c>
      <c r="E816" s="47" t="str">
        <f t="shared" si="7"/>
        <v>Wednesday</v>
      </c>
      <c r="F816" s="47" t="s">
        <v>43</v>
      </c>
      <c r="G816" s="47" t="s">
        <v>57</v>
      </c>
      <c r="H816" s="43" t="s">
        <v>28</v>
      </c>
      <c r="I816" s="48">
        <v>3</v>
      </c>
      <c r="J816" s="49">
        <v>18000</v>
      </c>
      <c r="K816" s="49">
        <v>54000</v>
      </c>
      <c r="L816" s="47" t="s">
        <v>22</v>
      </c>
      <c r="M816" s="46">
        <v>0</v>
      </c>
      <c r="N816" s="48" t="s">
        <v>23</v>
      </c>
      <c r="O816" s="47" t="s">
        <v>24</v>
      </c>
    </row>
    <row r="817" ht="14.25" customHeight="1" spans="1:15">
      <c r="A817" s="43" t="s">
        <v>1728</v>
      </c>
      <c r="B817" s="44">
        <v>46156</v>
      </c>
      <c r="C817" s="45">
        <v>0.847222222222222</v>
      </c>
      <c r="D817" s="46">
        <f t="shared" si="0"/>
        <v>20</v>
      </c>
      <c r="E817" s="47" t="str">
        <f t="shared" si="7"/>
        <v>Thursday</v>
      </c>
      <c r="F817" s="47" t="s">
        <v>107</v>
      </c>
      <c r="G817" s="47" t="s">
        <v>27</v>
      </c>
      <c r="H817" s="43" t="s">
        <v>28</v>
      </c>
      <c r="I817" s="48">
        <v>1</v>
      </c>
      <c r="J817" s="49">
        <v>15000</v>
      </c>
      <c r="K817" s="49">
        <v>15000</v>
      </c>
      <c r="L817" s="47" t="s">
        <v>32</v>
      </c>
      <c r="M817" s="46">
        <v>0</v>
      </c>
      <c r="N817" s="48" t="s">
        <v>23</v>
      </c>
      <c r="O817" s="47" t="s">
        <v>73</v>
      </c>
    </row>
    <row r="818" ht="14.25" customHeight="1" spans="1:15">
      <c r="A818" s="43" t="s">
        <v>1730</v>
      </c>
      <c r="B818" s="44">
        <v>46156</v>
      </c>
      <c r="C818" s="45">
        <v>0.895138888888889</v>
      </c>
      <c r="D818" s="46">
        <f t="shared" si="0"/>
        <v>21</v>
      </c>
      <c r="E818" s="47" t="str">
        <f t="shared" si="7"/>
        <v>Thursday</v>
      </c>
      <c r="F818" s="47" t="s">
        <v>107</v>
      </c>
      <c r="G818" s="43" t="s">
        <v>36</v>
      </c>
      <c r="H818" s="43" t="s">
        <v>37</v>
      </c>
      <c r="I818" s="48">
        <v>1</v>
      </c>
      <c r="J818" s="49">
        <v>3000</v>
      </c>
      <c r="K818" s="49">
        <v>3000</v>
      </c>
      <c r="L818" s="47" t="s">
        <v>32</v>
      </c>
      <c r="M818" s="46">
        <v>0</v>
      </c>
      <c r="N818" s="48" t="s">
        <v>23</v>
      </c>
      <c r="O818" s="47" t="s">
        <v>24</v>
      </c>
    </row>
    <row r="819" ht="14.25" customHeight="1" spans="1:15">
      <c r="A819" s="43" t="s">
        <v>1732</v>
      </c>
      <c r="B819" s="44">
        <v>46156</v>
      </c>
      <c r="C819" s="45">
        <v>0.939583333333333</v>
      </c>
      <c r="D819" s="46">
        <f t="shared" si="0"/>
        <v>22</v>
      </c>
      <c r="E819" s="47" t="str">
        <f t="shared" si="7"/>
        <v>Thursday</v>
      </c>
      <c r="F819" s="47" t="s">
        <v>43</v>
      </c>
      <c r="G819" s="47" t="s">
        <v>17</v>
      </c>
      <c r="H819" s="43" t="s">
        <v>18</v>
      </c>
      <c r="I819" s="48">
        <v>1</v>
      </c>
      <c r="J819" s="49">
        <f>K819/I819</f>
        <v>1000</v>
      </c>
      <c r="K819" s="49">
        <v>1000</v>
      </c>
      <c r="L819" s="47" t="s">
        <v>22</v>
      </c>
      <c r="M819" s="46">
        <v>0</v>
      </c>
      <c r="N819" s="48">
        <v>4</v>
      </c>
      <c r="O819" s="47" t="s">
        <v>40</v>
      </c>
    </row>
    <row r="820" ht="14.25" customHeight="1" spans="1:15">
      <c r="A820" s="43" t="s">
        <v>1734</v>
      </c>
      <c r="B820" s="44">
        <v>46157</v>
      </c>
      <c r="C820" s="45">
        <v>0.591666666666667</v>
      </c>
      <c r="D820" s="46">
        <f t="shared" si="0"/>
        <v>14</v>
      </c>
      <c r="E820" s="47" t="str">
        <f t="shared" si="7"/>
        <v>Friday</v>
      </c>
      <c r="F820" s="47" t="s">
        <v>16</v>
      </c>
      <c r="G820" s="47" t="s">
        <v>367</v>
      </c>
      <c r="H820" s="43" t="s">
        <v>109</v>
      </c>
      <c r="I820" s="48">
        <v>1</v>
      </c>
      <c r="J820" s="49">
        <v>7000</v>
      </c>
      <c r="K820" s="49">
        <v>7000</v>
      </c>
      <c r="L820" s="47" t="s">
        <v>22</v>
      </c>
      <c r="M820" s="46">
        <v>0</v>
      </c>
      <c r="N820" s="48">
        <v>5</v>
      </c>
      <c r="O820" s="47" t="s">
        <v>24</v>
      </c>
    </row>
    <row r="821" ht="14.25" customHeight="1" spans="1:15">
      <c r="A821" s="43" t="s">
        <v>1737</v>
      </c>
      <c r="B821" s="44">
        <v>46157</v>
      </c>
      <c r="C821" s="45">
        <v>0.595138888888889</v>
      </c>
      <c r="D821" s="46">
        <f t="shared" si="0"/>
        <v>14</v>
      </c>
      <c r="E821" s="47" t="str">
        <f t="shared" si="7"/>
        <v>Friday</v>
      </c>
      <c r="F821" s="47" t="s">
        <v>16</v>
      </c>
      <c r="G821" s="47" t="s">
        <v>63</v>
      </c>
      <c r="H821" s="43" t="s">
        <v>18</v>
      </c>
      <c r="I821" s="48">
        <v>1</v>
      </c>
      <c r="J821" s="49">
        <v>1500</v>
      </c>
      <c r="K821" s="49">
        <v>1500</v>
      </c>
      <c r="L821" s="47" t="s">
        <v>22</v>
      </c>
      <c r="M821" s="46">
        <v>0</v>
      </c>
      <c r="N821" s="48" t="s">
        <v>23</v>
      </c>
      <c r="O821" s="47" t="s">
        <v>73</v>
      </c>
    </row>
    <row r="822" ht="14.25" customHeight="1" spans="1:15">
      <c r="A822" s="43" t="s">
        <v>1738</v>
      </c>
      <c r="B822" s="44">
        <v>46157</v>
      </c>
      <c r="C822" s="45">
        <v>0.595833333333333</v>
      </c>
      <c r="D822" s="46">
        <f t="shared" si="0"/>
        <v>14</v>
      </c>
      <c r="E822" s="47" t="str">
        <f t="shared" si="7"/>
        <v>Friday</v>
      </c>
      <c r="F822" s="47" t="s">
        <v>107</v>
      </c>
      <c r="G822" s="47" t="s">
        <v>50</v>
      </c>
      <c r="H822" s="43" t="s">
        <v>28</v>
      </c>
      <c r="I822" s="48">
        <v>2</v>
      </c>
      <c r="J822" s="49">
        <v>25000</v>
      </c>
      <c r="K822" s="49">
        <v>50000</v>
      </c>
      <c r="L822" s="47" t="s">
        <v>32</v>
      </c>
      <c r="M822" s="46">
        <v>0</v>
      </c>
      <c r="N822" s="48" t="s">
        <v>23</v>
      </c>
      <c r="O822" s="47" t="s">
        <v>40</v>
      </c>
    </row>
    <row r="823" ht="14.25" customHeight="1" spans="1:15">
      <c r="A823" s="43" t="s">
        <v>1741</v>
      </c>
      <c r="B823" s="44">
        <v>46157</v>
      </c>
      <c r="C823" s="45">
        <v>0.75</v>
      </c>
      <c r="D823" s="46">
        <f t="shared" si="0"/>
        <v>18</v>
      </c>
      <c r="E823" s="47" t="str">
        <f t="shared" si="7"/>
        <v>Friday</v>
      </c>
      <c r="F823" s="47" t="s">
        <v>107</v>
      </c>
      <c r="G823" s="47" t="s">
        <v>103</v>
      </c>
      <c r="H823" s="43" t="s">
        <v>37</v>
      </c>
      <c r="I823" s="48">
        <v>1</v>
      </c>
      <c r="J823" s="49">
        <v>5000</v>
      </c>
      <c r="K823" s="49">
        <v>5000</v>
      </c>
      <c r="L823" s="47" t="s">
        <v>32</v>
      </c>
      <c r="M823" s="46">
        <v>0</v>
      </c>
      <c r="N823" s="48" t="s">
        <v>23</v>
      </c>
      <c r="O823" s="47" t="s">
        <v>73</v>
      </c>
    </row>
    <row r="824" ht="14.25" customHeight="1" spans="1:15">
      <c r="A824" s="43" t="s">
        <v>1742</v>
      </c>
      <c r="B824" s="44">
        <v>46157</v>
      </c>
      <c r="C824" s="45">
        <v>0.793055555555556</v>
      </c>
      <c r="D824" s="46">
        <f t="shared" si="0"/>
        <v>19</v>
      </c>
      <c r="E824" s="47" t="str">
        <f t="shared" si="7"/>
        <v>Friday</v>
      </c>
      <c r="F824" s="47" t="s">
        <v>107</v>
      </c>
      <c r="G824" s="47" t="s">
        <v>50</v>
      </c>
      <c r="H824" s="43" t="s">
        <v>28</v>
      </c>
      <c r="I824" s="48">
        <v>1</v>
      </c>
      <c r="J824" s="49">
        <v>25000</v>
      </c>
      <c r="K824" s="49">
        <v>25000</v>
      </c>
      <c r="L824" s="47" t="s">
        <v>22</v>
      </c>
      <c r="M824" s="46">
        <v>0</v>
      </c>
      <c r="N824" s="48" t="s">
        <v>23</v>
      </c>
      <c r="O824" s="47" t="s">
        <v>73</v>
      </c>
    </row>
    <row r="825" ht="14.25" customHeight="1" spans="1:15">
      <c r="A825" s="43" t="s">
        <v>1743</v>
      </c>
      <c r="B825" s="44">
        <v>46157</v>
      </c>
      <c r="C825" s="45">
        <v>0.797222222222222</v>
      </c>
      <c r="D825" s="46">
        <f t="shared" si="0"/>
        <v>19</v>
      </c>
      <c r="E825" s="47" t="str">
        <f t="shared" si="7"/>
        <v>Friday</v>
      </c>
      <c r="F825" s="47" t="s">
        <v>16</v>
      </c>
      <c r="G825" s="43" t="s">
        <v>165</v>
      </c>
      <c r="H825" s="43" t="s">
        <v>109</v>
      </c>
      <c r="I825" s="48">
        <v>2</v>
      </c>
      <c r="J825" s="49">
        <v>6000</v>
      </c>
      <c r="K825" s="50">
        <v>12000</v>
      </c>
      <c r="L825" s="47" t="s">
        <v>32</v>
      </c>
      <c r="M825" s="46">
        <v>0</v>
      </c>
      <c r="N825" s="48" t="s">
        <v>23</v>
      </c>
      <c r="O825" s="47" t="s">
        <v>47</v>
      </c>
    </row>
    <row r="826" ht="14.25" customHeight="1" spans="1:15">
      <c r="A826" s="43" t="s">
        <v>1744</v>
      </c>
      <c r="B826" s="44">
        <v>46157</v>
      </c>
      <c r="C826" s="45">
        <v>0.841666666666667</v>
      </c>
      <c r="D826" s="46">
        <f t="shared" si="0"/>
        <v>20</v>
      </c>
      <c r="E826" s="47" t="str">
        <f t="shared" si="7"/>
        <v>Friday</v>
      </c>
      <c r="F826" s="47" t="s">
        <v>16</v>
      </c>
      <c r="G826" s="47" t="s">
        <v>63</v>
      </c>
      <c r="H826" s="43" t="s">
        <v>18</v>
      </c>
      <c r="I826" s="48">
        <v>1</v>
      </c>
      <c r="J826" s="49">
        <v>1500</v>
      </c>
      <c r="K826" s="49">
        <v>1500</v>
      </c>
      <c r="L826" s="47" t="s">
        <v>22</v>
      </c>
      <c r="M826" s="46">
        <v>0</v>
      </c>
      <c r="N826" s="48" t="s">
        <v>23</v>
      </c>
      <c r="O826" s="47" t="s">
        <v>24</v>
      </c>
    </row>
    <row r="827" ht="14.25" customHeight="1" spans="1:15">
      <c r="A827" s="43" t="s">
        <v>1745</v>
      </c>
      <c r="B827" s="44">
        <v>46157</v>
      </c>
      <c r="C827" s="45">
        <v>0.859722222222222</v>
      </c>
      <c r="D827" s="46">
        <f t="shared" si="0"/>
        <v>20</v>
      </c>
      <c r="E827" s="47" t="str">
        <f t="shared" si="7"/>
        <v>Friday</v>
      </c>
      <c r="F827" s="47" t="s">
        <v>16</v>
      </c>
      <c r="G827" s="47" t="s">
        <v>103</v>
      </c>
      <c r="H827" s="43" t="str">
        <f>VLOOKUP(G827,'02_Menu_Lookup'!$A$2:$C$16,2,FALSE)</f>
        <v>Sandwiches</v>
      </c>
      <c r="I827" s="48">
        <v>1</v>
      </c>
      <c r="J827" s="49">
        <v>5000</v>
      </c>
      <c r="K827" s="49">
        <v>5000</v>
      </c>
      <c r="L827" s="47" t="s">
        <v>22</v>
      </c>
      <c r="M827" s="46">
        <v>0</v>
      </c>
      <c r="N827" s="48" t="s">
        <v>23</v>
      </c>
      <c r="O827" s="47" t="s">
        <v>40</v>
      </c>
    </row>
    <row r="828" ht="14.25" customHeight="1" spans="1:15">
      <c r="A828" s="43" t="s">
        <v>1746</v>
      </c>
      <c r="B828" s="44">
        <v>46157</v>
      </c>
      <c r="C828" s="45">
        <v>0.866666666666667</v>
      </c>
      <c r="D828" s="46">
        <f t="shared" si="0"/>
        <v>20</v>
      </c>
      <c r="E828" s="47" t="str">
        <f t="shared" si="7"/>
        <v>Friday</v>
      </c>
      <c r="F828" s="47" t="s">
        <v>16</v>
      </c>
      <c r="G828" s="47" t="s">
        <v>57</v>
      </c>
      <c r="H828" s="43" t="s">
        <v>28</v>
      </c>
      <c r="I828" s="48">
        <v>1</v>
      </c>
      <c r="J828" s="49">
        <v>18000</v>
      </c>
      <c r="K828" s="50">
        <v>16200</v>
      </c>
      <c r="L828" s="47" t="s">
        <v>32</v>
      </c>
      <c r="M828" s="51">
        <v>0.1</v>
      </c>
      <c r="N828" s="48" t="s">
        <v>23</v>
      </c>
      <c r="O828" s="47" t="s">
        <v>40</v>
      </c>
    </row>
    <row r="829" ht="14.25" customHeight="1" spans="1:15">
      <c r="A829" s="43" t="s">
        <v>1747</v>
      </c>
      <c r="B829" s="44">
        <v>46157</v>
      </c>
      <c r="C829" s="45">
        <v>0.881944444444444</v>
      </c>
      <c r="D829" s="46">
        <f t="shared" si="0"/>
        <v>21</v>
      </c>
      <c r="E829" s="47" t="str">
        <f t="shared" si="7"/>
        <v>Friday</v>
      </c>
      <c r="F829" s="47" t="s">
        <v>43</v>
      </c>
      <c r="G829" s="47" t="s">
        <v>81</v>
      </c>
      <c r="H829" s="43" t="s">
        <v>37</v>
      </c>
      <c r="I829" s="48">
        <v>1</v>
      </c>
      <c r="J829" s="49">
        <v>6000</v>
      </c>
      <c r="K829" s="49">
        <v>6000</v>
      </c>
      <c r="L829" s="47" t="s">
        <v>32</v>
      </c>
      <c r="M829" s="46">
        <v>0</v>
      </c>
      <c r="N829" s="48">
        <v>4</v>
      </c>
      <c r="O829" s="47" t="s">
        <v>24</v>
      </c>
    </row>
    <row r="830" ht="14.25" customHeight="1" spans="1:15">
      <c r="A830" s="43" t="s">
        <v>1749</v>
      </c>
      <c r="B830" s="44">
        <v>46157</v>
      </c>
      <c r="C830" s="45">
        <v>0.884722222222222</v>
      </c>
      <c r="D830" s="46">
        <f t="shared" si="0"/>
        <v>21</v>
      </c>
      <c r="E830" s="47" t="str">
        <f t="shared" si="7"/>
        <v>Friday</v>
      </c>
      <c r="F830" s="47" t="s">
        <v>43</v>
      </c>
      <c r="G830" s="47" t="s">
        <v>81</v>
      </c>
      <c r="H830" s="43" t="s">
        <v>37</v>
      </c>
      <c r="I830" s="48">
        <v>1</v>
      </c>
      <c r="J830" s="49">
        <v>6000</v>
      </c>
      <c r="K830" s="49">
        <v>6000</v>
      </c>
      <c r="L830" s="47" t="s">
        <v>22</v>
      </c>
      <c r="M830" s="46">
        <v>0</v>
      </c>
      <c r="N830" s="48" t="s">
        <v>23</v>
      </c>
      <c r="O830" s="47" t="s">
        <v>73</v>
      </c>
    </row>
    <row r="831" ht="14.25" customHeight="1" spans="1:15">
      <c r="A831" s="43" t="s">
        <v>1750</v>
      </c>
      <c r="B831" s="44">
        <v>46157</v>
      </c>
      <c r="C831" s="45">
        <v>0.886111111111111</v>
      </c>
      <c r="D831" s="46">
        <f t="shared" si="0"/>
        <v>21</v>
      </c>
      <c r="E831" s="47" t="str">
        <f t="shared" si="7"/>
        <v>Friday</v>
      </c>
      <c r="F831" s="47" t="s">
        <v>43</v>
      </c>
      <c r="G831" s="47" t="s">
        <v>63</v>
      </c>
      <c r="H831" s="43" t="s">
        <v>18</v>
      </c>
      <c r="I831" s="48">
        <v>1</v>
      </c>
      <c r="J831" s="49">
        <v>1500</v>
      </c>
      <c r="K831" s="49">
        <v>1500</v>
      </c>
      <c r="L831" s="47" t="s">
        <v>22</v>
      </c>
      <c r="M831" s="46">
        <v>0</v>
      </c>
      <c r="N831" s="48">
        <v>4</v>
      </c>
      <c r="O831" s="47" t="s">
        <v>40</v>
      </c>
    </row>
    <row r="832" ht="14.25" customHeight="1" spans="1:15">
      <c r="A832" s="43" t="s">
        <v>1752</v>
      </c>
      <c r="B832" s="44">
        <v>46157</v>
      </c>
      <c r="C832" s="45">
        <v>0.904861111111111</v>
      </c>
      <c r="D832" s="46">
        <f t="shared" si="0"/>
        <v>21</v>
      </c>
      <c r="E832" s="47" t="str">
        <f t="shared" si="7"/>
        <v>Friday</v>
      </c>
      <c r="F832" s="47" t="s">
        <v>16</v>
      </c>
      <c r="G832" s="47" t="s">
        <v>27</v>
      </c>
      <c r="H832" s="43" t="s">
        <v>28</v>
      </c>
      <c r="I832" s="48">
        <v>1</v>
      </c>
      <c r="J832" s="49">
        <v>15000</v>
      </c>
      <c r="K832" s="49">
        <v>15000</v>
      </c>
      <c r="L832" s="47" t="s">
        <v>32</v>
      </c>
      <c r="M832" s="46">
        <v>0</v>
      </c>
      <c r="N832" s="48">
        <v>4</v>
      </c>
      <c r="O832" s="47" t="s">
        <v>47</v>
      </c>
    </row>
    <row r="833" ht="14.25" customHeight="1" spans="1:15">
      <c r="A833" s="43" t="s">
        <v>1753</v>
      </c>
      <c r="B833" s="44">
        <v>46157</v>
      </c>
      <c r="C833" s="45">
        <v>0.909027777777778</v>
      </c>
      <c r="D833" s="46">
        <f t="shared" si="0"/>
        <v>21</v>
      </c>
      <c r="E833" s="47" t="str">
        <f t="shared" si="7"/>
        <v>Friday</v>
      </c>
      <c r="F833" s="47" t="s">
        <v>16</v>
      </c>
      <c r="G833" s="47" t="s">
        <v>27</v>
      </c>
      <c r="H833" s="43" t="s">
        <v>28</v>
      </c>
      <c r="I833" s="48">
        <v>2</v>
      </c>
      <c r="J833" s="49">
        <f>K833/I833</f>
        <v>15000</v>
      </c>
      <c r="K833" s="49">
        <v>30000</v>
      </c>
      <c r="L833" s="47" t="s">
        <v>22</v>
      </c>
      <c r="M833" s="46">
        <v>0</v>
      </c>
      <c r="N833" s="48" t="s">
        <v>23</v>
      </c>
      <c r="O833" s="47" t="s">
        <v>73</v>
      </c>
    </row>
    <row r="834" ht="14.25" customHeight="1" spans="1:15">
      <c r="A834" s="43" t="s">
        <v>1754</v>
      </c>
      <c r="B834" s="44">
        <v>46157</v>
      </c>
      <c r="C834" s="45">
        <v>0.952083333333333</v>
      </c>
      <c r="D834" s="46">
        <f t="shared" si="0"/>
        <v>22</v>
      </c>
      <c r="E834" s="47" t="str">
        <f t="shared" si="7"/>
        <v>Friday</v>
      </c>
      <c r="F834" s="47" t="s">
        <v>16</v>
      </c>
      <c r="G834" s="47" t="s">
        <v>146</v>
      </c>
      <c r="H834" s="43" t="s">
        <v>28</v>
      </c>
      <c r="I834" s="48">
        <v>1</v>
      </c>
      <c r="J834" s="49">
        <v>16000</v>
      </c>
      <c r="K834" s="49">
        <v>16000</v>
      </c>
      <c r="L834" s="47" t="s">
        <v>22</v>
      </c>
      <c r="M834" s="46">
        <v>0</v>
      </c>
      <c r="N834" s="48">
        <v>4</v>
      </c>
      <c r="O834" s="47" t="s">
        <v>24</v>
      </c>
    </row>
    <row r="835" ht="14.25" customHeight="1" spans="1:15">
      <c r="A835" s="43" t="s">
        <v>1755</v>
      </c>
      <c r="B835" s="44">
        <v>46157</v>
      </c>
      <c r="C835" s="45">
        <v>0.993055555555556</v>
      </c>
      <c r="D835" s="46">
        <f t="shared" si="0"/>
        <v>23</v>
      </c>
      <c r="E835" s="47" t="str">
        <f t="shared" si="7"/>
        <v>Friday</v>
      </c>
      <c r="F835" s="47" t="s">
        <v>43</v>
      </c>
      <c r="G835" s="47" t="s">
        <v>95</v>
      </c>
      <c r="H835" s="43" t="s">
        <v>45</v>
      </c>
      <c r="I835" s="48">
        <v>1</v>
      </c>
      <c r="J835" s="49">
        <v>5000</v>
      </c>
      <c r="K835" s="49">
        <v>5000</v>
      </c>
      <c r="L835" s="47" t="s">
        <v>32</v>
      </c>
      <c r="M835" s="46">
        <v>0</v>
      </c>
      <c r="N835" s="48">
        <v>4</v>
      </c>
      <c r="O835" s="47" t="s">
        <v>47</v>
      </c>
    </row>
    <row r="836" ht="14.25" customHeight="1" spans="1:15">
      <c r="A836" s="43" t="s">
        <v>1756</v>
      </c>
      <c r="B836" s="44">
        <v>46158</v>
      </c>
      <c r="C836" s="45">
        <v>0.8</v>
      </c>
      <c r="D836" s="46">
        <f t="shared" si="0"/>
        <v>19</v>
      </c>
      <c r="E836" s="47" t="str">
        <f t="shared" si="7"/>
        <v>Saturday</v>
      </c>
      <c r="F836" s="47" t="s">
        <v>43</v>
      </c>
      <c r="G836" s="47" t="s">
        <v>50</v>
      </c>
      <c r="H836" s="43" t="s">
        <v>28</v>
      </c>
      <c r="I836" s="48">
        <v>2</v>
      </c>
      <c r="J836" s="49">
        <v>25000</v>
      </c>
      <c r="K836" s="49">
        <v>50000</v>
      </c>
      <c r="L836" s="47" t="s">
        <v>22</v>
      </c>
      <c r="M836" s="46">
        <v>0</v>
      </c>
      <c r="N836" s="48" t="s">
        <v>23</v>
      </c>
      <c r="O836" s="47" t="s">
        <v>24</v>
      </c>
    </row>
    <row r="837" ht="14.25" customHeight="1" spans="1:15">
      <c r="A837" s="43" t="s">
        <v>1758</v>
      </c>
      <c r="B837" s="44">
        <v>46158</v>
      </c>
      <c r="C837" s="45">
        <v>0.838888888888889</v>
      </c>
      <c r="D837" s="46">
        <f t="shared" si="0"/>
        <v>20</v>
      </c>
      <c r="E837" s="47" t="str">
        <f t="shared" si="7"/>
        <v>Saturday</v>
      </c>
      <c r="F837" s="47" t="s">
        <v>43</v>
      </c>
      <c r="G837" s="47" t="s">
        <v>81</v>
      </c>
      <c r="H837" s="43" t="s">
        <v>37</v>
      </c>
      <c r="I837" s="48">
        <v>1</v>
      </c>
      <c r="J837" s="49">
        <v>6000</v>
      </c>
      <c r="K837" s="49">
        <v>6000</v>
      </c>
      <c r="L837" s="47" t="s">
        <v>22</v>
      </c>
      <c r="M837" s="46">
        <v>0</v>
      </c>
      <c r="N837" s="48">
        <v>3</v>
      </c>
      <c r="O837" s="47" t="s">
        <v>33</v>
      </c>
    </row>
    <row r="838" ht="14.25" customHeight="1" spans="1:15">
      <c r="A838" s="43" t="s">
        <v>1760</v>
      </c>
      <c r="B838" s="44">
        <v>46158</v>
      </c>
      <c r="C838" s="45">
        <v>0.891666666666667</v>
      </c>
      <c r="D838" s="46">
        <f t="shared" si="0"/>
        <v>21</v>
      </c>
      <c r="E838" s="47" t="str">
        <f t="shared" si="7"/>
        <v>Saturday</v>
      </c>
      <c r="F838" s="47" t="s">
        <v>16</v>
      </c>
      <c r="G838" s="47" t="s">
        <v>63</v>
      </c>
      <c r="H838" s="43" t="s">
        <v>18</v>
      </c>
      <c r="I838" s="48">
        <v>1</v>
      </c>
      <c r="J838" s="49">
        <v>1500</v>
      </c>
      <c r="K838" s="50">
        <v>1200</v>
      </c>
      <c r="L838" s="47" t="s">
        <v>22</v>
      </c>
      <c r="M838" s="51">
        <v>0.2</v>
      </c>
      <c r="N838" s="48">
        <v>4</v>
      </c>
      <c r="O838" s="47" t="s">
        <v>24</v>
      </c>
    </row>
    <row r="839" ht="14.25" customHeight="1" spans="1:15">
      <c r="A839" s="43" t="s">
        <v>1761</v>
      </c>
      <c r="B839" s="44">
        <v>46158</v>
      </c>
      <c r="C839" s="45">
        <v>0.895833333333333</v>
      </c>
      <c r="D839" s="46">
        <f t="shared" si="0"/>
        <v>21</v>
      </c>
      <c r="E839" s="47" t="str">
        <f t="shared" si="7"/>
        <v>Saturday</v>
      </c>
      <c r="F839" s="47" t="s">
        <v>16</v>
      </c>
      <c r="G839" s="47" t="s">
        <v>146</v>
      </c>
      <c r="H839" s="47" t="s">
        <v>28</v>
      </c>
      <c r="I839" s="48">
        <v>1</v>
      </c>
      <c r="J839" s="49">
        <v>16000</v>
      </c>
      <c r="K839" s="49">
        <v>16000</v>
      </c>
      <c r="L839" s="47" t="s">
        <v>32</v>
      </c>
      <c r="M839" s="46">
        <v>0</v>
      </c>
      <c r="N839" s="48" t="s">
        <v>23</v>
      </c>
      <c r="O839" s="47" t="s">
        <v>73</v>
      </c>
    </row>
    <row r="840" ht="14.25" customHeight="1" spans="1:15">
      <c r="A840" s="43" t="s">
        <v>1763</v>
      </c>
      <c r="B840" s="44">
        <v>46158</v>
      </c>
      <c r="C840" s="45">
        <v>0.941666666666667</v>
      </c>
      <c r="D840" s="46">
        <f t="shared" si="0"/>
        <v>22</v>
      </c>
      <c r="E840" s="47" t="str">
        <f t="shared" si="7"/>
        <v>Saturday</v>
      </c>
      <c r="F840" s="47" t="s">
        <v>43</v>
      </c>
      <c r="G840" s="47" t="s">
        <v>27</v>
      </c>
      <c r="H840" s="43" t="s">
        <v>28</v>
      </c>
      <c r="I840" s="48">
        <v>1</v>
      </c>
      <c r="J840" s="49">
        <v>15000</v>
      </c>
      <c r="K840" s="49">
        <v>15000</v>
      </c>
      <c r="L840" s="47" t="s">
        <v>32</v>
      </c>
      <c r="M840" s="46">
        <v>0</v>
      </c>
      <c r="N840" s="48" t="s">
        <v>23</v>
      </c>
      <c r="O840" s="47" t="s">
        <v>40</v>
      </c>
    </row>
    <row r="841" ht="14.25" customHeight="1" spans="1:15">
      <c r="A841" s="43" t="s">
        <v>1764</v>
      </c>
      <c r="B841" s="44">
        <v>46158</v>
      </c>
      <c r="C841" s="45">
        <v>0.942361111111111</v>
      </c>
      <c r="D841" s="46">
        <f t="shared" si="0"/>
        <v>22</v>
      </c>
      <c r="E841" s="47" t="str">
        <f t="shared" si="7"/>
        <v>Saturday</v>
      </c>
      <c r="F841" s="47" t="s">
        <v>43</v>
      </c>
      <c r="G841" s="43" t="s">
        <v>165</v>
      </c>
      <c r="H841" s="43" t="s">
        <v>109</v>
      </c>
      <c r="I841" s="48">
        <v>2</v>
      </c>
      <c r="J841" s="49">
        <v>6000</v>
      </c>
      <c r="K841" s="50">
        <v>10800</v>
      </c>
      <c r="L841" s="47" t="s">
        <v>22</v>
      </c>
      <c r="M841" s="51">
        <v>0.1</v>
      </c>
      <c r="N841" s="48" t="s">
        <v>23</v>
      </c>
      <c r="O841" s="47" t="s">
        <v>40</v>
      </c>
    </row>
    <row r="842" ht="14.25" customHeight="1" spans="1:15">
      <c r="A842" s="43" t="s">
        <v>1766</v>
      </c>
      <c r="B842" s="44">
        <v>46159</v>
      </c>
      <c r="C842" s="45">
        <v>0.511805555555556</v>
      </c>
      <c r="D842" s="46">
        <f t="shared" si="0"/>
        <v>12</v>
      </c>
      <c r="E842" s="47" t="str">
        <f t="shared" si="7"/>
        <v>Sunday</v>
      </c>
      <c r="F842" s="47" t="s">
        <v>16</v>
      </c>
      <c r="G842" s="47" t="s">
        <v>95</v>
      </c>
      <c r="H842" s="43" t="s">
        <v>45</v>
      </c>
      <c r="I842" s="48">
        <v>1</v>
      </c>
      <c r="J842" s="49">
        <v>5000</v>
      </c>
      <c r="K842" s="49">
        <v>5000</v>
      </c>
      <c r="L842" s="47" t="s">
        <v>22</v>
      </c>
      <c r="M842" s="46">
        <v>0</v>
      </c>
      <c r="N842" s="48" t="s">
        <v>23</v>
      </c>
      <c r="O842" s="47" t="s">
        <v>24</v>
      </c>
    </row>
    <row r="843" ht="14.25" customHeight="1" spans="1:15">
      <c r="A843" s="43" t="s">
        <v>1769</v>
      </c>
      <c r="B843" s="44">
        <v>46159</v>
      </c>
      <c r="C843" s="45">
        <v>0.846527777777778</v>
      </c>
      <c r="D843" s="46">
        <f t="shared" si="0"/>
        <v>20</v>
      </c>
      <c r="E843" s="47" t="str">
        <f t="shared" si="7"/>
        <v>Sunday</v>
      </c>
      <c r="F843" s="47" t="s">
        <v>16</v>
      </c>
      <c r="G843" s="47" t="s">
        <v>63</v>
      </c>
      <c r="H843" s="43" t="s">
        <v>18</v>
      </c>
      <c r="I843" s="48">
        <v>1</v>
      </c>
      <c r="J843" s="49">
        <v>1500</v>
      </c>
      <c r="K843" s="49">
        <v>1500</v>
      </c>
      <c r="L843" s="47" t="s">
        <v>22</v>
      </c>
      <c r="M843" s="46">
        <v>0</v>
      </c>
      <c r="N843" s="48">
        <v>3</v>
      </c>
      <c r="O843" s="47" t="s">
        <v>24</v>
      </c>
    </row>
    <row r="844" ht="14.25" customHeight="1" spans="1:15">
      <c r="A844" s="43" t="s">
        <v>1770</v>
      </c>
      <c r="B844" s="44">
        <v>46159</v>
      </c>
      <c r="C844" s="45">
        <v>0.945138888888889</v>
      </c>
      <c r="D844" s="46">
        <f t="shared" si="0"/>
        <v>22</v>
      </c>
      <c r="E844" s="47" t="str">
        <f t="shared" si="7"/>
        <v>Sunday</v>
      </c>
      <c r="F844" s="47" t="s">
        <v>16</v>
      </c>
      <c r="G844" s="47" t="s">
        <v>63</v>
      </c>
      <c r="H844" s="43" t="s">
        <v>18</v>
      </c>
      <c r="I844" s="48">
        <v>2</v>
      </c>
      <c r="J844" s="49">
        <v>1500</v>
      </c>
      <c r="K844" s="49">
        <v>3000</v>
      </c>
      <c r="L844" s="47" t="s">
        <v>22</v>
      </c>
      <c r="M844" s="46">
        <v>0</v>
      </c>
      <c r="N844" s="48" t="s">
        <v>23</v>
      </c>
      <c r="O844" s="47" t="s">
        <v>33</v>
      </c>
    </row>
    <row r="845" ht="14.25" customHeight="1" spans="1:15">
      <c r="A845" s="43" t="s">
        <v>1773</v>
      </c>
      <c r="B845" s="44">
        <v>46159</v>
      </c>
      <c r="C845" s="45">
        <v>0.983333333333333</v>
      </c>
      <c r="D845" s="46">
        <f t="shared" si="0"/>
        <v>23</v>
      </c>
      <c r="E845" s="47" t="str">
        <f t="shared" si="7"/>
        <v>Sunday</v>
      </c>
      <c r="F845" s="47" t="s">
        <v>43</v>
      </c>
      <c r="G845" s="47" t="s">
        <v>81</v>
      </c>
      <c r="H845" s="43" t="s">
        <v>37</v>
      </c>
      <c r="I845" s="48">
        <v>1</v>
      </c>
      <c r="J845" s="49">
        <v>6000</v>
      </c>
      <c r="K845" s="49">
        <v>6000</v>
      </c>
      <c r="L845" s="47" t="s">
        <v>22</v>
      </c>
      <c r="M845" s="46">
        <v>0</v>
      </c>
      <c r="N845" s="48" t="s">
        <v>23</v>
      </c>
      <c r="O845" s="47" t="s">
        <v>73</v>
      </c>
    </row>
    <row r="846" ht="14.25" customHeight="1" spans="1:15">
      <c r="A846" s="43" t="s">
        <v>1775</v>
      </c>
      <c r="B846" s="44">
        <v>46160</v>
      </c>
      <c r="C846" s="45">
        <v>0.555555555555556</v>
      </c>
      <c r="D846" s="46">
        <f t="shared" si="0"/>
        <v>13</v>
      </c>
      <c r="E846" s="47" t="str">
        <f t="shared" si="7"/>
        <v>Monday</v>
      </c>
      <c r="F846" s="47" t="s">
        <v>16</v>
      </c>
      <c r="G846" s="47" t="s">
        <v>17</v>
      </c>
      <c r="H846" s="43" t="s">
        <v>18</v>
      </c>
      <c r="I846" s="48">
        <v>1</v>
      </c>
      <c r="J846" s="49">
        <f>K846/I846</f>
        <v>1000</v>
      </c>
      <c r="K846" s="49">
        <v>1000</v>
      </c>
      <c r="L846" s="47" t="s">
        <v>22</v>
      </c>
      <c r="M846" s="46">
        <v>0</v>
      </c>
      <c r="N846" s="48" t="s">
        <v>23</v>
      </c>
      <c r="O846" s="47" t="s">
        <v>47</v>
      </c>
    </row>
    <row r="847" ht="14.25" customHeight="1" spans="1:15">
      <c r="A847" s="43" t="s">
        <v>1777</v>
      </c>
      <c r="B847" s="44">
        <v>46160</v>
      </c>
      <c r="C847" s="45">
        <v>0.55625</v>
      </c>
      <c r="D847" s="46">
        <f t="shared" si="0"/>
        <v>13</v>
      </c>
      <c r="E847" s="47" t="str">
        <f t="shared" si="7"/>
        <v>Monday</v>
      </c>
      <c r="F847" s="47" t="s">
        <v>107</v>
      </c>
      <c r="G847" s="47" t="s">
        <v>17</v>
      </c>
      <c r="H847" s="43" t="s">
        <v>18</v>
      </c>
      <c r="I847" s="48">
        <v>2</v>
      </c>
      <c r="J847" s="49">
        <v>1000</v>
      </c>
      <c r="K847" s="49">
        <v>2000</v>
      </c>
      <c r="L847" s="47" t="s">
        <v>22</v>
      </c>
      <c r="M847" s="46">
        <v>0</v>
      </c>
      <c r="N847" s="48" t="s">
        <v>23</v>
      </c>
      <c r="O847" s="47" t="s">
        <v>47</v>
      </c>
    </row>
    <row r="848" ht="14.25" customHeight="1" spans="1:15">
      <c r="A848" s="43" t="s">
        <v>1779</v>
      </c>
      <c r="B848" s="44">
        <v>46160</v>
      </c>
      <c r="C848" s="45">
        <v>0.613888888888889</v>
      </c>
      <c r="D848" s="46">
        <f t="shared" si="0"/>
        <v>14</v>
      </c>
      <c r="E848" s="47" t="str">
        <f t="shared" si="7"/>
        <v>Monday</v>
      </c>
      <c r="F848" s="47" t="s">
        <v>43</v>
      </c>
      <c r="G848" s="47" t="s">
        <v>44</v>
      </c>
      <c r="H848" s="43" t="s">
        <v>45</v>
      </c>
      <c r="I848" s="48">
        <v>2</v>
      </c>
      <c r="J848" s="49">
        <v>4000</v>
      </c>
      <c r="K848" s="49">
        <v>8000</v>
      </c>
      <c r="L848" s="47" t="s">
        <v>32</v>
      </c>
      <c r="M848" s="46">
        <v>0</v>
      </c>
      <c r="N848" s="48" t="s">
        <v>23</v>
      </c>
      <c r="O848" s="47" t="s">
        <v>40</v>
      </c>
    </row>
    <row r="849" ht="14.25" customHeight="1" spans="1:15">
      <c r="A849" s="43" t="s">
        <v>1782</v>
      </c>
      <c r="B849" s="44">
        <v>46160</v>
      </c>
      <c r="C849" s="45">
        <v>0.731944444444444</v>
      </c>
      <c r="D849" s="46">
        <f t="shared" si="0"/>
        <v>17</v>
      </c>
      <c r="E849" s="47" t="str">
        <f t="shared" si="7"/>
        <v>Monday</v>
      </c>
      <c r="F849" s="47" t="s">
        <v>16</v>
      </c>
      <c r="G849" s="47" t="s">
        <v>17</v>
      </c>
      <c r="H849" s="43" t="s">
        <v>18</v>
      </c>
      <c r="I849" s="48">
        <v>1</v>
      </c>
      <c r="J849" s="49">
        <v>1000</v>
      </c>
      <c r="K849" s="49">
        <v>1000</v>
      </c>
      <c r="L849" s="47" t="s">
        <v>22</v>
      </c>
      <c r="M849" s="46">
        <v>0</v>
      </c>
      <c r="N849" s="48" t="s">
        <v>23</v>
      </c>
      <c r="O849" s="47" t="s">
        <v>47</v>
      </c>
    </row>
    <row r="850" ht="14.25" customHeight="1" spans="1:15">
      <c r="A850" s="43" t="s">
        <v>1784</v>
      </c>
      <c r="B850" s="44">
        <v>46160</v>
      </c>
      <c r="C850" s="45">
        <v>0.79375</v>
      </c>
      <c r="D850" s="46">
        <f t="shared" si="0"/>
        <v>19</v>
      </c>
      <c r="E850" s="47" t="str">
        <f t="shared" si="7"/>
        <v>Monday</v>
      </c>
      <c r="F850" s="47" t="s">
        <v>16</v>
      </c>
      <c r="G850" s="47" t="s">
        <v>63</v>
      </c>
      <c r="H850" s="43" t="s">
        <v>18</v>
      </c>
      <c r="I850" s="48">
        <v>1</v>
      </c>
      <c r="J850" s="49">
        <v>1500</v>
      </c>
      <c r="K850" s="49">
        <v>1500</v>
      </c>
      <c r="L850" s="47" t="s">
        <v>22</v>
      </c>
      <c r="M850" s="46">
        <v>0</v>
      </c>
      <c r="N850" s="48">
        <v>4</v>
      </c>
      <c r="O850" s="47" t="s">
        <v>40</v>
      </c>
    </row>
    <row r="851" ht="14.25" customHeight="1" spans="1:15">
      <c r="A851" s="43" t="s">
        <v>1785</v>
      </c>
      <c r="B851" s="44">
        <v>46160</v>
      </c>
      <c r="C851" s="45">
        <v>0.918055555555556</v>
      </c>
      <c r="D851" s="46">
        <f t="shared" si="0"/>
        <v>22</v>
      </c>
      <c r="E851" s="47" t="str">
        <f t="shared" si="7"/>
        <v>Monday</v>
      </c>
      <c r="F851" s="47" t="s">
        <v>107</v>
      </c>
      <c r="G851" s="47" t="s">
        <v>44</v>
      </c>
      <c r="H851" s="43" t="s">
        <v>45</v>
      </c>
      <c r="I851" s="48">
        <v>1</v>
      </c>
      <c r="J851" s="49">
        <v>4000</v>
      </c>
      <c r="K851" s="49">
        <v>4000</v>
      </c>
      <c r="L851" s="47" t="s">
        <v>22</v>
      </c>
      <c r="M851" s="46">
        <v>0</v>
      </c>
      <c r="N851" s="48">
        <v>4</v>
      </c>
      <c r="O851" s="47" t="s">
        <v>73</v>
      </c>
    </row>
    <row r="852" ht="14.25" customHeight="1" spans="1:15">
      <c r="A852" s="43" t="s">
        <v>1786</v>
      </c>
      <c r="B852" s="44">
        <v>46161</v>
      </c>
      <c r="C852" s="45">
        <v>0.790277777777778</v>
      </c>
      <c r="D852" s="46">
        <f t="shared" si="0"/>
        <v>18</v>
      </c>
      <c r="E852" s="47" t="str">
        <f t="shared" si="7"/>
        <v>Tuesday</v>
      </c>
      <c r="F852" s="47" t="s">
        <v>16</v>
      </c>
      <c r="G852" s="47" t="s">
        <v>50</v>
      </c>
      <c r="H852" s="43" t="s">
        <v>28</v>
      </c>
      <c r="I852" s="48">
        <v>1</v>
      </c>
      <c r="J852" s="49">
        <v>25000</v>
      </c>
      <c r="K852" s="50">
        <v>22500</v>
      </c>
      <c r="L852" s="47" t="s">
        <v>22</v>
      </c>
      <c r="M852" s="51">
        <v>0.1</v>
      </c>
      <c r="N852" s="48" t="s">
        <v>23</v>
      </c>
      <c r="O852" s="47" t="s">
        <v>47</v>
      </c>
    </row>
    <row r="853" ht="14.25" customHeight="1" spans="1:15">
      <c r="A853" s="43" t="s">
        <v>1790</v>
      </c>
      <c r="B853" s="44">
        <v>46161</v>
      </c>
      <c r="C853" s="45">
        <v>0.830555555555556</v>
      </c>
      <c r="D853" s="46">
        <f t="shared" si="0"/>
        <v>19</v>
      </c>
      <c r="E853" s="47" t="str">
        <f t="shared" si="7"/>
        <v>Tuesday</v>
      </c>
      <c r="F853" s="47" t="s">
        <v>16</v>
      </c>
      <c r="G853" s="47" t="s">
        <v>81</v>
      </c>
      <c r="H853" s="43" t="s">
        <v>37</v>
      </c>
      <c r="I853" s="48">
        <v>1</v>
      </c>
      <c r="J853" s="49">
        <v>6000</v>
      </c>
      <c r="K853" s="49">
        <v>6000</v>
      </c>
      <c r="L853" s="47" t="s">
        <v>22</v>
      </c>
      <c r="M853" s="46">
        <v>0</v>
      </c>
      <c r="N853" s="48">
        <v>5</v>
      </c>
      <c r="O853" s="47" t="s">
        <v>40</v>
      </c>
    </row>
    <row r="854" ht="14.25" customHeight="1" spans="1:15">
      <c r="A854" s="43" t="s">
        <v>1791</v>
      </c>
      <c r="B854" s="44">
        <v>46161</v>
      </c>
      <c r="C854" s="45">
        <v>0.873611111111111</v>
      </c>
      <c r="D854" s="46">
        <f t="shared" si="0"/>
        <v>20</v>
      </c>
      <c r="E854" s="47" t="str">
        <f t="shared" si="7"/>
        <v>Tuesday</v>
      </c>
      <c r="F854" s="47" t="s">
        <v>43</v>
      </c>
      <c r="G854" s="47" t="s">
        <v>50</v>
      </c>
      <c r="H854" s="43" t="s">
        <v>28</v>
      </c>
      <c r="I854" s="48">
        <v>1</v>
      </c>
      <c r="J854" s="49">
        <v>25000</v>
      </c>
      <c r="K854" s="50">
        <v>20000</v>
      </c>
      <c r="L854" s="47" t="s">
        <v>22</v>
      </c>
      <c r="M854" s="51">
        <v>0.2</v>
      </c>
      <c r="N854" s="48" t="s">
        <v>23</v>
      </c>
      <c r="O854" s="47" t="s">
        <v>40</v>
      </c>
    </row>
    <row r="855" ht="14.25" customHeight="1" spans="1:15">
      <c r="A855" s="43" t="s">
        <v>1792</v>
      </c>
      <c r="B855" s="44">
        <v>46161</v>
      </c>
      <c r="C855" s="45">
        <v>0.913194444444444</v>
      </c>
      <c r="D855" s="46">
        <f t="shared" si="0"/>
        <v>21</v>
      </c>
      <c r="E855" s="47" t="str">
        <f t="shared" si="7"/>
        <v>Tuesday</v>
      </c>
      <c r="F855" s="47" t="s">
        <v>16</v>
      </c>
      <c r="G855" s="47" t="s">
        <v>63</v>
      </c>
      <c r="H855" s="43" t="s">
        <v>18</v>
      </c>
      <c r="I855" s="48">
        <v>2</v>
      </c>
      <c r="J855" s="50">
        <v>1500</v>
      </c>
      <c r="K855" s="49">
        <v>3000</v>
      </c>
      <c r="L855" s="47" t="s">
        <v>32</v>
      </c>
      <c r="M855" s="46">
        <v>0</v>
      </c>
      <c r="N855" s="48" t="s">
        <v>23</v>
      </c>
      <c r="O855" s="47" t="s">
        <v>47</v>
      </c>
    </row>
    <row r="856" ht="14.25" customHeight="1" spans="1:15">
      <c r="A856" s="43" t="s">
        <v>1793</v>
      </c>
      <c r="B856" s="44">
        <v>46161</v>
      </c>
      <c r="C856" s="45">
        <v>0.928472222222222</v>
      </c>
      <c r="D856" s="46">
        <f t="shared" si="0"/>
        <v>22</v>
      </c>
      <c r="E856" s="47" t="str">
        <f t="shared" si="7"/>
        <v>Tuesday</v>
      </c>
      <c r="F856" s="47" t="s">
        <v>43</v>
      </c>
      <c r="G856" s="47" t="s">
        <v>63</v>
      </c>
      <c r="H856" s="43" t="s">
        <v>18</v>
      </c>
      <c r="I856" s="48">
        <v>1</v>
      </c>
      <c r="J856" s="49">
        <v>1500</v>
      </c>
      <c r="K856" s="49">
        <v>1500</v>
      </c>
      <c r="L856" s="47" t="s">
        <v>22</v>
      </c>
      <c r="M856" s="46">
        <v>0</v>
      </c>
      <c r="N856" s="48" t="s">
        <v>23</v>
      </c>
      <c r="O856" s="47" t="s">
        <v>33</v>
      </c>
    </row>
    <row r="857" ht="14.25" customHeight="1" spans="1:15">
      <c r="A857" s="43" t="s">
        <v>1794</v>
      </c>
      <c r="B857" s="44">
        <v>46162</v>
      </c>
      <c r="C857" s="45">
        <v>0.515277777777778</v>
      </c>
      <c r="D857" s="46">
        <f t="shared" si="0"/>
        <v>12</v>
      </c>
      <c r="E857" s="47" t="str">
        <f t="shared" si="7"/>
        <v>Wednesday</v>
      </c>
      <c r="F857" s="47" t="s">
        <v>16</v>
      </c>
      <c r="G857" s="47" t="s">
        <v>17</v>
      </c>
      <c r="H857" s="43" t="s">
        <v>18</v>
      </c>
      <c r="I857" s="48">
        <v>2</v>
      </c>
      <c r="J857" s="49">
        <v>1000</v>
      </c>
      <c r="K857" s="49">
        <v>2000</v>
      </c>
      <c r="L857" s="47" t="s">
        <v>22</v>
      </c>
      <c r="M857" s="46">
        <v>0</v>
      </c>
      <c r="N857" s="48" t="s">
        <v>23</v>
      </c>
      <c r="O857" s="47" t="s">
        <v>73</v>
      </c>
    </row>
    <row r="858" ht="14.25" customHeight="1" spans="1:15">
      <c r="A858" s="43" t="s">
        <v>1796</v>
      </c>
      <c r="B858" s="44">
        <v>46162</v>
      </c>
      <c r="C858" s="45">
        <v>0.570833333333333</v>
      </c>
      <c r="D858" s="46">
        <f t="shared" si="0"/>
        <v>13</v>
      </c>
      <c r="E858" s="47" t="str">
        <f t="shared" si="7"/>
        <v>Wednesday</v>
      </c>
      <c r="F858" s="47" t="s">
        <v>16</v>
      </c>
      <c r="G858" s="47" t="s">
        <v>146</v>
      </c>
      <c r="H858" s="43" t="s">
        <v>28</v>
      </c>
      <c r="I858" s="48">
        <f>K858/J858</f>
        <v>1</v>
      </c>
      <c r="J858" s="49">
        <v>16000</v>
      </c>
      <c r="K858" s="49">
        <v>16000</v>
      </c>
      <c r="L858" s="47" t="s">
        <v>32</v>
      </c>
      <c r="M858" s="46">
        <v>0</v>
      </c>
      <c r="N858" s="48" t="s">
        <v>23</v>
      </c>
      <c r="O858" s="47" t="s">
        <v>47</v>
      </c>
    </row>
    <row r="859" ht="14.25" customHeight="1" spans="1:15">
      <c r="A859" s="43" t="s">
        <v>1797</v>
      </c>
      <c r="B859" s="44">
        <v>46162</v>
      </c>
      <c r="C859" s="45">
        <v>0.685416666666667</v>
      </c>
      <c r="D859" s="46">
        <f t="shared" si="0"/>
        <v>16</v>
      </c>
      <c r="E859" s="47" t="str">
        <f t="shared" si="7"/>
        <v>Wednesday</v>
      </c>
      <c r="F859" s="47" t="s">
        <v>107</v>
      </c>
      <c r="G859" s="47" t="s">
        <v>27</v>
      </c>
      <c r="H859" s="43" t="s">
        <v>28</v>
      </c>
      <c r="I859" s="48">
        <v>1</v>
      </c>
      <c r="J859" s="49">
        <v>15000</v>
      </c>
      <c r="K859" s="49">
        <v>15000</v>
      </c>
      <c r="L859" s="47" t="s">
        <v>22</v>
      </c>
      <c r="M859" s="46">
        <v>0</v>
      </c>
      <c r="N859" s="48" t="s">
        <v>23</v>
      </c>
      <c r="O859" s="47" t="s">
        <v>47</v>
      </c>
    </row>
    <row r="860" ht="14.25" customHeight="1" spans="1:15">
      <c r="A860" s="43" t="s">
        <v>1799</v>
      </c>
      <c r="B860" s="44">
        <v>46162</v>
      </c>
      <c r="C860" s="45">
        <v>0.839583333333333</v>
      </c>
      <c r="D860" s="46">
        <f t="shared" si="0"/>
        <v>20</v>
      </c>
      <c r="E860" s="47" t="str">
        <f t="shared" si="7"/>
        <v>Wednesday</v>
      </c>
      <c r="F860" s="47" t="s">
        <v>16</v>
      </c>
      <c r="G860" s="47" t="s">
        <v>103</v>
      </c>
      <c r="H860" s="43" t="s">
        <v>37</v>
      </c>
      <c r="I860" s="48">
        <v>1</v>
      </c>
      <c r="J860" s="49">
        <v>5000</v>
      </c>
      <c r="K860" s="49">
        <v>5000</v>
      </c>
      <c r="L860" s="47" t="s">
        <v>22</v>
      </c>
      <c r="M860" s="46">
        <v>0</v>
      </c>
      <c r="N860" s="48" t="s">
        <v>23</v>
      </c>
      <c r="O860" s="47" t="s">
        <v>24</v>
      </c>
    </row>
    <row r="861" ht="14.25" customHeight="1" spans="1:15">
      <c r="A861" s="43" t="s">
        <v>1800</v>
      </c>
      <c r="B861" s="44">
        <v>46162</v>
      </c>
      <c r="C861" s="45">
        <v>0.850694444444444</v>
      </c>
      <c r="D861" s="46">
        <f t="shared" si="0"/>
        <v>20</v>
      </c>
      <c r="E861" s="47" t="str">
        <f t="shared" si="7"/>
        <v>Wednesday</v>
      </c>
      <c r="F861" s="47" t="s">
        <v>16</v>
      </c>
      <c r="G861" s="47" t="s">
        <v>146</v>
      </c>
      <c r="H861" s="43" t="s">
        <v>28</v>
      </c>
      <c r="I861" s="48">
        <v>3</v>
      </c>
      <c r="J861" s="49">
        <v>16000</v>
      </c>
      <c r="K861" s="50">
        <v>38400</v>
      </c>
      <c r="L861" s="47" t="s">
        <v>22</v>
      </c>
      <c r="M861" s="51">
        <v>0.2</v>
      </c>
      <c r="N861" s="48">
        <v>5</v>
      </c>
      <c r="O861" s="47" t="s">
        <v>73</v>
      </c>
    </row>
    <row r="862" ht="14.25" customHeight="1" spans="1:15">
      <c r="A862" s="43" t="s">
        <v>1802</v>
      </c>
      <c r="B862" s="44">
        <v>46162</v>
      </c>
      <c r="C862" s="45">
        <v>0.858333333333333</v>
      </c>
      <c r="D862" s="46">
        <f t="shared" si="0"/>
        <v>20</v>
      </c>
      <c r="E862" s="47" t="str">
        <f t="shared" si="7"/>
        <v>Wednesday</v>
      </c>
      <c r="F862" s="47" t="s">
        <v>107</v>
      </c>
      <c r="G862" s="47" t="s">
        <v>103</v>
      </c>
      <c r="H862" s="43" t="s">
        <v>37</v>
      </c>
      <c r="I862" s="48">
        <v>1</v>
      </c>
      <c r="J862" s="49">
        <v>5000</v>
      </c>
      <c r="K862" s="49">
        <v>5000</v>
      </c>
      <c r="L862" s="47" t="s">
        <v>22</v>
      </c>
      <c r="M862" s="46">
        <v>0</v>
      </c>
      <c r="N862" s="48" t="s">
        <v>23</v>
      </c>
      <c r="O862" s="47" t="s">
        <v>33</v>
      </c>
    </row>
    <row r="863" ht="14.25" customHeight="1" spans="1:15">
      <c r="A863" s="43" t="s">
        <v>1803</v>
      </c>
      <c r="B863" s="44">
        <v>46162</v>
      </c>
      <c r="C863" s="45">
        <v>0.878472222222222</v>
      </c>
      <c r="D863" s="46">
        <f t="shared" si="0"/>
        <v>21</v>
      </c>
      <c r="E863" s="47" t="str">
        <f t="shared" si="7"/>
        <v>Wednesday</v>
      </c>
      <c r="F863" s="47" t="s">
        <v>43</v>
      </c>
      <c r="G863" s="47" t="s">
        <v>146</v>
      </c>
      <c r="H863" s="43" t="s">
        <v>28</v>
      </c>
      <c r="I863" s="48">
        <v>1</v>
      </c>
      <c r="J863" s="49">
        <v>16000</v>
      </c>
      <c r="K863" s="49">
        <v>16000</v>
      </c>
      <c r="L863" s="47" t="s">
        <v>32</v>
      </c>
      <c r="M863" s="46">
        <v>0</v>
      </c>
      <c r="N863" s="48" t="s">
        <v>23</v>
      </c>
      <c r="O863" s="47" t="s">
        <v>40</v>
      </c>
    </row>
    <row r="864" ht="14.25" customHeight="1" spans="1:15">
      <c r="A864" s="43" t="s">
        <v>1804</v>
      </c>
      <c r="B864" s="44">
        <v>46162</v>
      </c>
      <c r="C864" s="45">
        <v>0.879861111111111</v>
      </c>
      <c r="D864" s="46">
        <f t="shared" si="0"/>
        <v>21</v>
      </c>
      <c r="E864" s="47" t="str">
        <f t="shared" si="7"/>
        <v>Wednesday</v>
      </c>
      <c r="F864" s="47" t="s">
        <v>16</v>
      </c>
      <c r="G864" s="47" t="s">
        <v>50</v>
      </c>
      <c r="H864" s="43" t="s">
        <v>28</v>
      </c>
      <c r="I864" s="48">
        <v>1</v>
      </c>
      <c r="J864" s="49">
        <v>25000</v>
      </c>
      <c r="K864" s="49">
        <v>25000</v>
      </c>
      <c r="L864" s="47" t="s">
        <v>32</v>
      </c>
      <c r="M864" s="46">
        <v>0</v>
      </c>
      <c r="N864" s="48">
        <v>4</v>
      </c>
      <c r="O864" s="47" t="s">
        <v>33</v>
      </c>
    </row>
    <row r="865" ht="14.25" customHeight="1" spans="1:15">
      <c r="A865" s="43" t="s">
        <v>1805</v>
      </c>
      <c r="B865" s="44">
        <v>46162</v>
      </c>
      <c r="C865" s="45">
        <v>0.886111111111111</v>
      </c>
      <c r="D865" s="46">
        <f t="shared" si="0"/>
        <v>21</v>
      </c>
      <c r="E865" s="47" t="str">
        <f t="shared" si="7"/>
        <v>Wednesday</v>
      </c>
      <c r="F865" s="47" t="s">
        <v>16</v>
      </c>
      <c r="G865" s="47" t="s">
        <v>50</v>
      </c>
      <c r="H865" s="43" t="s">
        <v>28</v>
      </c>
      <c r="I865" s="48">
        <v>1</v>
      </c>
      <c r="J865" s="49">
        <v>25000</v>
      </c>
      <c r="K865" s="50">
        <v>21250</v>
      </c>
      <c r="L865" s="47" t="s">
        <v>22</v>
      </c>
      <c r="M865" s="51">
        <v>0.15</v>
      </c>
      <c r="N865" s="48" t="s">
        <v>23</v>
      </c>
      <c r="O865" s="47" t="s">
        <v>40</v>
      </c>
    </row>
    <row r="866" ht="14.25" customHeight="1" spans="1:15">
      <c r="A866" s="43" t="s">
        <v>1807</v>
      </c>
      <c r="B866" s="44">
        <v>46162</v>
      </c>
      <c r="C866" s="45">
        <v>0.896527777777778</v>
      </c>
      <c r="D866" s="46">
        <f t="shared" si="0"/>
        <v>21</v>
      </c>
      <c r="E866" s="47" t="str">
        <f t="shared" si="7"/>
        <v>Wednesday</v>
      </c>
      <c r="F866" s="47" t="s">
        <v>16</v>
      </c>
      <c r="G866" s="47" t="s">
        <v>146</v>
      </c>
      <c r="H866" s="43" t="s">
        <v>28</v>
      </c>
      <c r="I866" s="48">
        <v>1</v>
      </c>
      <c r="J866" s="49">
        <v>16000</v>
      </c>
      <c r="K866" s="49">
        <v>16000</v>
      </c>
      <c r="L866" s="47" t="s">
        <v>32</v>
      </c>
      <c r="M866" s="46">
        <v>0</v>
      </c>
      <c r="N866" s="48">
        <v>3</v>
      </c>
      <c r="O866" s="47" t="s">
        <v>33</v>
      </c>
    </row>
    <row r="867" ht="14.25" customHeight="1" spans="1:15">
      <c r="A867" s="43" t="s">
        <v>1808</v>
      </c>
      <c r="B867" s="44">
        <v>46162</v>
      </c>
      <c r="C867" s="45">
        <v>0.898611111111111</v>
      </c>
      <c r="D867" s="46">
        <f t="shared" si="0"/>
        <v>21</v>
      </c>
      <c r="E867" s="47" t="str">
        <f t="shared" si="7"/>
        <v>Wednesday</v>
      </c>
      <c r="F867" s="47" t="s">
        <v>16</v>
      </c>
      <c r="G867" s="47" t="s">
        <v>103</v>
      </c>
      <c r="H867" s="43" t="str">
        <f>VLOOKUP(G867,'02_Menu_Lookup'!$A$2:$C$16,2,FALSE)</f>
        <v>Sandwiches</v>
      </c>
      <c r="I867" s="48">
        <v>2</v>
      </c>
      <c r="J867" s="49">
        <v>5000</v>
      </c>
      <c r="K867" s="49">
        <v>10000</v>
      </c>
      <c r="L867" s="47" t="s">
        <v>22</v>
      </c>
      <c r="M867" s="46">
        <v>0</v>
      </c>
      <c r="N867" s="48" t="s">
        <v>23</v>
      </c>
      <c r="O867" s="47" t="s">
        <v>40</v>
      </c>
    </row>
    <row r="868" ht="14.25" customHeight="1" spans="1:15">
      <c r="A868" s="43" t="s">
        <v>1810</v>
      </c>
      <c r="B868" s="44">
        <v>46162</v>
      </c>
      <c r="C868" s="45">
        <v>0.936805555555556</v>
      </c>
      <c r="D868" s="46">
        <f t="shared" si="0"/>
        <v>22</v>
      </c>
      <c r="E868" s="47" t="str">
        <f t="shared" si="7"/>
        <v>Wednesday</v>
      </c>
      <c r="F868" s="47" t="s">
        <v>16</v>
      </c>
      <c r="G868" s="47" t="s">
        <v>50</v>
      </c>
      <c r="H868" s="43" t="s">
        <v>28</v>
      </c>
      <c r="I868" s="48">
        <v>1</v>
      </c>
      <c r="J868" s="49">
        <v>25000</v>
      </c>
      <c r="K868" s="50">
        <v>22500</v>
      </c>
      <c r="L868" s="47" t="s">
        <v>22</v>
      </c>
      <c r="M868" s="51">
        <v>0.1</v>
      </c>
      <c r="N868" s="48">
        <v>5</v>
      </c>
      <c r="O868" s="47" t="s">
        <v>40</v>
      </c>
    </row>
    <row r="869" ht="14.25" customHeight="1" spans="1:15">
      <c r="A869" s="43" t="s">
        <v>1811</v>
      </c>
      <c r="B869" s="44">
        <v>46163</v>
      </c>
      <c r="C869" s="45">
        <v>0.555555555555556</v>
      </c>
      <c r="D869" s="46">
        <f t="shared" si="0"/>
        <v>13</v>
      </c>
      <c r="E869" s="47" t="str">
        <f t="shared" si="7"/>
        <v>Thursday</v>
      </c>
      <c r="F869" s="47" t="s">
        <v>16</v>
      </c>
      <c r="G869" s="47" t="s">
        <v>57</v>
      </c>
      <c r="H869" s="43" t="s">
        <v>28</v>
      </c>
      <c r="I869" s="48">
        <v>3</v>
      </c>
      <c r="J869" s="49">
        <v>18000</v>
      </c>
      <c r="K869" s="49">
        <v>54000</v>
      </c>
      <c r="L869" s="47" t="s">
        <v>32</v>
      </c>
      <c r="M869" s="46">
        <v>0</v>
      </c>
      <c r="N869" s="48" t="s">
        <v>23</v>
      </c>
      <c r="O869" s="47" t="s">
        <v>73</v>
      </c>
    </row>
    <row r="870" ht="14.25" customHeight="1" spans="1:15">
      <c r="A870" s="43" t="s">
        <v>1814</v>
      </c>
      <c r="B870" s="44">
        <v>46163</v>
      </c>
      <c r="C870" s="45">
        <v>0.595833333333333</v>
      </c>
      <c r="D870" s="46">
        <f t="shared" si="0"/>
        <v>14</v>
      </c>
      <c r="E870" s="47" t="str">
        <f t="shared" si="7"/>
        <v>Thursday</v>
      </c>
      <c r="F870" s="47" t="s">
        <v>16</v>
      </c>
      <c r="G870" s="47" t="s">
        <v>146</v>
      </c>
      <c r="H870" s="43" t="s">
        <v>28</v>
      </c>
      <c r="I870" s="48">
        <v>1</v>
      </c>
      <c r="J870" s="49">
        <v>16000</v>
      </c>
      <c r="K870" s="50">
        <v>16000</v>
      </c>
      <c r="L870" s="47" t="s">
        <v>22</v>
      </c>
      <c r="M870" s="46">
        <v>0</v>
      </c>
      <c r="N870" s="48" t="s">
        <v>23</v>
      </c>
      <c r="O870" s="47" t="s">
        <v>33</v>
      </c>
    </row>
    <row r="871" ht="14.25" customHeight="1" spans="1:15">
      <c r="A871" s="43" t="s">
        <v>1815</v>
      </c>
      <c r="B871" s="44">
        <v>46163</v>
      </c>
      <c r="C871" s="45">
        <v>0.606944444444444</v>
      </c>
      <c r="D871" s="46">
        <f t="shared" si="0"/>
        <v>14</v>
      </c>
      <c r="E871" s="47" t="str">
        <f t="shared" si="7"/>
        <v>Thursday</v>
      </c>
      <c r="F871" s="47" t="s">
        <v>16</v>
      </c>
      <c r="G871" s="47" t="s">
        <v>27</v>
      </c>
      <c r="H871" s="43" t="s">
        <v>28</v>
      </c>
      <c r="I871" s="48">
        <v>1</v>
      </c>
      <c r="J871" s="49">
        <v>15000</v>
      </c>
      <c r="K871" s="49">
        <v>15000</v>
      </c>
      <c r="L871" s="47" t="s">
        <v>32</v>
      </c>
      <c r="M871" s="46">
        <v>0</v>
      </c>
      <c r="N871" s="48" t="s">
        <v>23</v>
      </c>
      <c r="O871" s="47" t="s">
        <v>73</v>
      </c>
    </row>
    <row r="872" ht="14.25" customHeight="1" spans="1:15">
      <c r="A872" s="43" t="s">
        <v>1817</v>
      </c>
      <c r="B872" s="44">
        <v>46163</v>
      </c>
      <c r="C872" s="45">
        <v>0.791666666666667</v>
      </c>
      <c r="D872" s="46">
        <f t="shared" si="0"/>
        <v>19</v>
      </c>
      <c r="E872" s="47" t="str">
        <f t="shared" si="7"/>
        <v>Thursday</v>
      </c>
      <c r="F872" s="47" t="s">
        <v>43</v>
      </c>
      <c r="G872" s="47" t="s">
        <v>81</v>
      </c>
      <c r="H872" s="43" t="s">
        <v>37</v>
      </c>
      <c r="I872" s="48">
        <v>1</v>
      </c>
      <c r="J872" s="49">
        <v>6000</v>
      </c>
      <c r="K872" s="49">
        <v>6000</v>
      </c>
      <c r="L872" s="47" t="s">
        <v>32</v>
      </c>
      <c r="M872" s="46">
        <v>0</v>
      </c>
      <c r="N872" s="48" t="s">
        <v>23</v>
      </c>
      <c r="O872" s="47" t="s">
        <v>40</v>
      </c>
    </row>
    <row r="873" ht="14.25" customHeight="1" spans="1:15">
      <c r="A873" s="43" t="s">
        <v>1818</v>
      </c>
      <c r="B873" s="44">
        <v>46163</v>
      </c>
      <c r="C873" s="45">
        <v>0.890277777777778</v>
      </c>
      <c r="D873" s="46">
        <f t="shared" si="0"/>
        <v>21</v>
      </c>
      <c r="E873" s="47" t="str">
        <f t="shared" si="7"/>
        <v>Thursday</v>
      </c>
      <c r="F873" s="47" t="s">
        <v>16</v>
      </c>
      <c r="G873" s="43" t="s">
        <v>165</v>
      </c>
      <c r="H873" s="43" t="s">
        <v>109</v>
      </c>
      <c r="I873" s="48">
        <v>1</v>
      </c>
      <c r="J873" s="49">
        <v>6000</v>
      </c>
      <c r="K873" s="50">
        <v>5100</v>
      </c>
      <c r="L873" s="47" t="s">
        <v>32</v>
      </c>
      <c r="M873" s="51">
        <v>0.15</v>
      </c>
      <c r="N873" s="48">
        <v>4</v>
      </c>
      <c r="O873" s="47" t="s">
        <v>40</v>
      </c>
    </row>
    <row r="874" ht="14.25" customHeight="1" spans="1:15">
      <c r="A874" s="43" t="s">
        <v>1820</v>
      </c>
      <c r="B874" s="44">
        <v>46163</v>
      </c>
      <c r="C874" s="45">
        <v>0.89375</v>
      </c>
      <c r="D874" s="46">
        <f t="shared" si="0"/>
        <v>21</v>
      </c>
      <c r="E874" s="47" t="str">
        <f t="shared" si="7"/>
        <v>Thursday</v>
      </c>
      <c r="F874" s="47" t="s">
        <v>16</v>
      </c>
      <c r="G874" s="47" t="s">
        <v>27</v>
      </c>
      <c r="H874" s="43" t="s">
        <v>28</v>
      </c>
      <c r="I874" s="48">
        <v>2</v>
      </c>
      <c r="J874" s="49">
        <v>15000</v>
      </c>
      <c r="K874" s="49">
        <v>30000</v>
      </c>
      <c r="L874" s="47" t="s">
        <v>22</v>
      </c>
      <c r="M874" s="46">
        <v>0</v>
      </c>
      <c r="N874" s="48" t="s">
        <v>23</v>
      </c>
      <c r="O874" s="47" t="s">
        <v>40</v>
      </c>
    </row>
    <row r="875" ht="14.25" customHeight="1" spans="1:15">
      <c r="A875" s="43" t="s">
        <v>1821</v>
      </c>
      <c r="B875" s="44">
        <v>46163</v>
      </c>
      <c r="C875" s="45">
        <v>0.990277777777778</v>
      </c>
      <c r="D875" s="46">
        <f t="shared" si="0"/>
        <v>23</v>
      </c>
      <c r="E875" s="47" t="str">
        <f t="shared" si="7"/>
        <v>Thursday</v>
      </c>
      <c r="F875" s="47" t="s">
        <v>107</v>
      </c>
      <c r="G875" s="47" t="s">
        <v>367</v>
      </c>
      <c r="H875" s="43" t="s">
        <v>109</v>
      </c>
      <c r="I875" s="48">
        <v>1</v>
      </c>
      <c r="J875" s="49">
        <v>7000</v>
      </c>
      <c r="K875" s="49">
        <v>7000</v>
      </c>
      <c r="L875" s="47" t="s">
        <v>22</v>
      </c>
      <c r="M875" s="46">
        <v>0</v>
      </c>
      <c r="N875" s="48">
        <v>4</v>
      </c>
      <c r="O875" s="47" t="s">
        <v>33</v>
      </c>
    </row>
    <row r="876" ht="14.25" customHeight="1" spans="1:15">
      <c r="A876" s="43" t="s">
        <v>1822</v>
      </c>
      <c r="B876" s="44">
        <v>46164</v>
      </c>
      <c r="C876" s="45">
        <v>0.545833333333333</v>
      </c>
      <c r="D876" s="46">
        <f t="shared" si="0"/>
        <v>13</v>
      </c>
      <c r="E876" s="47" t="str">
        <f t="shared" si="7"/>
        <v>Friday</v>
      </c>
      <c r="F876" s="47" t="s">
        <v>107</v>
      </c>
      <c r="G876" s="47" t="s">
        <v>81</v>
      </c>
      <c r="H876" s="43" t="s">
        <v>37</v>
      </c>
      <c r="I876" s="48">
        <v>1</v>
      </c>
      <c r="J876" s="49">
        <v>6000</v>
      </c>
      <c r="K876" s="50">
        <v>6000</v>
      </c>
      <c r="L876" s="47" t="s">
        <v>22</v>
      </c>
      <c r="M876" s="46">
        <v>0</v>
      </c>
      <c r="N876" s="48">
        <v>5</v>
      </c>
      <c r="O876" s="47" t="s">
        <v>47</v>
      </c>
    </row>
    <row r="877" ht="14.25" customHeight="1" spans="1:15">
      <c r="A877" s="43" t="s">
        <v>1824</v>
      </c>
      <c r="B877" s="44">
        <v>46164</v>
      </c>
      <c r="C877" s="45">
        <v>0.629861111111111</v>
      </c>
      <c r="D877" s="46">
        <f t="shared" si="0"/>
        <v>15</v>
      </c>
      <c r="E877" s="47" t="str">
        <f t="shared" si="7"/>
        <v>Friday</v>
      </c>
      <c r="F877" s="47" t="s">
        <v>16</v>
      </c>
      <c r="G877" s="47" t="s">
        <v>367</v>
      </c>
      <c r="H877" s="43" t="str">
        <f>VLOOKUP(G877,'02_Menu_Lookup'!$A$2:$C$16,2,FALSE)</f>
        <v>Desserts</v>
      </c>
      <c r="I877" s="48">
        <v>1</v>
      </c>
      <c r="J877" s="49">
        <v>7000</v>
      </c>
      <c r="K877" s="49">
        <v>7000</v>
      </c>
      <c r="L877" s="47" t="s">
        <v>22</v>
      </c>
      <c r="M877" s="46">
        <v>0</v>
      </c>
      <c r="N877" s="48" t="s">
        <v>23</v>
      </c>
      <c r="O877" s="47" t="s">
        <v>40</v>
      </c>
    </row>
    <row r="878" ht="14.25" customHeight="1" spans="1:15">
      <c r="A878" s="43" t="s">
        <v>1825</v>
      </c>
      <c r="B878" s="44">
        <v>46164</v>
      </c>
      <c r="C878" s="45">
        <v>0.835416666666667</v>
      </c>
      <c r="D878" s="46">
        <f t="shared" si="0"/>
        <v>20</v>
      </c>
      <c r="E878" s="47" t="str">
        <f t="shared" si="7"/>
        <v>Friday</v>
      </c>
      <c r="F878" s="47" t="s">
        <v>43</v>
      </c>
      <c r="G878" s="47" t="s">
        <v>103</v>
      </c>
      <c r="H878" s="43" t="s">
        <v>37</v>
      </c>
      <c r="I878" s="48">
        <v>1</v>
      </c>
      <c r="J878" s="49">
        <v>5000</v>
      </c>
      <c r="K878" s="50">
        <v>4500</v>
      </c>
      <c r="L878" s="47" t="s">
        <v>22</v>
      </c>
      <c r="M878" s="51">
        <v>0.1</v>
      </c>
      <c r="N878" s="48" t="s">
        <v>23</v>
      </c>
      <c r="O878" s="47" t="s">
        <v>24</v>
      </c>
    </row>
    <row r="879" ht="14.25" customHeight="1" spans="1:15">
      <c r="A879" s="43" t="s">
        <v>1826</v>
      </c>
      <c r="B879" s="44">
        <v>46164</v>
      </c>
      <c r="C879" s="45">
        <v>0.836805555555556</v>
      </c>
      <c r="D879" s="46">
        <f t="shared" si="0"/>
        <v>20</v>
      </c>
      <c r="E879" s="47" t="str">
        <f t="shared" si="7"/>
        <v>Friday</v>
      </c>
      <c r="F879" s="47" t="s">
        <v>107</v>
      </c>
      <c r="G879" s="47" t="s">
        <v>146</v>
      </c>
      <c r="H879" s="43" t="s">
        <v>28</v>
      </c>
      <c r="I879" s="48">
        <v>1</v>
      </c>
      <c r="J879" s="49">
        <v>16000</v>
      </c>
      <c r="K879" s="49">
        <v>16000</v>
      </c>
      <c r="L879" s="47" t="s">
        <v>22</v>
      </c>
      <c r="M879" s="46">
        <v>0</v>
      </c>
      <c r="N879" s="48">
        <v>4</v>
      </c>
      <c r="O879" s="47" t="s">
        <v>73</v>
      </c>
    </row>
    <row r="880" ht="14.25" customHeight="1" spans="1:15">
      <c r="A880" s="43" t="s">
        <v>1827</v>
      </c>
      <c r="B880" s="44">
        <v>46164</v>
      </c>
      <c r="C880" s="45">
        <v>0.882638888888889</v>
      </c>
      <c r="D880" s="46">
        <f t="shared" si="0"/>
        <v>21</v>
      </c>
      <c r="E880" s="47" t="str">
        <f t="shared" si="7"/>
        <v>Friday</v>
      </c>
      <c r="F880" s="47" t="s">
        <v>107</v>
      </c>
      <c r="G880" s="47" t="s">
        <v>63</v>
      </c>
      <c r="H880" s="43" t="s">
        <v>18</v>
      </c>
      <c r="I880" s="48">
        <v>1</v>
      </c>
      <c r="J880" s="49">
        <v>1500</v>
      </c>
      <c r="K880" s="49">
        <v>1500</v>
      </c>
      <c r="L880" s="47" t="s">
        <v>22</v>
      </c>
      <c r="M880" s="46">
        <v>0</v>
      </c>
      <c r="N880" s="48">
        <v>4</v>
      </c>
      <c r="O880" s="47" t="s">
        <v>33</v>
      </c>
    </row>
    <row r="881" ht="14.25" customHeight="1" spans="1:15">
      <c r="A881" s="43" t="s">
        <v>1828</v>
      </c>
      <c r="B881" s="44">
        <v>46164</v>
      </c>
      <c r="C881" s="45">
        <v>0.883333333333333</v>
      </c>
      <c r="D881" s="46">
        <f t="shared" si="0"/>
        <v>21</v>
      </c>
      <c r="E881" s="47" t="str">
        <f t="shared" si="7"/>
        <v>Friday</v>
      </c>
      <c r="F881" s="47" t="s">
        <v>16</v>
      </c>
      <c r="G881" s="47" t="s">
        <v>50</v>
      </c>
      <c r="H881" s="43" t="s">
        <v>28</v>
      </c>
      <c r="I881" s="48">
        <v>1</v>
      </c>
      <c r="J881" s="49">
        <v>25000</v>
      </c>
      <c r="K881" s="50">
        <v>22500</v>
      </c>
      <c r="L881" s="47" t="s">
        <v>22</v>
      </c>
      <c r="M881" s="51">
        <v>0.1</v>
      </c>
      <c r="N881" s="48" t="s">
        <v>23</v>
      </c>
      <c r="O881" s="47" t="s">
        <v>40</v>
      </c>
    </row>
    <row r="882" ht="14.25" customHeight="1" spans="1:15">
      <c r="A882" s="43" t="s">
        <v>1830</v>
      </c>
      <c r="B882" s="44">
        <v>46164</v>
      </c>
      <c r="C882" s="45">
        <v>0.8875</v>
      </c>
      <c r="D882" s="46">
        <f t="shared" si="0"/>
        <v>21</v>
      </c>
      <c r="E882" s="47" t="str">
        <f t="shared" si="7"/>
        <v>Friday</v>
      </c>
      <c r="F882" s="47" t="s">
        <v>16</v>
      </c>
      <c r="G882" s="47" t="s">
        <v>95</v>
      </c>
      <c r="H882" s="43" t="s">
        <v>45</v>
      </c>
      <c r="I882" s="48">
        <v>2</v>
      </c>
      <c r="J882" s="49">
        <v>5000</v>
      </c>
      <c r="K882" s="49">
        <v>10000</v>
      </c>
      <c r="L882" s="47" t="s">
        <v>22</v>
      </c>
      <c r="M882" s="46">
        <v>0</v>
      </c>
      <c r="N882" s="48" t="s">
        <v>23</v>
      </c>
      <c r="O882" s="47" t="s">
        <v>73</v>
      </c>
    </row>
    <row r="883" ht="14.25" customHeight="1" spans="1:15">
      <c r="A883" s="43" t="s">
        <v>1831</v>
      </c>
      <c r="B883" s="44">
        <v>46164</v>
      </c>
      <c r="C883" s="45">
        <v>0.941666666666667</v>
      </c>
      <c r="D883" s="46">
        <f t="shared" si="0"/>
        <v>22</v>
      </c>
      <c r="E883" s="47" t="str">
        <f t="shared" si="7"/>
        <v>Friday</v>
      </c>
      <c r="F883" s="47" t="s">
        <v>16</v>
      </c>
      <c r="G883" s="47" t="s">
        <v>81</v>
      </c>
      <c r="H883" s="43" t="s">
        <v>37</v>
      </c>
      <c r="I883" s="48">
        <v>2</v>
      </c>
      <c r="J883" s="49">
        <v>6000</v>
      </c>
      <c r="K883" s="49">
        <v>12000</v>
      </c>
      <c r="L883" s="47" t="s">
        <v>22</v>
      </c>
      <c r="M883" s="46">
        <v>0</v>
      </c>
      <c r="N883" s="48">
        <v>5</v>
      </c>
      <c r="O883" s="47" t="s">
        <v>24</v>
      </c>
    </row>
    <row r="884" ht="14.25" customHeight="1" spans="1:15">
      <c r="A884" s="43" t="s">
        <v>1833</v>
      </c>
      <c r="B884" s="44">
        <v>46165</v>
      </c>
      <c r="C884" s="45">
        <v>0.842361111111111</v>
      </c>
      <c r="D884" s="46">
        <f t="shared" si="0"/>
        <v>20</v>
      </c>
      <c r="E884" s="47" t="str">
        <f t="shared" si="7"/>
        <v>Saturday</v>
      </c>
      <c r="F884" s="47" t="s">
        <v>16</v>
      </c>
      <c r="G884" s="47" t="s">
        <v>57</v>
      </c>
      <c r="H884" s="47" t="s">
        <v>28</v>
      </c>
      <c r="I884" s="48">
        <v>1</v>
      </c>
      <c r="J884" s="49">
        <v>18000</v>
      </c>
      <c r="K884" s="49">
        <v>18000</v>
      </c>
      <c r="L884" s="47" t="s">
        <v>22</v>
      </c>
      <c r="M884" s="46">
        <v>0</v>
      </c>
      <c r="N884" s="48">
        <v>4</v>
      </c>
      <c r="O884" s="47" t="s">
        <v>73</v>
      </c>
    </row>
    <row r="885" ht="14.25" customHeight="1" spans="1:15">
      <c r="A885" s="43" t="s">
        <v>1835</v>
      </c>
      <c r="B885" s="44">
        <v>46165</v>
      </c>
      <c r="C885" s="45">
        <v>0.845833333333333</v>
      </c>
      <c r="D885" s="46">
        <f t="shared" si="0"/>
        <v>20</v>
      </c>
      <c r="E885" s="47" t="str">
        <f t="shared" si="7"/>
        <v>Saturday</v>
      </c>
      <c r="F885" s="47" t="s">
        <v>16</v>
      </c>
      <c r="G885" s="47" t="s">
        <v>63</v>
      </c>
      <c r="H885" s="43" t="s">
        <v>18</v>
      </c>
      <c r="I885" s="48">
        <v>1</v>
      </c>
      <c r="J885" s="49">
        <f>K885/I885</f>
        <v>1500</v>
      </c>
      <c r="K885" s="49">
        <v>1500</v>
      </c>
      <c r="L885" s="47" t="s">
        <v>32</v>
      </c>
      <c r="M885" s="46">
        <v>0</v>
      </c>
      <c r="N885" s="48" t="s">
        <v>23</v>
      </c>
      <c r="O885" s="47" t="s">
        <v>40</v>
      </c>
    </row>
    <row r="886" ht="14.25" customHeight="1" spans="1:15">
      <c r="A886" s="43" t="s">
        <v>1836</v>
      </c>
      <c r="B886" s="44">
        <v>46165</v>
      </c>
      <c r="C886" s="45">
        <v>0.865277777777778</v>
      </c>
      <c r="D886" s="46">
        <f t="shared" si="0"/>
        <v>20</v>
      </c>
      <c r="E886" s="47" t="str">
        <f t="shared" si="7"/>
        <v>Saturday</v>
      </c>
      <c r="F886" s="47" t="s">
        <v>16</v>
      </c>
      <c r="G886" s="47" t="s">
        <v>63</v>
      </c>
      <c r="H886" s="47" t="s">
        <v>18</v>
      </c>
      <c r="I886" s="48">
        <v>1</v>
      </c>
      <c r="J886" s="49">
        <v>1500</v>
      </c>
      <c r="K886" s="50">
        <v>1200</v>
      </c>
      <c r="L886" s="47" t="s">
        <v>32</v>
      </c>
      <c r="M886" s="51">
        <v>0.2</v>
      </c>
      <c r="N886" s="48" t="s">
        <v>23</v>
      </c>
      <c r="O886" s="47" t="s">
        <v>33</v>
      </c>
    </row>
    <row r="887" ht="14.25" customHeight="1" spans="1:15">
      <c r="A887" s="43" t="s">
        <v>1837</v>
      </c>
      <c r="B887" s="44">
        <v>46165</v>
      </c>
      <c r="C887" s="45">
        <v>0.867361111111111</v>
      </c>
      <c r="D887" s="46">
        <f t="shared" si="0"/>
        <v>20</v>
      </c>
      <c r="E887" s="47" t="str">
        <f t="shared" si="7"/>
        <v>Saturday</v>
      </c>
      <c r="F887" s="47" t="s">
        <v>107</v>
      </c>
      <c r="G887" s="47" t="s">
        <v>146</v>
      </c>
      <c r="H887" s="43" t="s">
        <v>28</v>
      </c>
      <c r="I887" s="48">
        <v>2</v>
      </c>
      <c r="J887" s="49">
        <v>16000</v>
      </c>
      <c r="K887" s="49">
        <v>32000</v>
      </c>
      <c r="L887" s="47" t="s">
        <v>22</v>
      </c>
      <c r="M887" s="46">
        <v>0</v>
      </c>
      <c r="N887" s="48" t="s">
        <v>23</v>
      </c>
      <c r="O887" s="47" t="s">
        <v>40</v>
      </c>
    </row>
    <row r="888" ht="14.25" customHeight="1" spans="1:15">
      <c r="A888" s="43" t="s">
        <v>1838</v>
      </c>
      <c r="B888" s="44">
        <v>46165</v>
      </c>
      <c r="C888" s="45">
        <v>0.877777777777778</v>
      </c>
      <c r="D888" s="46">
        <f t="shared" si="0"/>
        <v>21</v>
      </c>
      <c r="E888" s="47" t="str">
        <f t="shared" si="7"/>
        <v>Saturday</v>
      </c>
      <c r="F888" s="47" t="s">
        <v>43</v>
      </c>
      <c r="G888" s="47" t="s">
        <v>103</v>
      </c>
      <c r="H888" s="43" t="str">
        <f>VLOOKUP(G888,'02_Menu_Lookup'!$A$2:$C$16,2,FALSE)</f>
        <v>Sandwiches</v>
      </c>
      <c r="I888" s="48">
        <v>2</v>
      </c>
      <c r="J888" s="49">
        <v>5000</v>
      </c>
      <c r="K888" s="49">
        <v>10000</v>
      </c>
      <c r="L888" s="47" t="s">
        <v>22</v>
      </c>
      <c r="M888" s="46">
        <v>0</v>
      </c>
      <c r="N888" s="48" t="s">
        <v>23</v>
      </c>
      <c r="O888" s="47" t="s">
        <v>33</v>
      </c>
    </row>
    <row r="889" ht="14.25" customHeight="1" spans="1:15">
      <c r="A889" s="43" t="s">
        <v>1839</v>
      </c>
      <c r="B889" s="44">
        <v>46165</v>
      </c>
      <c r="C889" s="45">
        <v>0.890277777777778</v>
      </c>
      <c r="D889" s="46">
        <f t="shared" si="0"/>
        <v>21</v>
      </c>
      <c r="E889" s="47" t="str">
        <f t="shared" si="7"/>
        <v>Saturday</v>
      </c>
      <c r="F889" s="47" t="s">
        <v>43</v>
      </c>
      <c r="G889" s="47" t="s">
        <v>81</v>
      </c>
      <c r="H889" s="43" t="s">
        <v>37</v>
      </c>
      <c r="I889" s="48">
        <v>2</v>
      </c>
      <c r="J889" s="49">
        <v>6000</v>
      </c>
      <c r="K889" s="49">
        <v>12000</v>
      </c>
      <c r="L889" s="47" t="s">
        <v>32</v>
      </c>
      <c r="M889" s="46">
        <v>0</v>
      </c>
      <c r="N889" s="48" t="s">
        <v>23</v>
      </c>
      <c r="O889" s="47" t="s">
        <v>40</v>
      </c>
    </row>
    <row r="890" ht="14.25" customHeight="1" spans="1:15">
      <c r="A890" s="43" t="s">
        <v>1840</v>
      </c>
      <c r="B890" s="44">
        <v>46165</v>
      </c>
      <c r="C890" s="45">
        <v>0.939583333333333</v>
      </c>
      <c r="D890" s="46">
        <f t="shared" si="0"/>
        <v>22</v>
      </c>
      <c r="E890" s="47" t="str">
        <f t="shared" si="7"/>
        <v>Saturday</v>
      </c>
      <c r="F890" s="47" t="s">
        <v>16</v>
      </c>
      <c r="G890" s="47" t="s">
        <v>50</v>
      </c>
      <c r="H890" s="43" t="s">
        <v>28</v>
      </c>
      <c r="I890" s="48">
        <v>2</v>
      </c>
      <c r="J890" s="49">
        <v>25000</v>
      </c>
      <c r="K890" s="49">
        <v>50000</v>
      </c>
      <c r="L890" s="47" t="s">
        <v>22</v>
      </c>
      <c r="M890" s="46">
        <v>0</v>
      </c>
      <c r="N890" s="48" t="s">
        <v>23</v>
      </c>
      <c r="O890" s="47" t="s">
        <v>47</v>
      </c>
    </row>
    <row r="891" ht="14.25" customHeight="1" spans="1:15">
      <c r="A891" s="43" t="s">
        <v>1841</v>
      </c>
      <c r="B891" s="44">
        <v>46166</v>
      </c>
      <c r="C891" s="45">
        <v>0.4625</v>
      </c>
      <c r="D891" s="46">
        <f t="shared" si="0"/>
        <v>11</v>
      </c>
      <c r="E891" s="47" t="str">
        <f t="shared" si="7"/>
        <v>Sunday</v>
      </c>
      <c r="F891" s="47" t="s">
        <v>107</v>
      </c>
      <c r="G891" s="47" t="s">
        <v>63</v>
      </c>
      <c r="H891" s="43" t="s">
        <v>18</v>
      </c>
      <c r="I891" s="48">
        <v>1</v>
      </c>
      <c r="J891" s="49">
        <v>1500</v>
      </c>
      <c r="K891" s="50">
        <v>1350</v>
      </c>
      <c r="L891" s="47" t="s">
        <v>22</v>
      </c>
      <c r="M891" s="51">
        <v>0.1</v>
      </c>
      <c r="N891" s="48">
        <v>4</v>
      </c>
      <c r="O891" s="47" t="s">
        <v>47</v>
      </c>
    </row>
    <row r="892" ht="14.25" customHeight="1" spans="1:15">
      <c r="A892" s="43" t="s">
        <v>1844</v>
      </c>
      <c r="B892" s="44">
        <v>46166</v>
      </c>
      <c r="C892" s="45">
        <v>0.673611111111111</v>
      </c>
      <c r="D892" s="46">
        <f t="shared" si="0"/>
        <v>16</v>
      </c>
      <c r="E892" s="47" t="str">
        <f t="shared" si="7"/>
        <v>Sunday</v>
      </c>
      <c r="F892" s="47" t="s">
        <v>43</v>
      </c>
      <c r="G892" s="47" t="s">
        <v>44</v>
      </c>
      <c r="H892" s="43" t="s">
        <v>45</v>
      </c>
      <c r="I892" s="48">
        <v>1</v>
      </c>
      <c r="J892" s="49">
        <v>4000</v>
      </c>
      <c r="K892" s="49">
        <f>I892*J892</f>
        <v>4000</v>
      </c>
      <c r="L892" s="47" t="s">
        <v>22</v>
      </c>
      <c r="M892" s="46">
        <v>0</v>
      </c>
      <c r="N892" s="48">
        <v>4</v>
      </c>
      <c r="O892" s="47" t="s">
        <v>40</v>
      </c>
    </row>
    <row r="893" ht="14.25" customHeight="1" spans="1:15">
      <c r="A893" s="43" t="s">
        <v>1846</v>
      </c>
      <c r="B893" s="44">
        <v>46166</v>
      </c>
      <c r="C893" s="45">
        <v>0.817361111111111</v>
      </c>
      <c r="D893" s="46">
        <f t="shared" si="0"/>
        <v>19</v>
      </c>
      <c r="E893" s="47" t="str">
        <f t="shared" si="7"/>
        <v>Sunday</v>
      </c>
      <c r="F893" s="47" t="s">
        <v>107</v>
      </c>
      <c r="G893" s="47" t="s">
        <v>44</v>
      </c>
      <c r="H893" s="43" t="s">
        <v>45</v>
      </c>
      <c r="I893" s="48">
        <v>1</v>
      </c>
      <c r="J893" s="49">
        <v>4000</v>
      </c>
      <c r="K893" s="49">
        <v>4000</v>
      </c>
      <c r="L893" s="47" t="s">
        <v>22</v>
      </c>
      <c r="M893" s="46">
        <v>0</v>
      </c>
      <c r="N893" s="48" t="s">
        <v>23</v>
      </c>
      <c r="O893" s="47" t="s">
        <v>33</v>
      </c>
    </row>
    <row r="894" ht="14.25" customHeight="1" spans="1:15">
      <c r="A894" s="43" t="s">
        <v>1847</v>
      </c>
      <c r="B894" s="44">
        <v>46166</v>
      </c>
      <c r="C894" s="45">
        <v>0.88125</v>
      </c>
      <c r="D894" s="46">
        <f t="shared" si="0"/>
        <v>21</v>
      </c>
      <c r="E894" s="47" t="str">
        <f t="shared" si="7"/>
        <v>Sunday</v>
      </c>
      <c r="F894" s="47" t="s">
        <v>107</v>
      </c>
      <c r="G894" s="47" t="s">
        <v>44</v>
      </c>
      <c r="H894" s="43" t="s">
        <v>45</v>
      </c>
      <c r="I894" s="48">
        <v>1</v>
      </c>
      <c r="J894" s="49">
        <v>4000</v>
      </c>
      <c r="K894" s="49">
        <v>4000</v>
      </c>
      <c r="L894" s="47" t="s">
        <v>22</v>
      </c>
      <c r="M894" s="46">
        <v>0</v>
      </c>
      <c r="N894" s="48">
        <v>4</v>
      </c>
      <c r="O894" s="47" t="s">
        <v>33</v>
      </c>
    </row>
    <row r="895" ht="14.25" customHeight="1" spans="1:15">
      <c r="A895" s="43" t="s">
        <v>1848</v>
      </c>
      <c r="B895" s="44">
        <v>46166</v>
      </c>
      <c r="C895" s="45">
        <v>0.95625</v>
      </c>
      <c r="D895" s="46">
        <f t="shared" si="0"/>
        <v>22</v>
      </c>
      <c r="E895" s="47" t="str">
        <f t="shared" si="7"/>
        <v>Sunday</v>
      </c>
      <c r="F895" s="47" t="s">
        <v>43</v>
      </c>
      <c r="G895" s="47" t="s">
        <v>103</v>
      </c>
      <c r="H895" s="43" t="s">
        <v>37</v>
      </c>
      <c r="I895" s="48">
        <v>1</v>
      </c>
      <c r="J895" s="49">
        <v>5000</v>
      </c>
      <c r="K895" s="49">
        <v>5000</v>
      </c>
      <c r="L895" s="47" t="s">
        <v>22</v>
      </c>
      <c r="M895" s="46">
        <v>0</v>
      </c>
      <c r="N895" s="48">
        <v>5</v>
      </c>
      <c r="O895" s="47" t="s">
        <v>40</v>
      </c>
    </row>
    <row r="896" ht="14.25" customHeight="1" spans="1:15">
      <c r="A896" s="43" t="s">
        <v>1850</v>
      </c>
      <c r="B896" s="44">
        <v>46166</v>
      </c>
      <c r="C896" s="45">
        <v>0.957638888888889</v>
      </c>
      <c r="D896" s="46">
        <f t="shared" si="0"/>
        <v>22</v>
      </c>
      <c r="E896" s="47" t="str">
        <f t="shared" si="7"/>
        <v>Sunday</v>
      </c>
      <c r="F896" s="47" t="s">
        <v>16</v>
      </c>
      <c r="G896" s="47" t="s">
        <v>27</v>
      </c>
      <c r="H896" s="43" t="s">
        <v>28</v>
      </c>
      <c r="I896" s="48">
        <v>3</v>
      </c>
      <c r="J896" s="49">
        <v>15000</v>
      </c>
      <c r="K896" s="49">
        <v>45000</v>
      </c>
      <c r="L896" s="47" t="s">
        <v>22</v>
      </c>
      <c r="M896" s="46">
        <v>0</v>
      </c>
      <c r="N896" s="48">
        <v>3</v>
      </c>
      <c r="O896" s="47" t="s">
        <v>73</v>
      </c>
    </row>
    <row r="897" ht="14.25" customHeight="1" spans="1:15">
      <c r="A897" s="43" t="s">
        <v>1851</v>
      </c>
      <c r="B897" s="44">
        <v>46166</v>
      </c>
      <c r="C897" s="45">
        <v>0.982638888888889</v>
      </c>
      <c r="D897" s="46">
        <f t="shared" si="0"/>
        <v>23</v>
      </c>
      <c r="E897" s="47" t="str">
        <f t="shared" si="7"/>
        <v>Sunday</v>
      </c>
      <c r="F897" s="47" t="s">
        <v>43</v>
      </c>
      <c r="G897" s="47" t="s">
        <v>81</v>
      </c>
      <c r="H897" s="43" t="s">
        <v>37</v>
      </c>
      <c r="I897" s="48">
        <v>1</v>
      </c>
      <c r="J897" s="49">
        <v>6000</v>
      </c>
      <c r="K897" s="49">
        <v>6000</v>
      </c>
      <c r="L897" s="47" t="s">
        <v>22</v>
      </c>
      <c r="M897" s="46">
        <v>0</v>
      </c>
      <c r="N897" s="48">
        <v>3</v>
      </c>
      <c r="O897" s="47" t="s">
        <v>73</v>
      </c>
    </row>
    <row r="898" ht="14.25" customHeight="1" spans="1:15">
      <c r="A898" s="43" t="s">
        <v>1852</v>
      </c>
      <c r="B898" s="44">
        <v>46167</v>
      </c>
      <c r="C898" s="45">
        <v>0.703472222222222</v>
      </c>
      <c r="D898" s="46">
        <f t="shared" si="0"/>
        <v>16</v>
      </c>
      <c r="E898" s="47" t="str">
        <f t="shared" si="7"/>
        <v>Monday</v>
      </c>
      <c r="F898" s="47" t="s">
        <v>43</v>
      </c>
      <c r="G898" s="47" t="s">
        <v>27</v>
      </c>
      <c r="H898" s="43" t="s">
        <v>28</v>
      </c>
      <c r="I898" s="48">
        <v>1</v>
      </c>
      <c r="J898" s="49">
        <v>15000</v>
      </c>
      <c r="K898" s="49">
        <v>15000</v>
      </c>
      <c r="L898" s="47" t="s">
        <v>32</v>
      </c>
      <c r="M898" s="46">
        <v>0</v>
      </c>
      <c r="N898" s="48">
        <v>4</v>
      </c>
      <c r="O898" s="47" t="s">
        <v>47</v>
      </c>
    </row>
    <row r="899" ht="14.25" customHeight="1" spans="1:15">
      <c r="A899" s="43" t="s">
        <v>1854</v>
      </c>
      <c r="B899" s="44">
        <v>46167</v>
      </c>
      <c r="C899" s="45">
        <v>0.810416666666667</v>
      </c>
      <c r="D899" s="46">
        <f t="shared" si="0"/>
        <v>19</v>
      </c>
      <c r="E899" s="47" t="str">
        <f t="shared" si="7"/>
        <v>Monday</v>
      </c>
      <c r="F899" s="47" t="s">
        <v>43</v>
      </c>
      <c r="G899" s="43" t="s">
        <v>199</v>
      </c>
      <c r="H899" s="43" t="s">
        <v>18</v>
      </c>
      <c r="I899" s="48">
        <v>1</v>
      </c>
      <c r="J899" s="49">
        <v>3000</v>
      </c>
      <c r="K899" s="49">
        <v>3000</v>
      </c>
      <c r="L899" s="47" t="s">
        <v>22</v>
      </c>
      <c r="M899" s="46">
        <v>0</v>
      </c>
      <c r="N899" s="48">
        <v>5</v>
      </c>
      <c r="O899" s="47" t="s">
        <v>73</v>
      </c>
    </row>
    <row r="900" ht="14.25" customHeight="1" spans="1:15">
      <c r="A900" s="43" t="s">
        <v>1856</v>
      </c>
      <c r="B900" s="44">
        <v>46167</v>
      </c>
      <c r="C900" s="45">
        <v>0.885416666666667</v>
      </c>
      <c r="D900" s="46">
        <f t="shared" si="0"/>
        <v>21</v>
      </c>
      <c r="E900" s="47" t="str">
        <f t="shared" si="7"/>
        <v>Monday</v>
      </c>
      <c r="F900" s="47" t="s">
        <v>16</v>
      </c>
      <c r="G900" s="47" t="s">
        <v>63</v>
      </c>
      <c r="H900" s="43" t="s">
        <v>18</v>
      </c>
      <c r="I900" s="48">
        <v>3</v>
      </c>
      <c r="J900" s="49">
        <v>1500</v>
      </c>
      <c r="K900" s="49">
        <v>4500</v>
      </c>
      <c r="L900" s="47" t="s">
        <v>22</v>
      </c>
      <c r="M900" s="46">
        <v>0</v>
      </c>
      <c r="N900" s="48">
        <v>3</v>
      </c>
      <c r="O900" s="47" t="s">
        <v>73</v>
      </c>
    </row>
    <row r="901" ht="14.25" customHeight="1" spans="1:15">
      <c r="A901" s="43" t="s">
        <v>1857</v>
      </c>
      <c r="B901" s="44">
        <v>46167</v>
      </c>
      <c r="C901" s="45">
        <v>0.900694444444444</v>
      </c>
      <c r="D901" s="46">
        <f t="shared" si="0"/>
        <v>21</v>
      </c>
      <c r="E901" s="47" t="str">
        <f t="shared" si="7"/>
        <v>Monday</v>
      </c>
      <c r="F901" s="47" t="s">
        <v>16</v>
      </c>
      <c r="G901" s="47" t="s">
        <v>63</v>
      </c>
      <c r="H901" s="43" t="s">
        <v>18</v>
      </c>
      <c r="I901" s="48">
        <v>1</v>
      </c>
      <c r="J901" s="49">
        <v>1200</v>
      </c>
      <c r="K901" s="50">
        <v>960</v>
      </c>
      <c r="L901" s="47" t="s">
        <v>32</v>
      </c>
      <c r="M901" s="51">
        <v>0.2</v>
      </c>
      <c r="N901" s="48">
        <v>4</v>
      </c>
      <c r="O901" s="47" t="s">
        <v>47</v>
      </c>
    </row>
    <row r="902" ht="14.25" customHeight="1" spans="1:15">
      <c r="A902" s="43" t="s">
        <v>1858</v>
      </c>
      <c r="B902" s="44">
        <v>46167</v>
      </c>
      <c r="C902" s="45">
        <v>0.904861111111111</v>
      </c>
      <c r="D902" s="46">
        <f t="shared" si="0"/>
        <v>21</v>
      </c>
      <c r="E902" s="47" t="str">
        <f t="shared" si="7"/>
        <v>Monday</v>
      </c>
      <c r="F902" s="47" t="s">
        <v>43</v>
      </c>
      <c r="G902" s="47" t="s">
        <v>17</v>
      </c>
      <c r="H902" s="43" t="s">
        <v>18</v>
      </c>
      <c r="I902" s="48">
        <v>1</v>
      </c>
      <c r="J902" s="49">
        <v>1000</v>
      </c>
      <c r="K902" s="49">
        <v>1000</v>
      </c>
      <c r="L902" s="47" t="s">
        <v>22</v>
      </c>
      <c r="M902" s="46">
        <v>0</v>
      </c>
      <c r="N902" s="48">
        <v>4</v>
      </c>
      <c r="O902" s="47" t="s">
        <v>47</v>
      </c>
    </row>
    <row r="903" ht="14.25" customHeight="1" spans="1:15">
      <c r="A903" s="43" t="s">
        <v>1859</v>
      </c>
      <c r="B903" s="44">
        <v>46167</v>
      </c>
      <c r="C903" s="45">
        <v>0.911111111111111</v>
      </c>
      <c r="D903" s="46">
        <f t="shared" si="0"/>
        <v>21</v>
      </c>
      <c r="E903" s="47" t="str">
        <f t="shared" si="7"/>
        <v>Monday</v>
      </c>
      <c r="F903" s="47" t="s">
        <v>43</v>
      </c>
      <c r="G903" s="47" t="s">
        <v>63</v>
      </c>
      <c r="H903" s="43" t="s">
        <v>18</v>
      </c>
      <c r="I903" s="48">
        <v>1</v>
      </c>
      <c r="J903" s="49">
        <v>1500</v>
      </c>
      <c r="K903" s="49">
        <v>1500</v>
      </c>
      <c r="L903" s="47" t="s">
        <v>32</v>
      </c>
      <c r="M903" s="46">
        <v>0</v>
      </c>
      <c r="N903" s="48" t="s">
        <v>23</v>
      </c>
      <c r="O903" s="47" t="s">
        <v>33</v>
      </c>
    </row>
    <row r="904" ht="14.25" customHeight="1" spans="1:15">
      <c r="A904" s="43" t="s">
        <v>1860</v>
      </c>
      <c r="B904" s="44">
        <v>46167</v>
      </c>
      <c r="C904" s="45">
        <v>0.927083333333333</v>
      </c>
      <c r="D904" s="46">
        <f t="shared" si="0"/>
        <v>22</v>
      </c>
      <c r="E904" s="47" t="str">
        <f t="shared" si="7"/>
        <v>Monday</v>
      </c>
      <c r="F904" s="47" t="s">
        <v>43</v>
      </c>
      <c r="G904" s="47" t="s">
        <v>63</v>
      </c>
      <c r="H904" s="43" t="s">
        <v>18</v>
      </c>
      <c r="I904" s="48">
        <v>1</v>
      </c>
      <c r="J904" s="50">
        <v>1500</v>
      </c>
      <c r="K904" s="49">
        <v>1500</v>
      </c>
      <c r="L904" s="47" t="s">
        <v>22</v>
      </c>
      <c r="M904" s="46">
        <v>0</v>
      </c>
      <c r="N904" s="48" t="s">
        <v>23</v>
      </c>
      <c r="O904" s="47" t="s">
        <v>33</v>
      </c>
    </row>
    <row r="905" ht="14.25" customHeight="1" spans="1:15">
      <c r="A905" s="43" t="s">
        <v>1862</v>
      </c>
      <c r="B905" s="44">
        <v>46167</v>
      </c>
      <c r="C905" s="45">
        <v>0.931944444444444</v>
      </c>
      <c r="D905" s="46">
        <f t="shared" si="0"/>
        <v>22</v>
      </c>
      <c r="E905" s="47" t="str">
        <f t="shared" si="7"/>
        <v>Monday</v>
      </c>
      <c r="F905" s="47" t="s">
        <v>43</v>
      </c>
      <c r="G905" s="47" t="s">
        <v>17</v>
      </c>
      <c r="H905" s="43" t="s">
        <v>18</v>
      </c>
      <c r="I905" s="48">
        <v>1</v>
      </c>
      <c r="J905" s="49">
        <v>1000</v>
      </c>
      <c r="K905" s="50">
        <v>1000</v>
      </c>
      <c r="L905" s="47" t="s">
        <v>32</v>
      </c>
      <c r="M905" s="46">
        <v>0</v>
      </c>
      <c r="N905" s="48">
        <v>3</v>
      </c>
      <c r="O905" s="47" t="s">
        <v>73</v>
      </c>
    </row>
    <row r="906" ht="14.25" customHeight="1" spans="1:15">
      <c r="A906" s="43" t="s">
        <v>1863</v>
      </c>
      <c r="B906" s="44">
        <v>46168</v>
      </c>
      <c r="C906" s="45">
        <v>0.597916666666667</v>
      </c>
      <c r="D906" s="46">
        <f t="shared" si="0"/>
        <v>14</v>
      </c>
      <c r="E906" s="47" t="str">
        <f t="shared" si="7"/>
        <v>Tuesday</v>
      </c>
      <c r="F906" s="47" t="s">
        <v>16</v>
      </c>
      <c r="G906" s="47" t="s">
        <v>17</v>
      </c>
      <c r="H906" s="43" t="s">
        <v>18</v>
      </c>
      <c r="I906" s="48">
        <v>1</v>
      </c>
      <c r="J906" s="49">
        <v>1000</v>
      </c>
      <c r="K906" s="50">
        <v>800</v>
      </c>
      <c r="L906" s="47" t="s">
        <v>32</v>
      </c>
      <c r="M906" s="51">
        <v>0.2</v>
      </c>
      <c r="N906" s="48" t="s">
        <v>23</v>
      </c>
      <c r="O906" s="47" t="s">
        <v>47</v>
      </c>
    </row>
    <row r="907" ht="14.25" customHeight="1" spans="1:15">
      <c r="A907" s="43" t="s">
        <v>1866</v>
      </c>
      <c r="B907" s="44">
        <v>46168</v>
      </c>
      <c r="C907" s="45">
        <v>0.6125</v>
      </c>
      <c r="D907" s="46">
        <f t="shared" si="0"/>
        <v>14</v>
      </c>
      <c r="E907" s="47" t="str">
        <f t="shared" si="7"/>
        <v>Tuesday</v>
      </c>
      <c r="F907" s="47" t="s">
        <v>43</v>
      </c>
      <c r="G907" s="47" t="s">
        <v>17</v>
      </c>
      <c r="H907" s="43" t="s">
        <v>18</v>
      </c>
      <c r="I907" s="48">
        <v>2</v>
      </c>
      <c r="J907" s="49">
        <v>1000</v>
      </c>
      <c r="K907" s="50">
        <v>2000</v>
      </c>
      <c r="L907" s="47" t="s">
        <v>22</v>
      </c>
      <c r="M907" s="46">
        <v>0</v>
      </c>
      <c r="N907" s="48">
        <v>3</v>
      </c>
      <c r="O907" s="47" t="s">
        <v>40</v>
      </c>
    </row>
    <row r="908" ht="14.25" customHeight="1" spans="1:15">
      <c r="A908" s="43" t="s">
        <v>1869</v>
      </c>
      <c r="B908" s="44">
        <v>46168</v>
      </c>
      <c r="C908" s="45">
        <v>0.670833333333333</v>
      </c>
      <c r="D908" s="46">
        <f t="shared" si="0"/>
        <v>16</v>
      </c>
      <c r="E908" s="47" t="str">
        <f t="shared" si="7"/>
        <v>Tuesday</v>
      </c>
      <c r="F908" s="47" t="s">
        <v>16</v>
      </c>
      <c r="G908" s="47" t="s">
        <v>27</v>
      </c>
      <c r="H908" s="43" t="s">
        <v>28</v>
      </c>
      <c r="I908" s="48">
        <v>1</v>
      </c>
      <c r="J908" s="49">
        <v>15000</v>
      </c>
      <c r="K908" s="49">
        <v>15000</v>
      </c>
      <c r="L908" s="47" t="s">
        <v>22</v>
      </c>
      <c r="M908" s="46">
        <v>0</v>
      </c>
      <c r="N908" s="48">
        <v>5</v>
      </c>
      <c r="O908" s="47" t="s">
        <v>73</v>
      </c>
    </row>
    <row r="909" ht="14.25" customHeight="1" spans="1:15">
      <c r="A909" s="43" t="s">
        <v>1871</v>
      </c>
      <c r="B909" s="44">
        <v>46168</v>
      </c>
      <c r="C909" s="45">
        <v>0.813888888888889</v>
      </c>
      <c r="D909" s="46">
        <f t="shared" si="0"/>
        <v>19</v>
      </c>
      <c r="E909" s="47" t="str">
        <f t="shared" si="7"/>
        <v>Tuesday</v>
      </c>
      <c r="F909" s="47" t="s">
        <v>16</v>
      </c>
      <c r="G909" s="47" t="s">
        <v>63</v>
      </c>
      <c r="H909" s="43" t="s">
        <v>18</v>
      </c>
      <c r="I909" s="48">
        <v>1</v>
      </c>
      <c r="J909" s="49">
        <v>1500</v>
      </c>
      <c r="K909" s="49">
        <v>1500</v>
      </c>
      <c r="L909" s="47" t="s">
        <v>22</v>
      </c>
      <c r="M909" s="46">
        <v>0</v>
      </c>
      <c r="N909" s="48" t="s">
        <v>23</v>
      </c>
      <c r="O909" s="47" t="s">
        <v>73</v>
      </c>
    </row>
    <row r="910" ht="14.25" customHeight="1" spans="1:15">
      <c r="A910" s="43" t="s">
        <v>1873</v>
      </c>
      <c r="B910" s="44">
        <v>46168</v>
      </c>
      <c r="C910" s="45">
        <v>0.823611111111111</v>
      </c>
      <c r="D910" s="46">
        <f t="shared" si="0"/>
        <v>19</v>
      </c>
      <c r="E910" s="47" t="str">
        <f t="shared" si="7"/>
        <v>Tuesday</v>
      </c>
      <c r="F910" s="47" t="s">
        <v>16</v>
      </c>
      <c r="G910" s="47" t="s">
        <v>103</v>
      </c>
      <c r="H910" s="43" t="s">
        <v>37</v>
      </c>
      <c r="I910" s="48">
        <v>2</v>
      </c>
      <c r="J910" s="49">
        <v>5000</v>
      </c>
      <c r="K910" s="49">
        <v>10000</v>
      </c>
      <c r="L910" s="47" t="s">
        <v>32</v>
      </c>
      <c r="M910" s="46">
        <v>0</v>
      </c>
      <c r="N910" s="48">
        <v>4</v>
      </c>
      <c r="O910" s="47" t="s">
        <v>33</v>
      </c>
    </row>
    <row r="911" ht="14.25" customHeight="1" spans="1:15">
      <c r="A911" s="43" t="s">
        <v>1875</v>
      </c>
      <c r="B911" s="44">
        <v>46168</v>
      </c>
      <c r="C911" s="45">
        <v>0.840972222222222</v>
      </c>
      <c r="D911" s="46">
        <f t="shared" si="0"/>
        <v>20</v>
      </c>
      <c r="E911" s="47" t="str">
        <f t="shared" si="7"/>
        <v>Tuesday</v>
      </c>
      <c r="F911" s="47" t="s">
        <v>107</v>
      </c>
      <c r="G911" s="47" t="s">
        <v>27</v>
      </c>
      <c r="H911" s="43" t="s">
        <v>28</v>
      </c>
      <c r="I911" s="48">
        <v>2</v>
      </c>
      <c r="J911" s="49">
        <v>15000</v>
      </c>
      <c r="K911" s="49">
        <f>I911*J911</f>
        <v>30000</v>
      </c>
      <c r="L911" s="47" t="s">
        <v>22</v>
      </c>
      <c r="M911" s="46">
        <v>0</v>
      </c>
      <c r="N911" s="48" t="s">
        <v>23</v>
      </c>
      <c r="O911" s="47" t="s">
        <v>24</v>
      </c>
    </row>
    <row r="912" ht="14.25" customHeight="1" spans="1:15">
      <c r="A912" s="43" t="s">
        <v>1876</v>
      </c>
      <c r="B912" s="44">
        <v>46169</v>
      </c>
      <c r="C912" s="45">
        <v>0.522916666666667</v>
      </c>
      <c r="D912" s="46">
        <f t="shared" si="0"/>
        <v>12</v>
      </c>
      <c r="E912" s="47" t="str">
        <f t="shared" si="7"/>
        <v>Wednesday</v>
      </c>
      <c r="F912" s="47" t="s">
        <v>107</v>
      </c>
      <c r="G912" s="43" t="s">
        <v>36</v>
      </c>
      <c r="H912" s="43" t="s">
        <v>37</v>
      </c>
      <c r="I912" s="48">
        <v>1</v>
      </c>
      <c r="J912" s="49">
        <v>3000</v>
      </c>
      <c r="K912" s="49">
        <v>3000</v>
      </c>
      <c r="L912" s="47" t="s">
        <v>22</v>
      </c>
      <c r="M912" s="46">
        <v>0</v>
      </c>
      <c r="N912" s="48">
        <v>4</v>
      </c>
      <c r="O912" s="47" t="s">
        <v>73</v>
      </c>
    </row>
    <row r="913" ht="14.25" customHeight="1" spans="1:15">
      <c r="A913" s="43" t="s">
        <v>1879</v>
      </c>
      <c r="B913" s="44">
        <v>46169</v>
      </c>
      <c r="C913" s="45">
        <v>0.556944444444444</v>
      </c>
      <c r="D913" s="46">
        <f t="shared" si="0"/>
        <v>13</v>
      </c>
      <c r="E913" s="47" t="str">
        <f t="shared" si="7"/>
        <v>Wednesday</v>
      </c>
      <c r="F913" s="47" t="s">
        <v>16</v>
      </c>
      <c r="G913" s="47" t="s">
        <v>81</v>
      </c>
      <c r="H913" s="43" t="s">
        <v>37</v>
      </c>
      <c r="I913" s="48">
        <v>3</v>
      </c>
      <c r="J913" s="49">
        <v>6000</v>
      </c>
      <c r="K913" s="49">
        <v>18000</v>
      </c>
      <c r="L913" s="47" t="s">
        <v>22</v>
      </c>
      <c r="M913" s="46">
        <v>0</v>
      </c>
      <c r="N913" s="48" t="s">
        <v>23</v>
      </c>
      <c r="O913" s="47" t="s">
        <v>73</v>
      </c>
    </row>
    <row r="914" ht="14.25" customHeight="1" spans="1:15">
      <c r="A914" s="43" t="s">
        <v>1881</v>
      </c>
      <c r="B914" s="44">
        <v>46169</v>
      </c>
      <c r="C914" s="45">
        <v>0.581944444444444</v>
      </c>
      <c r="D914" s="46">
        <f t="shared" si="0"/>
        <v>13</v>
      </c>
      <c r="E914" s="47" t="str">
        <f t="shared" si="7"/>
        <v>Wednesday</v>
      </c>
      <c r="F914" s="47" t="s">
        <v>16</v>
      </c>
      <c r="G914" s="47" t="s">
        <v>44</v>
      </c>
      <c r="H914" s="43" t="s">
        <v>45</v>
      </c>
      <c r="I914" s="48">
        <v>1</v>
      </c>
      <c r="J914" s="49">
        <v>4000</v>
      </c>
      <c r="K914" s="49">
        <v>4000</v>
      </c>
      <c r="L914" s="47" t="s">
        <v>22</v>
      </c>
      <c r="M914" s="46">
        <v>0</v>
      </c>
      <c r="N914" s="48" t="s">
        <v>23</v>
      </c>
      <c r="O914" s="47" t="s">
        <v>47</v>
      </c>
    </row>
    <row r="915" ht="14.25" customHeight="1" spans="1:15">
      <c r="A915" s="43" t="s">
        <v>1882</v>
      </c>
      <c r="B915" s="44">
        <v>46169</v>
      </c>
      <c r="C915" s="45">
        <v>0.745833333333333</v>
      </c>
      <c r="D915" s="46">
        <f t="shared" si="0"/>
        <v>17</v>
      </c>
      <c r="E915" s="47" t="str">
        <f t="shared" si="7"/>
        <v>Wednesday</v>
      </c>
      <c r="F915" s="47" t="s">
        <v>43</v>
      </c>
      <c r="G915" s="47" t="s">
        <v>27</v>
      </c>
      <c r="H915" s="43" t="s">
        <v>28</v>
      </c>
      <c r="I915" s="48">
        <v>1</v>
      </c>
      <c r="J915" s="49">
        <v>15000</v>
      </c>
      <c r="K915" s="49">
        <v>15000</v>
      </c>
      <c r="L915" s="47" t="s">
        <v>32</v>
      </c>
      <c r="M915" s="46">
        <v>0</v>
      </c>
      <c r="N915" s="48" t="s">
        <v>23</v>
      </c>
      <c r="O915" s="47" t="s">
        <v>33</v>
      </c>
    </row>
    <row r="916" ht="14.25" customHeight="1" spans="1:15">
      <c r="A916" s="43" t="s">
        <v>1883</v>
      </c>
      <c r="B916" s="44">
        <v>46169</v>
      </c>
      <c r="C916" s="45">
        <v>0.811111111111111</v>
      </c>
      <c r="D916" s="46">
        <f t="shared" si="0"/>
        <v>19</v>
      </c>
      <c r="E916" s="47" t="str">
        <f t="shared" si="7"/>
        <v>Wednesday</v>
      </c>
      <c r="F916" s="47" t="s">
        <v>16</v>
      </c>
      <c r="G916" s="47" t="s">
        <v>103</v>
      </c>
      <c r="H916" s="43" t="s">
        <v>37</v>
      </c>
      <c r="I916" s="48">
        <v>2</v>
      </c>
      <c r="J916" s="49">
        <v>5000</v>
      </c>
      <c r="K916" s="49">
        <v>10000</v>
      </c>
      <c r="L916" s="47" t="s">
        <v>32</v>
      </c>
      <c r="M916" s="46">
        <v>0</v>
      </c>
      <c r="N916" s="48" t="s">
        <v>23</v>
      </c>
      <c r="O916" s="47" t="s">
        <v>47</v>
      </c>
    </row>
    <row r="917" ht="14.25" customHeight="1" spans="1:15">
      <c r="A917" s="43" t="s">
        <v>1884</v>
      </c>
      <c r="B917" s="44">
        <v>46169</v>
      </c>
      <c r="C917" s="45">
        <v>0.882638888888889</v>
      </c>
      <c r="D917" s="46">
        <f t="shared" si="0"/>
        <v>21</v>
      </c>
      <c r="E917" s="47" t="str">
        <f t="shared" si="7"/>
        <v>Wednesday</v>
      </c>
      <c r="F917" s="47" t="s">
        <v>43</v>
      </c>
      <c r="G917" s="47" t="s">
        <v>17</v>
      </c>
      <c r="H917" s="43" t="s">
        <v>18</v>
      </c>
      <c r="I917" s="48">
        <v>2</v>
      </c>
      <c r="J917" s="49">
        <v>1000</v>
      </c>
      <c r="K917" s="50">
        <v>1800</v>
      </c>
      <c r="L917" s="47" t="s">
        <v>22</v>
      </c>
      <c r="M917" s="51">
        <v>0.1</v>
      </c>
      <c r="N917" s="48" t="s">
        <v>23</v>
      </c>
      <c r="O917" s="47" t="s">
        <v>24</v>
      </c>
    </row>
    <row r="918" ht="14.25" customHeight="1" spans="1:15">
      <c r="A918" s="43" t="s">
        <v>1885</v>
      </c>
      <c r="B918" s="44">
        <v>46169</v>
      </c>
      <c r="C918" s="45">
        <v>0.972222222222222</v>
      </c>
      <c r="D918" s="46">
        <f t="shared" si="0"/>
        <v>23</v>
      </c>
      <c r="E918" s="47" t="str">
        <f t="shared" si="7"/>
        <v>Wednesday</v>
      </c>
      <c r="F918" s="47" t="s">
        <v>43</v>
      </c>
      <c r="G918" s="47" t="s">
        <v>17</v>
      </c>
      <c r="H918" s="43" t="s">
        <v>18</v>
      </c>
      <c r="I918" s="48">
        <v>1</v>
      </c>
      <c r="J918" s="49">
        <v>1000</v>
      </c>
      <c r="K918" s="49">
        <v>1000</v>
      </c>
      <c r="L918" s="47" t="s">
        <v>32</v>
      </c>
      <c r="M918" s="46">
        <v>0</v>
      </c>
      <c r="N918" s="48">
        <v>4</v>
      </c>
      <c r="O918" s="47" t="s">
        <v>24</v>
      </c>
    </row>
    <row r="919" ht="14.25" customHeight="1" spans="1:15">
      <c r="A919" s="43" t="s">
        <v>1886</v>
      </c>
      <c r="B919" s="44">
        <v>46170</v>
      </c>
      <c r="C919" s="45">
        <v>0.517361111111111</v>
      </c>
      <c r="D919" s="46">
        <f t="shared" si="0"/>
        <v>12</v>
      </c>
      <c r="E919" s="47" t="str">
        <f t="shared" si="7"/>
        <v>Thursday</v>
      </c>
      <c r="F919" s="47" t="s">
        <v>107</v>
      </c>
      <c r="G919" s="47" t="s">
        <v>81</v>
      </c>
      <c r="H919" s="43" t="s">
        <v>37</v>
      </c>
      <c r="I919" s="48">
        <v>1</v>
      </c>
      <c r="J919" s="49">
        <f>K919/I919</f>
        <v>6000</v>
      </c>
      <c r="K919" s="49">
        <v>6000</v>
      </c>
      <c r="L919" s="47" t="s">
        <v>32</v>
      </c>
      <c r="M919" s="46">
        <v>0</v>
      </c>
      <c r="N919" s="48">
        <v>3</v>
      </c>
      <c r="O919" s="47" t="s">
        <v>47</v>
      </c>
    </row>
    <row r="920" ht="14.25" customHeight="1" spans="1:15">
      <c r="A920" s="43" t="s">
        <v>1888</v>
      </c>
      <c r="B920" s="44">
        <v>46170</v>
      </c>
      <c r="C920" s="45">
        <v>0.593055555555556</v>
      </c>
      <c r="D920" s="46">
        <f t="shared" si="0"/>
        <v>14</v>
      </c>
      <c r="E920" s="47" t="str">
        <f t="shared" si="7"/>
        <v>Thursday</v>
      </c>
      <c r="F920" s="47" t="s">
        <v>16</v>
      </c>
      <c r="G920" s="47" t="s">
        <v>95</v>
      </c>
      <c r="H920" s="43" t="s">
        <v>45</v>
      </c>
      <c r="I920" s="48">
        <v>1</v>
      </c>
      <c r="J920" s="49">
        <v>5000</v>
      </c>
      <c r="K920" s="49">
        <v>5000</v>
      </c>
      <c r="L920" s="47" t="s">
        <v>22</v>
      </c>
      <c r="M920" s="46">
        <v>0</v>
      </c>
      <c r="N920" s="48">
        <v>4</v>
      </c>
      <c r="O920" s="47" t="s">
        <v>33</v>
      </c>
    </row>
    <row r="921" ht="14.25" customHeight="1" spans="1:15">
      <c r="A921" s="43" t="s">
        <v>1890</v>
      </c>
      <c r="B921" s="44">
        <v>46170</v>
      </c>
      <c r="C921" s="45">
        <v>0.754166666666667</v>
      </c>
      <c r="D921" s="46">
        <f t="shared" si="0"/>
        <v>18</v>
      </c>
      <c r="E921" s="47" t="str">
        <f t="shared" si="7"/>
        <v>Thursday</v>
      </c>
      <c r="F921" s="47" t="s">
        <v>16</v>
      </c>
      <c r="G921" s="43" t="s">
        <v>199</v>
      </c>
      <c r="H921" s="43" t="s">
        <v>18</v>
      </c>
      <c r="I921" s="48">
        <v>1</v>
      </c>
      <c r="J921" s="49">
        <v>3000</v>
      </c>
      <c r="K921" s="49">
        <v>3000</v>
      </c>
      <c r="L921" s="47" t="s">
        <v>32</v>
      </c>
      <c r="M921" s="46">
        <v>0</v>
      </c>
      <c r="N921" s="48">
        <v>5</v>
      </c>
      <c r="O921" s="47" t="s">
        <v>33</v>
      </c>
    </row>
    <row r="922" ht="14.25" customHeight="1" spans="1:15">
      <c r="A922" s="43" t="s">
        <v>1893</v>
      </c>
      <c r="B922" s="44">
        <v>46170</v>
      </c>
      <c r="C922" s="45">
        <v>0.807638888888889</v>
      </c>
      <c r="D922" s="46">
        <f t="shared" si="0"/>
        <v>19</v>
      </c>
      <c r="E922" s="47" t="str">
        <f t="shared" si="7"/>
        <v>Thursday</v>
      </c>
      <c r="F922" s="47" t="s">
        <v>16</v>
      </c>
      <c r="G922" s="47" t="s">
        <v>57</v>
      </c>
      <c r="H922" s="43" t="s">
        <v>28</v>
      </c>
      <c r="I922" s="48">
        <v>1</v>
      </c>
      <c r="J922" s="49">
        <v>18000</v>
      </c>
      <c r="K922" s="49">
        <v>18000</v>
      </c>
      <c r="L922" s="47" t="s">
        <v>22</v>
      </c>
      <c r="M922" s="46">
        <v>0</v>
      </c>
      <c r="N922" s="48" t="s">
        <v>23</v>
      </c>
      <c r="O922" s="47" t="s">
        <v>40</v>
      </c>
    </row>
    <row r="923" ht="14.25" customHeight="1" spans="1:15">
      <c r="A923" s="43" t="s">
        <v>1894</v>
      </c>
      <c r="B923" s="44">
        <v>46170</v>
      </c>
      <c r="C923" s="45">
        <v>0.825</v>
      </c>
      <c r="D923" s="46">
        <f t="shared" si="0"/>
        <v>19</v>
      </c>
      <c r="E923" s="47" t="str">
        <f t="shared" si="7"/>
        <v>Thursday</v>
      </c>
      <c r="F923" s="47" t="s">
        <v>107</v>
      </c>
      <c r="G923" s="47" t="s">
        <v>17</v>
      </c>
      <c r="H923" s="43" t="s">
        <v>18</v>
      </c>
      <c r="I923" s="48">
        <v>1</v>
      </c>
      <c r="J923" s="50">
        <v>1000</v>
      </c>
      <c r="K923" s="49">
        <v>1000</v>
      </c>
      <c r="L923" s="47" t="s">
        <v>32</v>
      </c>
      <c r="M923" s="46">
        <v>0</v>
      </c>
      <c r="N923" s="48" t="s">
        <v>23</v>
      </c>
      <c r="O923" s="47" t="s">
        <v>33</v>
      </c>
    </row>
    <row r="924" ht="14.25" customHeight="1" spans="1:15">
      <c r="A924" s="43" t="s">
        <v>1896</v>
      </c>
      <c r="B924" s="44">
        <v>46170</v>
      </c>
      <c r="C924" s="45">
        <v>0.853472222222222</v>
      </c>
      <c r="D924" s="46">
        <f t="shared" si="0"/>
        <v>20</v>
      </c>
      <c r="E924" s="47" t="str">
        <f t="shared" si="7"/>
        <v>Thursday</v>
      </c>
      <c r="F924" s="47" t="s">
        <v>16</v>
      </c>
      <c r="G924" s="47" t="s">
        <v>17</v>
      </c>
      <c r="H924" s="43" t="s">
        <v>18</v>
      </c>
      <c r="I924" s="48">
        <v>2</v>
      </c>
      <c r="J924" s="49">
        <v>1000</v>
      </c>
      <c r="K924" s="49">
        <f>I924*J924</f>
        <v>2000</v>
      </c>
      <c r="L924" s="47" t="s">
        <v>22</v>
      </c>
      <c r="M924" s="46">
        <v>0</v>
      </c>
      <c r="N924" s="48" t="s">
        <v>23</v>
      </c>
      <c r="O924" s="47" t="s">
        <v>24</v>
      </c>
    </row>
    <row r="925" ht="14.25" customHeight="1" spans="1:15">
      <c r="A925" s="43" t="s">
        <v>1897</v>
      </c>
      <c r="B925" s="44">
        <v>46170</v>
      </c>
      <c r="C925" s="45">
        <v>0.889583333333333</v>
      </c>
      <c r="D925" s="46">
        <f t="shared" si="0"/>
        <v>21</v>
      </c>
      <c r="E925" s="47" t="str">
        <f t="shared" si="7"/>
        <v>Thursday</v>
      </c>
      <c r="F925" s="47" t="s">
        <v>43</v>
      </c>
      <c r="G925" s="47" t="s">
        <v>17</v>
      </c>
      <c r="H925" s="43" t="s">
        <v>18</v>
      </c>
      <c r="I925" s="48">
        <v>1</v>
      </c>
      <c r="J925" s="49">
        <f>K925/I925</f>
        <v>1000</v>
      </c>
      <c r="K925" s="49">
        <v>1000</v>
      </c>
      <c r="L925" s="47" t="s">
        <v>22</v>
      </c>
      <c r="M925" s="46">
        <v>0</v>
      </c>
      <c r="N925" s="48" t="s">
        <v>23</v>
      </c>
      <c r="O925" s="47" t="s">
        <v>73</v>
      </c>
    </row>
    <row r="926" ht="14.25" customHeight="1" spans="1:15">
      <c r="A926" s="43" t="s">
        <v>1898</v>
      </c>
      <c r="B926" s="44">
        <v>46170</v>
      </c>
      <c r="C926" s="45">
        <v>0.915277777777778</v>
      </c>
      <c r="D926" s="46">
        <f t="shared" si="0"/>
        <v>21</v>
      </c>
      <c r="E926" s="47" t="str">
        <f t="shared" si="7"/>
        <v>Thursday</v>
      </c>
      <c r="F926" s="47" t="s">
        <v>16</v>
      </c>
      <c r="G926" s="47" t="s">
        <v>81</v>
      </c>
      <c r="H926" s="43" t="s">
        <v>37</v>
      </c>
      <c r="I926" s="48">
        <v>2</v>
      </c>
      <c r="J926" s="49">
        <v>6000</v>
      </c>
      <c r="K926" s="49">
        <v>12000</v>
      </c>
      <c r="L926" s="47" t="s">
        <v>32</v>
      </c>
      <c r="M926" s="46">
        <v>0</v>
      </c>
      <c r="N926" s="48" t="s">
        <v>23</v>
      </c>
      <c r="O926" s="47" t="s">
        <v>33</v>
      </c>
    </row>
    <row r="927" ht="14.25" customHeight="1" spans="1:15">
      <c r="A927" s="43" t="s">
        <v>1899</v>
      </c>
      <c r="B927" s="44">
        <v>46170</v>
      </c>
      <c r="C927" s="45">
        <v>0.929166666666667</v>
      </c>
      <c r="D927" s="46">
        <f t="shared" si="0"/>
        <v>22</v>
      </c>
      <c r="E927" s="47" t="str">
        <f t="shared" si="7"/>
        <v>Thursday</v>
      </c>
      <c r="F927" s="47" t="s">
        <v>43</v>
      </c>
      <c r="G927" s="47" t="s">
        <v>27</v>
      </c>
      <c r="H927" s="43" t="s">
        <v>28</v>
      </c>
      <c r="I927" s="48">
        <v>2</v>
      </c>
      <c r="J927" s="49">
        <v>15000</v>
      </c>
      <c r="K927" s="49">
        <v>30000</v>
      </c>
      <c r="L927" s="47" t="s">
        <v>32</v>
      </c>
      <c r="M927" s="46">
        <v>0</v>
      </c>
      <c r="N927" s="48">
        <v>3</v>
      </c>
      <c r="O927" s="47" t="s">
        <v>24</v>
      </c>
    </row>
    <row r="928" ht="14.25" customHeight="1" spans="1:15">
      <c r="A928" s="43" t="s">
        <v>1901</v>
      </c>
      <c r="B928" s="44">
        <v>46170</v>
      </c>
      <c r="C928" s="45">
        <v>0.990972222222222</v>
      </c>
      <c r="D928" s="46">
        <f t="shared" si="0"/>
        <v>23</v>
      </c>
      <c r="E928" s="47" t="str">
        <f t="shared" si="7"/>
        <v>Thursday</v>
      </c>
      <c r="F928" s="47" t="s">
        <v>16</v>
      </c>
      <c r="G928" s="43" t="s">
        <v>647</v>
      </c>
      <c r="H928" s="43" t="s">
        <v>45</v>
      </c>
      <c r="I928" s="48">
        <v>1</v>
      </c>
      <c r="J928" s="49">
        <v>4500</v>
      </c>
      <c r="K928" s="49">
        <v>4500</v>
      </c>
      <c r="L928" s="47" t="s">
        <v>22</v>
      </c>
      <c r="M928" s="46">
        <v>0</v>
      </c>
      <c r="N928" s="48" t="s">
        <v>23</v>
      </c>
      <c r="O928" s="47" t="s">
        <v>40</v>
      </c>
    </row>
    <row r="929" ht="14.25" customHeight="1" spans="1:15">
      <c r="A929" s="43" t="s">
        <v>1903</v>
      </c>
      <c r="B929" s="44">
        <v>46171</v>
      </c>
      <c r="C929" s="45">
        <v>0.629166666666667</v>
      </c>
      <c r="D929" s="46">
        <f t="shared" si="0"/>
        <v>15</v>
      </c>
      <c r="E929" s="47" t="str">
        <f t="shared" si="7"/>
        <v>Friday</v>
      </c>
      <c r="F929" s="47" t="s">
        <v>16</v>
      </c>
      <c r="G929" s="47" t="s">
        <v>17</v>
      </c>
      <c r="H929" s="43" t="s">
        <v>18</v>
      </c>
      <c r="I929" s="48">
        <v>2</v>
      </c>
      <c r="J929" s="49">
        <v>1000</v>
      </c>
      <c r="K929" s="49">
        <v>2000</v>
      </c>
      <c r="L929" s="47" t="s">
        <v>22</v>
      </c>
      <c r="M929" s="46">
        <v>0</v>
      </c>
      <c r="N929" s="48" t="s">
        <v>23</v>
      </c>
      <c r="O929" s="47" t="s">
        <v>24</v>
      </c>
    </row>
    <row r="930" ht="14.25" customHeight="1" spans="1:15">
      <c r="A930" s="43" t="s">
        <v>1906</v>
      </c>
      <c r="B930" s="44">
        <v>46171</v>
      </c>
      <c r="C930" s="45">
        <v>0.688194444444444</v>
      </c>
      <c r="D930" s="46">
        <f t="shared" si="0"/>
        <v>16</v>
      </c>
      <c r="E930" s="47" t="str">
        <f t="shared" si="7"/>
        <v>Friday</v>
      </c>
      <c r="F930" s="47" t="s">
        <v>16</v>
      </c>
      <c r="G930" s="47" t="s">
        <v>103</v>
      </c>
      <c r="H930" s="43" t="s">
        <v>37</v>
      </c>
      <c r="I930" s="48">
        <v>1</v>
      </c>
      <c r="J930" s="50">
        <v>5000</v>
      </c>
      <c r="K930" s="49">
        <v>5000</v>
      </c>
      <c r="L930" s="47" t="s">
        <v>22</v>
      </c>
      <c r="M930" s="46">
        <v>0</v>
      </c>
      <c r="N930" s="48" t="s">
        <v>23</v>
      </c>
      <c r="O930" s="47" t="s">
        <v>73</v>
      </c>
    </row>
    <row r="931" ht="14.25" customHeight="1" spans="1:15">
      <c r="A931" s="43" t="s">
        <v>1909</v>
      </c>
      <c r="B931" s="44">
        <v>46171</v>
      </c>
      <c r="C931" s="45">
        <v>0.809027777777778</v>
      </c>
      <c r="D931" s="46">
        <f t="shared" si="0"/>
        <v>19</v>
      </c>
      <c r="E931" s="47" t="str">
        <f t="shared" si="7"/>
        <v>Friday</v>
      </c>
      <c r="F931" s="47" t="s">
        <v>107</v>
      </c>
      <c r="G931" s="47" t="s">
        <v>63</v>
      </c>
      <c r="H931" s="43" t="s">
        <v>18</v>
      </c>
      <c r="I931" s="48">
        <v>1</v>
      </c>
      <c r="J931" s="49">
        <v>1500</v>
      </c>
      <c r="K931" s="49">
        <v>1500</v>
      </c>
      <c r="L931" s="47" t="s">
        <v>22</v>
      </c>
      <c r="M931" s="46">
        <v>0</v>
      </c>
      <c r="N931" s="48" t="s">
        <v>23</v>
      </c>
      <c r="O931" s="47" t="s">
        <v>73</v>
      </c>
    </row>
    <row r="932" ht="14.25" customHeight="1" spans="1:15">
      <c r="A932" s="43" t="s">
        <v>1910</v>
      </c>
      <c r="B932" s="44">
        <v>46171</v>
      </c>
      <c r="C932" s="45">
        <v>0.844444444444444</v>
      </c>
      <c r="D932" s="46">
        <f t="shared" si="0"/>
        <v>20</v>
      </c>
      <c r="E932" s="47" t="str">
        <f t="shared" si="7"/>
        <v>Friday</v>
      </c>
      <c r="F932" s="47" t="s">
        <v>16</v>
      </c>
      <c r="G932" s="47" t="s">
        <v>50</v>
      </c>
      <c r="H932" s="43" t="s">
        <v>28</v>
      </c>
      <c r="I932" s="48">
        <v>2</v>
      </c>
      <c r="J932" s="49">
        <v>25000</v>
      </c>
      <c r="K932" s="49">
        <v>50000</v>
      </c>
      <c r="L932" s="47" t="s">
        <v>22</v>
      </c>
      <c r="M932" s="46">
        <v>0</v>
      </c>
      <c r="N932" s="48" t="s">
        <v>23</v>
      </c>
      <c r="O932" s="47" t="s">
        <v>47</v>
      </c>
    </row>
    <row r="933" ht="14.25" customHeight="1" spans="1:15">
      <c r="A933" s="43" t="s">
        <v>1911</v>
      </c>
      <c r="B933" s="44">
        <v>46171</v>
      </c>
      <c r="C933" s="45">
        <v>0.845833333333333</v>
      </c>
      <c r="D933" s="46">
        <f t="shared" si="0"/>
        <v>20</v>
      </c>
      <c r="E933" s="47" t="str">
        <f t="shared" si="7"/>
        <v>Friday</v>
      </c>
      <c r="F933" s="47" t="s">
        <v>43</v>
      </c>
      <c r="G933" s="47" t="s">
        <v>17</v>
      </c>
      <c r="H933" s="43" t="s">
        <v>18</v>
      </c>
      <c r="I933" s="48">
        <v>1</v>
      </c>
      <c r="J933" s="49">
        <v>1000</v>
      </c>
      <c r="K933" s="49">
        <v>1000</v>
      </c>
      <c r="L933" s="47" t="s">
        <v>22</v>
      </c>
      <c r="M933" s="46">
        <v>0</v>
      </c>
      <c r="N933" s="48" t="s">
        <v>23</v>
      </c>
      <c r="O933" s="47" t="s">
        <v>40</v>
      </c>
    </row>
    <row r="934" ht="14.25" customHeight="1" spans="1:15">
      <c r="A934" s="43" t="s">
        <v>1912</v>
      </c>
      <c r="B934" s="44">
        <v>46171</v>
      </c>
      <c r="C934" s="45">
        <v>0.8875</v>
      </c>
      <c r="D934" s="46">
        <f t="shared" si="0"/>
        <v>21</v>
      </c>
      <c r="E934" s="47" t="str">
        <f t="shared" si="7"/>
        <v>Friday</v>
      </c>
      <c r="F934" s="47" t="s">
        <v>16</v>
      </c>
      <c r="G934" s="47" t="s">
        <v>63</v>
      </c>
      <c r="H934" s="43" t="s">
        <v>18</v>
      </c>
      <c r="I934" s="48">
        <v>1</v>
      </c>
      <c r="J934" s="49">
        <v>1500</v>
      </c>
      <c r="K934" s="49">
        <v>1500</v>
      </c>
      <c r="L934" s="47" t="s">
        <v>22</v>
      </c>
      <c r="M934" s="46">
        <v>0</v>
      </c>
      <c r="N934" s="48" t="s">
        <v>23</v>
      </c>
      <c r="O934" s="47" t="s">
        <v>73</v>
      </c>
    </row>
    <row r="935" ht="14.25" customHeight="1" spans="1:15">
      <c r="A935" s="43" t="s">
        <v>1913</v>
      </c>
      <c r="B935" s="44">
        <v>46171</v>
      </c>
      <c r="C935" s="45">
        <v>0.920833333333333</v>
      </c>
      <c r="D935" s="46">
        <f t="shared" si="0"/>
        <v>22</v>
      </c>
      <c r="E935" s="47" t="str">
        <f t="shared" si="7"/>
        <v>Friday</v>
      </c>
      <c r="F935" s="47" t="s">
        <v>107</v>
      </c>
      <c r="G935" s="47" t="s">
        <v>103</v>
      </c>
      <c r="H935" s="43" t="s">
        <v>37</v>
      </c>
      <c r="I935" s="48">
        <v>1</v>
      </c>
      <c r="J935" s="49">
        <v>4500</v>
      </c>
      <c r="K935" s="50">
        <v>4050</v>
      </c>
      <c r="L935" s="47" t="s">
        <v>22</v>
      </c>
      <c r="M935" s="51">
        <v>0.1</v>
      </c>
      <c r="N935" s="48" t="s">
        <v>23</v>
      </c>
      <c r="O935" s="47" t="s">
        <v>24</v>
      </c>
    </row>
    <row r="936" ht="14.25" customHeight="1" spans="1:15">
      <c r="A936" s="43" t="s">
        <v>1915</v>
      </c>
      <c r="B936" s="44">
        <v>46171</v>
      </c>
      <c r="C936" s="45">
        <v>0.929861111111111</v>
      </c>
      <c r="D936" s="46">
        <f t="shared" si="0"/>
        <v>22</v>
      </c>
      <c r="E936" s="47" t="str">
        <f t="shared" si="7"/>
        <v>Friday</v>
      </c>
      <c r="F936" s="47" t="s">
        <v>43</v>
      </c>
      <c r="G936" s="47" t="s">
        <v>63</v>
      </c>
      <c r="H936" s="47" t="s">
        <v>18</v>
      </c>
      <c r="I936" s="48">
        <v>1</v>
      </c>
      <c r="J936" s="49">
        <v>1500</v>
      </c>
      <c r="K936" s="49">
        <v>1500</v>
      </c>
      <c r="L936" s="47" t="s">
        <v>32</v>
      </c>
      <c r="M936" s="46">
        <v>0</v>
      </c>
      <c r="N936" s="48">
        <v>3</v>
      </c>
      <c r="O936" s="47" t="s">
        <v>33</v>
      </c>
    </row>
    <row r="937" ht="14.25" customHeight="1" spans="1:15">
      <c r="A937" s="43" t="s">
        <v>1916</v>
      </c>
      <c r="B937" s="44">
        <v>46171</v>
      </c>
      <c r="C937" s="45">
        <v>0.973611111111111</v>
      </c>
      <c r="D937" s="46">
        <f t="shared" si="0"/>
        <v>23</v>
      </c>
      <c r="E937" s="47" t="str">
        <f t="shared" si="7"/>
        <v>Friday</v>
      </c>
      <c r="F937" s="47" t="s">
        <v>43</v>
      </c>
      <c r="G937" s="47" t="s">
        <v>50</v>
      </c>
      <c r="H937" s="43" t="s">
        <v>28</v>
      </c>
      <c r="I937" s="48">
        <v>2</v>
      </c>
      <c r="J937" s="49">
        <v>25000</v>
      </c>
      <c r="K937" s="49">
        <v>50000</v>
      </c>
      <c r="L937" s="47" t="s">
        <v>22</v>
      </c>
      <c r="M937" s="46">
        <v>0</v>
      </c>
      <c r="N937" s="48" t="s">
        <v>23</v>
      </c>
      <c r="O937" s="47" t="s">
        <v>40</v>
      </c>
    </row>
    <row r="938" ht="14.25" customHeight="1" spans="1:15">
      <c r="A938" s="43" t="s">
        <v>1918</v>
      </c>
      <c r="B938" s="44">
        <v>46171</v>
      </c>
      <c r="C938" s="45">
        <v>0.983333333333333</v>
      </c>
      <c r="D938" s="46">
        <f t="shared" si="0"/>
        <v>23</v>
      </c>
      <c r="E938" s="47" t="str">
        <f t="shared" si="7"/>
        <v>Friday</v>
      </c>
      <c r="F938" s="47" t="s">
        <v>107</v>
      </c>
      <c r="G938" s="47" t="s">
        <v>103</v>
      </c>
      <c r="H938" s="43" t="s">
        <v>37</v>
      </c>
      <c r="I938" s="48">
        <v>1</v>
      </c>
      <c r="J938" s="49">
        <v>5000</v>
      </c>
      <c r="K938" s="49">
        <v>5000</v>
      </c>
      <c r="L938" s="47" t="s">
        <v>22</v>
      </c>
      <c r="M938" s="46">
        <v>0</v>
      </c>
      <c r="N938" s="48">
        <v>5</v>
      </c>
      <c r="O938" s="47" t="s">
        <v>33</v>
      </c>
    </row>
    <row r="939" ht="14.25" customHeight="1" spans="1:15">
      <c r="A939" s="43" t="s">
        <v>1919</v>
      </c>
      <c r="B939" s="44">
        <v>46177</v>
      </c>
      <c r="C939" s="45">
        <v>0.955555555555556</v>
      </c>
      <c r="D939" s="46">
        <f t="shared" si="0"/>
        <v>22</v>
      </c>
      <c r="E939" s="47" t="str">
        <f t="shared" si="7"/>
        <v>Thursday</v>
      </c>
      <c r="F939" s="47" t="s">
        <v>43</v>
      </c>
      <c r="G939" s="47" t="s">
        <v>50</v>
      </c>
      <c r="H939" s="43" t="s">
        <v>28</v>
      </c>
      <c r="I939" s="48">
        <v>1</v>
      </c>
      <c r="J939" s="49">
        <v>25000</v>
      </c>
      <c r="K939" s="49">
        <v>25000</v>
      </c>
      <c r="L939" s="47" t="s">
        <v>22</v>
      </c>
      <c r="M939" s="46">
        <v>0</v>
      </c>
      <c r="N939" s="48" t="s">
        <v>23</v>
      </c>
      <c r="O939" s="47" t="s">
        <v>33</v>
      </c>
    </row>
    <row r="940" ht="14.25" customHeight="1" spans="1:15">
      <c r="A940" s="43" t="s">
        <v>1921</v>
      </c>
      <c r="B940" s="44">
        <v>46172</v>
      </c>
      <c r="C940" s="45">
        <v>0.827083333333333</v>
      </c>
      <c r="D940" s="46">
        <f t="shared" si="0"/>
        <v>19</v>
      </c>
      <c r="E940" s="47" t="str">
        <f t="shared" si="7"/>
        <v>Saturday</v>
      </c>
      <c r="F940" s="47" t="s">
        <v>16</v>
      </c>
      <c r="G940" s="43" t="s">
        <v>36</v>
      </c>
      <c r="H940" s="43" t="s">
        <v>37</v>
      </c>
      <c r="I940" s="48">
        <v>1</v>
      </c>
      <c r="J940" s="49">
        <v>3000</v>
      </c>
      <c r="K940" s="49">
        <v>3000</v>
      </c>
      <c r="L940" s="47" t="s">
        <v>32</v>
      </c>
      <c r="M940" s="46">
        <v>0</v>
      </c>
      <c r="N940" s="48" t="s">
        <v>23</v>
      </c>
      <c r="O940" s="47" t="s">
        <v>33</v>
      </c>
    </row>
    <row r="941" ht="14.25" customHeight="1" spans="1:15">
      <c r="A941" s="43" t="s">
        <v>1923</v>
      </c>
      <c r="B941" s="44">
        <v>46172</v>
      </c>
      <c r="C941" s="45">
        <v>0.85</v>
      </c>
      <c r="D941" s="46">
        <f t="shared" si="0"/>
        <v>20</v>
      </c>
      <c r="E941" s="47" t="str">
        <f t="shared" si="7"/>
        <v>Saturday</v>
      </c>
      <c r="F941" s="47" t="s">
        <v>107</v>
      </c>
      <c r="G941" s="47" t="s">
        <v>63</v>
      </c>
      <c r="H941" s="43" t="s">
        <v>18</v>
      </c>
      <c r="I941" s="48">
        <v>1</v>
      </c>
      <c r="J941" s="49">
        <v>1500</v>
      </c>
      <c r="K941" s="49">
        <v>1500</v>
      </c>
      <c r="L941" s="47" t="s">
        <v>32</v>
      </c>
      <c r="M941" s="46">
        <v>0</v>
      </c>
      <c r="N941" s="48" t="s">
        <v>23</v>
      </c>
      <c r="O941" s="47" t="s">
        <v>33</v>
      </c>
    </row>
    <row r="942" ht="14.25" customHeight="1" spans="1:15">
      <c r="A942" s="43" t="s">
        <v>1925</v>
      </c>
      <c r="B942" s="44">
        <v>46172</v>
      </c>
      <c r="C942" s="45">
        <v>0.864583333333333</v>
      </c>
      <c r="D942" s="46">
        <f t="shared" si="0"/>
        <v>20</v>
      </c>
      <c r="E942" s="47" t="str">
        <f t="shared" si="7"/>
        <v>Saturday</v>
      </c>
      <c r="F942" s="47" t="s">
        <v>43</v>
      </c>
      <c r="G942" s="47" t="s">
        <v>103</v>
      </c>
      <c r="H942" s="47" t="s">
        <v>37</v>
      </c>
      <c r="I942" s="48">
        <v>1</v>
      </c>
      <c r="J942" s="49">
        <v>5000</v>
      </c>
      <c r="K942" s="49">
        <v>5000</v>
      </c>
      <c r="L942" s="47" t="s">
        <v>22</v>
      </c>
      <c r="M942" s="46">
        <v>0</v>
      </c>
      <c r="N942" s="48">
        <v>4</v>
      </c>
      <c r="O942" s="47" t="s">
        <v>47</v>
      </c>
    </row>
    <row r="943" ht="14.25" customHeight="1" spans="1:15">
      <c r="A943" s="43" t="s">
        <v>1926</v>
      </c>
      <c r="B943" s="44">
        <v>46172</v>
      </c>
      <c r="C943" s="45">
        <v>0.86875</v>
      </c>
      <c r="D943" s="46">
        <f t="shared" si="0"/>
        <v>20</v>
      </c>
      <c r="E943" s="47" t="str">
        <f t="shared" si="7"/>
        <v>Saturday</v>
      </c>
      <c r="F943" s="47" t="s">
        <v>16</v>
      </c>
      <c r="G943" s="47" t="s">
        <v>17</v>
      </c>
      <c r="H943" s="43" t="s">
        <v>18</v>
      </c>
      <c r="I943" s="48">
        <v>1</v>
      </c>
      <c r="J943" s="49">
        <v>1000</v>
      </c>
      <c r="K943" s="49">
        <v>1000</v>
      </c>
      <c r="L943" s="47" t="s">
        <v>32</v>
      </c>
      <c r="M943" s="46">
        <v>0</v>
      </c>
      <c r="N943" s="48" t="s">
        <v>23</v>
      </c>
      <c r="O943" s="47" t="s">
        <v>40</v>
      </c>
    </row>
    <row r="944" ht="14.25" customHeight="1" spans="1:15">
      <c r="A944" s="43" t="s">
        <v>1927</v>
      </c>
      <c r="B944" s="44">
        <v>46172</v>
      </c>
      <c r="C944" s="45">
        <v>0.898611111111111</v>
      </c>
      <c r="D944" s="46">
        <f t="shared" si="0"/>
        <v>21</v>
      </c>
      <c r="E944" s="47" t="str">
        <f t="shared" si="7"/>
        <v>Saturday</v>
      </c>
      <c r="F944" s="47" t="s">
        <v>43</v>
      </c>
      <c r="G944" s="47" t="s">
        <v>57</v>
      </c>
      <c r="H944" s="43" t="s">
        <v>28</v>
      </c>
      <c r="I944" s="48">
        <v>3</v>
      </c>
      <c r="J944" s="49">
        <v>18000</v>
      </c>
      <c r="K944" s="50">
        <v>48600</v>
      </c>
      <c r="L944" s="47" t="s">
        <v>22</v>
      </c>
      <c r="M944" s="51">
        <v>0.1</v>
      </c>
      <c r="N944" s="48">
        <v>4</v>
      </c>
      <c r="O944" s="47" t="s">
        <v>33</v>
      </c>
    </row>
    <row r="945" ht="14.25" customHeight="1" spans="1:15">
      <c r="A945" s="43" t="s">
        <v>1929</v>
      </c>
      <c r="B945" s="44">
        <v>46172</v>
      </c>
      <c r="C945" s="45">
        <v>0.929861111111111</v>
      </c>
      <c r="D945" s="46">
        <f t="shared" si="0"/>
        <v>22</v>
      </c>
      <c r="E945" s="47" t="str">
        <f t="shared" si="7"/>
        <v>Saturday</v>
      </c>
      <c r="F945" s="47" t="s">
        <v>16</v>
      </c>
      <c r="G945" s="47" t="s">
        <v>367</v>
      </c>
      <c r="H945" s="43" t="s">
        <v>109</v>
      </c>
      <c r="I945" s="48">
        <v>1</v>
      </c>
      <c r="J945" s="49">
        <v>7000</v>
      </c>
      <c r="K945" s="49">
        <v>7000</v>
      </c>
      <c r="L945" s="47" t="s">
        <v>22</v>
      </c>
      <c r="M945" s="46">
        <v>0</v>
      </c>
      <c r="N945" s="48" t="s">
        <v>23</v>
      </c>
      <c r="O945" s="47" t="s">
        <v>47</v>
      </c>
    </row>
    <row r="946" ht="14.25" customHeight="1" spans="1:15">
      <c r="A946" s="43" t="s">
        <v>1930</v>
      </c>
      <c r="B946" s="44">
        <v>46173</v>
      </c>
      <c r="C946" s="45">
        <v>0.632638888888889</v>
      </c>
      <c r="D946" s="46">
        <f t="shared" si="0"/>
        <v>15</v>
      </c>
      <c r="E946" s="47" t="str">
        <f t="shared" si="7"/>
        <v>Sunday</v>
      </c>
      <c r="F946" s="47" t="s">
        <v>16</v>
      </c>
      <c r="G946" s="47" t="s">
        <v>146</v>
      </c>
      <c r="H946" s="43" t="s">
        <v>28</v>
      </c>
      <c r="I946" s="48">
        <v>1</v>
      </c>
      <c r="J946" s="49">
        <v>16000</v>
      </c>
      <c r="K946" s="49">
        <v>16000</v>
      </c>
      <c r="L946" s="47" t="s">
        <v>32</v>
      </c>
      <c r="M946" s="46">
        <v>0</v>
      </c>
      <c r="N946" s="48">
        <v>5</v>
      </c>
      <c r="O946" s="47" t="s">
        <v>33</v>
      </c>
    </row>
    <row r="947" ht="14.25" customHeight="1" spans="1:15">
      <c r="A947" s="43" t="s">
        <v>1932</v>
      </c>
      <c r="B947" s="44">
        <v>46173</v>
      </c>
      <c r="C947" s="45">
        <v>0.64375</v>
      </c>
      <c r="D947" s="46">
        <f t="shared" si="0"/>
        <v>15</v>
      </c>
      <c r="E947" s="47" t="str">
        <f t="shared" si="7"/>
        <v>Sunday</v>
      </c>
      <c r="F947" s="47" t="s">
        <v>16</v>
      </c>
      <c r="G947" s="47" t="s">
        <v>57</v>
      </c>
      <c r="H947" s="43" t="s">
        <v>28</v>
      </c>
      <c r="I947" s="48">
        <v>2</v>
      </c>
      <c r="J947" s="49">
        <v>18000</v>
      </c>
      <c r="K947" s="49">
        <v>36000</v>
      </c>
      <c r="L947" s="47" t="s">
        <v>32</v>
      </c>
      <c r="M947" s="46">
        <v>0</v>
      </c>
      <c r="N947" s="48">
        <v>4</v>
      </c>
      <c r="O947" s="47" t="s">
        <v>24</v>
      </c>
    </row>
    <row r="948" ht="14.25" customHeight="1" spans="1:15">
      <c r="A948" s="43" t="s">
        <v>1935</v>
      </c>
      <c r="B948" s="44">
        <v>46173</v>
      </c>
      <c r="C948" s="45">
        <v>0.792361111111111</v>
      </c>
      <c r="D948" s="46">
        <f t="shared" si="0"/>
        <v>19</v>
      </c>
      <c r="E948" s="47" t="str">
        <f t="shared" si="7"/>
        <v>Sunday</v>
      </c>
      <c r="F948" s="47" t="s">
        <v>107</v>
      </c>
      <c r="G948" s="43" t="s">
        <v>36</v>
      </c>
      <c r="H948" s="43" t="s">
        <v>37</v>
      </c>
      <c r="I948" s="48">
        <v>1</v>
      </c>
      <c r="J948" s="49">
        <v>3000</v>
      </c>
      <c r="K948" s="49">
        <f>I948*J948</f>
        <v>3000</v>
      </c>
      <c r="L948" s="47" t="s">
        <v>22</v>
      </c>
      <c r="M948" s="46">
        <v>0</v>
      </c>
      <c r="N948" s="48">
        <v>4</v>
      </c>
      <c r="O948" s="47" t="s">
        <v>24</v>
      </c>
    </row>
    <row r="949" ht="14.25" customHeight="1" spans="1:15">
      <c r="A949" s="43" t="s">
        <v>1936</v>
      </c>
      <c r="B949" s="44">
        <v>46173</v>
      </c>
      <c r="C949" s="45">
        <v>0.879861111111111</v>
      </c>
      <c r="D949" s="46">
        <f t="shared" si="0"/>
        <v>21</v>
      </c>
      <c r="E949" s="47" t="str">
        <f t="shared" si="7"/>
        <v>Sunday</v>
      </c>
      <c r="F949" s="47" t="s">
        <v>43</v>
      </c>
      <c r="G949" s="47" t="s">
        <v>146</v>
      </c>
      <c r="H949" s="43" t="s">
        <v>28</v>
      </c>
      <c r="I949" s="48">
        <v>1</v>
      </c>
      <c r="J949" s="49">
        <v>16000</v>
      </c>
      <c r="K949" s="50">
        <v>12800</v>
      </c>
      <c r="L949" s="47" t="s">
        <v>22</v>
      </c>
      <c r="M949" s="51">
        <v>0.2</v>
      </c>
      <c r="N949" s="48">
        <v>3</v>
      </c>
      <c r="O949" s="47" t="s">
        <v>33</v>
      </c>
    </row>
    <row r="950" ht="14.25" customHeight="1" spans="1:15">
      <c r="A950" s="43" t="s">
        <v>1938</v>
      </c>
      <c r="B950" s="44">
        <v>46173</v>
      </c>
      <c r="C950" s="45">
        <v>0.931944444444444</v>
      </c>
      <c r="D950" s="46">
        <f t="shared" si="0"/>
        <v>22</v>
      </c>
      <c r="E950" s="47" t="str">
        <f t="shared" si="7"/>
        <v>Sunday</v>
      </c>
      <c r="F950" s="47" t="s">
        <v>43</v>
      </c>
      <c r="G950" s="47" t="s">
        <v>103</v>
      </c>
      <c r="H950" s="43" t="s">
        <v>37</v>
      </c>
      <c r="I950" s="48">
        <v>1</v>
      </c>
      <c r="J950" s="49">
        <v>5000</v>
      </c>
      <c r="K950" s="49">
        <v>5000</v>
      </c>
      <c r="L950" s="47" t="s">
        <v>22</v>
      </c>
      <c r="M950" s="46">
        <v>0</v>
      </c>
      <c r="N950" s="48" t="s">
        <v>23</v>
      </c>
      <c r="O950" s="47" t="s">
        <v>24</v>
      </c>
    </row>
    <row r="951" ht="14.25" customHeight="1" spans="1:15">
      <c r="A951" s="43" t="s">
        <v>1939</v>
      </c>
      <c r="B951" s="44">
        <v>46174</v>
      </c>
      <c r="C951" s="45">
        <v>0.793055555555556</v>
      </c>
      <c r="D951" s="46">
        <f t="shared" si="0"/>
        <v>19</v>
      </c>
      <c r="E951" s="47" t="str">
        <f t="shared" si="7"/>
        <v>Monday</v>
      </c>
      <c r="F951" s="47" t="s">
        <v>16</v>
      </c>
      <c r="G951" s="47" t="s">
        <v>103</v>
      </c>
      <c r="H951" s="43" t="s">
        <v>37</v>
      </c>
      <c r="I951" s="48">
        <v>1</v>
      </c>
      <c r="J951" s="49">
        <v>5000</v>
      </c>
      <c r="K951" s="49">
        <v>5000</v>
      </c>
      <c r="L951" s="47" t="s">
        <v>22</v>
      </c>
      <c r="M951" s="46">
        <v>0</v>
      </c>
      <c r="N951" s="48" t="s">
        <v>23</v>
      </c>
      <c r="O951" s="47" t="s">
        <v>73</v>
      </c>
    </row>
    <row r="952" ht="14.25" customHeight="1" spans="1:15">
      <c r="A952" s="43" t="s">
        <v>1941</v>
      </c>
      <c r="B952" s="44">
        <v>46174</v>
      </c>
      <c r="C952" s="45">
        <v>0.870833333333333</v>
      </c>
      <c r="D952" s="46">
        <f t="shared" si="0"/>
        <v>20</v>
      </c>
      <c r="E952" s="47" t="str">
        <f t="shared" si="7"/>
        <v>Monday</v>
      </c>
      <c r="F952" s="47" t="s">
        <v>43</v>
      </c>
      <c r="G952" s="47" t="s">
        <v>103</v>
      </c>
      <c r="H952" s="43" t="s">
        <v>37</v>
      </c>
      <c r="I952" s="48">
        <v>1</v>
      </c>
      <c r="J952" s="49">
        <v>5000</v>
      </c>
      <c r="K952" s="49">
        <v>5000</v>
      </c>
      <c r="L952" s="47" t="s">
        <v>32</v>
      </c>
      <c r="M952" s="46">
        <v>0</v>
      </c>
      <c r="N952" s="48">
        <v>4</v>
      </c>
      <c r="O952" s="47" t="s">
        <v>40</v>
      </c>
    </row>
    <row r="953" ht="14.25" customHeight="1" spans="1:15">
      <c r="A953" s="43" t="s">
        <v>1943</v>
      </c>
      <c r="B953" s="44">
        <v>46175</v>
      </c>
      <c r="C953" s="45">
        <v>0.579861111111111</v>
      </c>
      <c r="D953" s="46">
        <f t="shared" si="0"/>
        <v>13</v>
      </c>
      <c r="E953" s="47" t="str">
        <f t="shared" si="7"/>
        <v>Tuesday</v>
      </c>
      <c r="F953" s="47" t="s">
        <v>107</v>
      </c>
      <c r="G953" s="47" t="s">
        <v>95</v>
      </c>
      <c r="H953" s="43" t="s">
        <v>45</v>
      </c>
      <c r="I953" s="48">
        <v>1</v>
      </c>
      <c r="J953" s="49">
        <v>5000</v>
      </c>
      <c r="K953" s="49">
        <v>5000</v>
      </c>
      <c r="L953" s="47" t="s">
        <v>32</v>
      </c>
      <c r="M953" s="46">
        <v>0</v>
      </c>
      <c r="N953" s="48" t="s">
        <v>23</v>
      </c>
      <c r="O953" s="47" t="s">
        <v>33</v>
      </c>
    </row>
    <row r="954" ht="14.25" customHeight="1" spans="1:15">
      <c r="A954" s="43" t="s">
        <v>1945</v>
      </c>
      <c r="B954" s="44">
        <v>46175</v>
      </c>
      <c r="C954" s="45">
        <v>0.592361111111111</v>
      </c>
      <c r="D954" s="46">
        <f t="shared" si="0"/>
        <v>14</v>
      </c>
      <c r="E954" s="47" t="str">
        <f t="shared" si="7"/>
        <v>Tuesday</v>
      </c>
      <c r="F954" s="47" t="s">
        <v>16</v>
      </c>
      <c r="G954" s="43" t="s">
        <v>199</v>
      </c>
      <c r="H954" s="43" t="s">
        <v>18</v>
      </c>
      <c r="I954" s="48">
        <v>1</v>
      </c>
      <c r="J954" s="49">
        <v>3000</v>
      </c>
      <c r="K954" s="50">
        <v>2400</v>
      </c>
      <c r="L954" s="47" t="s">
        <v>22</v>
      </c>
      <c r="M954" s="51">
        <v>0.2</v>
      </c>
      <c r="N954" s="48" t="s">
        <v>23</v>
      </c>
      <c r="O954" s="47" t="s">
        <v>40</v>
      </c>
    </row>
    <row r="955" ht="14.25" customHeight="1" spans="1:15">
      <c r="A955" s="43" t="s">
        <v>1946</v>
      </c>
      <c r="B955" s="44">
        <v>46175</v>
      </c>
      <c r="C955" s="45">
        <v>0.736805555555556</v>
      </c>
      <c r="D955" s="46">
        <f t="shared" si="0"/>
        <v>17</v>
      </c>
      <c r="E955" s="47" t="str">
        <f t="shared" si="7"/>
        <v>Tuesday</v>
      </c>
      <c r="F955" s="47" t="s">
        <v>16</v>
      </c>
      <c r="G955" s="47" t="s">
        <v>95</v>
      </c>
      <c r="H955" s="43" t="s">
        <v>45</v>
      </c>
      <c r="I955" s="48">
        <v>1</v>
      </c>
      <c r="J955" s="49">
        <v>5000</v>
      </c>
      <c r="K955" s="49">
        <v>5000</v>
      </c>
      <c r="L955" s="47" t="s">
        <v>22</v>
      </c>
      <c r="M955" s="46">
        <v>0</v>
      </c>
      <c r="N955" s="48">
        <v>4</v>
      </c>
      <c r="O955" s="47" t="s">
        <v>73</v>
      </c>
    </row>
    <row r="956" ht="14.25" customHeight="1" spans="1:15">
      <c r="A956" s="43" t="s">
        <v>1948</v>
      </c>
      <c r="B956" s="44">
        <v>46175</v>
      </c>
      <c r="C956" s="45">
        <v>0.860416666666667</v>
      </c>
      <c r="D956" s="46">
        <f t="shared" si="0"/>
        <v>20</v>
      </c>
      <c r="E956" s="47" t="str">
        <f t="shared" si="7"/>
        <v>Tuesday</v>
      </c>
      <c r="F956" s="47" t="s">
        <v>107</v>
      </c>
      <c r="G956" s="47" t="s">
        <v>367</v>
      </c>
      <c r="H956" s="43" t="str">
        <f>VLOOKUP(G956,'02_Menu_Lookup'!$A$2:$C$16,2,FALSE)</f>
        <v>Desserts</v>
      </c>
      <c r="I956" s="48">
        <v>1</v>
      </c>
      <c r="J956" s="49">
        <v>7000</v>
      </c>
      <c r="K956" s="49">
        <v>7000</v>
      </c>
      <c r="L956" s="47" t="s">
        <v>22</v>
      </c>
      <c r="M956" s="46">
        <v>0</v>
      </c>
      <c r="N956" s="48" t="s">
        <v>23</v>
      </c>
      <c r="O956" s="47" t="s">
        <v>24</v>
      </c>
    </row>
    <row r="957" ht="14.25" customHeight="1" spans="1:15">
      <c r="A957" s="43" t="s">
        <v>1949</v>
      </c>
      <c r="B957" s="44">
        <v>46175</v>
      </c>
      <c r="C957" s="45">
        <v>0.868055555555556</v>
      </c>
      <c r="D957" s="46">
        <f t="shared" si="0"/>
        <v>20</v>
      </c>
      <c r="E957" s="47" t="str">
        <f t="shared" si="7"/>
        <v>Tuesday</v>
      </c>
      <c r="F957" s="47" t="s">
        <v>107</v>
      </c>
      <c r="G957" s="47" t="s">
        <v>44</v>
      </c>
      <c r="H957" s="43" t="s">
        <v>45</v>
      </c>
      <c r="I957" s="48">
        <v>1</v>
      </c>
      <c r="J957" s="49">
        <v>4000</v>
      </c>
      <c r="K957" s="49">
        <v>4000</v>
      </c>
      <c r="L957" s="47" t="s">
        <v>22</v>
      </c>
      <c r="M957" s="46">
        <v>0</v>
      </c>
      <c r="N957" s="48">
        <v>5</v>
      </c>
      <c r="O957" s="47" t="s">
        <v>47</v>
      </c>
    </row>
    <row r="958" ht="14.25" customHeight="1" spans="1:15">
      <c r="A958" s="43" t="s">
        <v>1950</v>
      </c>
      <c r="B958" s="44">
        <v>46175</v>
      </c>
      <c r="C958" s="45">
        <v>0.914583333333333</v>
      </c>
      <c r="D958" s="46">
        <f t="shared" si="0"/>
        <v>21</v>
      </c>
      <c r="E958" s="47" t="str">
        <f t="shared" si="7"/>
        <v>Tuesday</v>
      </c>
      <c r="F958" s="47" t="s">
        <v>43</v>
      </c>
      <c r="G958" s="47" t="s">
        <v>57</v>
      </c>
      <c r="H958" s="43" t="s">
        <v>28</v>
      </c>
      <c r="I958" s="48">
        <f>K958/J958</f>
        <v>1</v>
      </c>
      <c r="J958" s="49">
        <v>18000</v>
      </c>
      <c r="K958" s="50">
        <v>18000</v>
      </c>
      <c r="L958" s="47" t="s">
        <v>22</v>
      </c>
      <c r="M958" s="46">
        <v>0</v>
      </c>
      <c r="N958" s="48" t="s">
        <v>23</v>
      </c>
      <c r="O958" s="47" t="s">
        <v>33</v>
      </c>
    </row>
    <row r="959" ht="14.25" customHeight="1" spans="1:15">
      <c r="A959" s="43" t="s">
        <v>1952</v>
      </c>
      <c r="B959" s="44">
        <v>46175</v>
      </c>
      <c r="C959" s="45">
        <v>0.921527777777778</v>
      </c>
      <c r="D959" s="46">
        <f t="shared" si="0"/>
        <v>22</v>
      </c>
      <c r="E959" s="47" t="str">
        <f t="shared" si="7"/>
        <v>Tuesday</v>
      </c>
      <c r="F959" s="47" t="s">
        <v>43</v>
      </c>
      <c r="G959" s="47" t="s">
        <v>95</v>
      </c>
      <c r="H959" s="43" t="str">
        <f>VLOOKUP(G959,'02_Menu_Lookup'!$A$2:$C$16,2,FALSE)</f>
        <v>Appetizers</v>
      </c>
      <c r="I959" s="48">
        <v>1</v>
      </c>
      <c r="J959" s="49">
        <v>5000</v>
      </c>
      <c r="K959" s="49">
        <v>5000</v>
      </c>
      <c r="L959" s="47" t="s">
        <v>22</v>
      </c>
      <c r="M959" s="46">
        <v>0</v>
      </c>
      <c r="N959" s="48" t="s">
        <v>23</v>
      </c>
      <c r="O959" s="47" t="s">
        <v>47</v>
      </c>
    </row>
    <row r="960" ht="14.25" customHeight="1" spans="1:15">
      <c r="A960" s="43" t="s">
        <v>1953</v>
      </c>
      <c r="B960" s="44">
        <v>46175</v>
      </c>
      <c r="C960" s="45">
        <v>0.943055555555556</v>
      </c>
      <c r="D960" s="46">
        <f t="shared" si="0"/>
        <v>22</v>
      </c>
      <c r="E960" s="47" t="str">
        <f t="shared" si="7"/>
        <v>Tuesday</v>
      </c>
      <c r="F960" s="47" t="s">
        <v>43</v>
      </c>
      <c r="G960" s="43" t="s">
        <v>36</v>
      </c>
      <c r="H960" s="43" t="s">
        <v>37</v>
      </c>
      <c r="I960" s="48">
        <v>1</v>
      </c>
      <c r="J960" s="49">
        <v>3000</v>
      </c>
      <c r="K960" s="50">
        <v>2700</v>
      </c>
      <c r="L960" s="47" t="s">
        <v>22</v>
      </c>
      <c r="M960" s="51">
        <v>0.1</v>
      </c>
      <c r="N960" s="48">
        <v>5</v>
      </c>
      <c r="O960" s="47" t="s">
        <v>24</v>
      </c>
    </row>
    <row r="961" ht="14.25" customHeight="1" spans="1:15">
      <c r="A961" s="43" t="s">
        <v>1954</v>
      </c>
      <c r="B961" s="44">
        <v>46175</v>
      </c>
      <c r="C961" s="45">
        <v>0.946527777777778</v>
      </c>
      <c r="D961" s="46">
        <f t="shared" si="0"/>
        <v>22</v>
      </c>
      <c r="E961" s="47" t="str">
        <f t="shared" si="7"/>
        <v>Tuesday</v>
      </c>
      <c r="F961" s="47" t="s">
        <v>16</v>
      </c>
      <c r="G961" s="47" t="s">
        <v>63</v>
      </c>
      <c r="H961" s="43" t="s">
        <v>18</v>
      </c>
      <c r="I961" s="48">
        <v>1</v>
      </c>
      <c r="J961" s="49">
        <v>1500</v>
      </c>
      <c r="K961" s="50">
        <v>1350</v>
      </c>
      <c r="L961" s="47" t="s">
        <v>32</v>
      </c>
      <c r="M961" s="51">
        <v>0.1</v>
      </c>
      <c r="N961" s="48" t="s">
        <v>23</v>
      </c>
      <c r="O961" s="47" t="s">
        <v>73</v>
      </c>
    </row>
    <row r="962" ht="14.25" customHeight="1" spans="1:15">
      <c r="A962" s="43" t="s">
        <v>1955</v>
      </c>
      <c r="B962" s="44">
        <v>46176</v>
      </c>
      <c r="C962" s="45">
        <v>0.697916666666667</v>
      </c>
      <c r="D962" s="46">
        <f t="shared" si="0"/>
        <v>16</v>
      </c>
      <c r="E962" s="47" t="str">
        <f t="shared" si="7"/>
        <v>Wednesday</v>
      </c>
      <c r="F962" s="47" t="s">
        <v>16</v>
      </c>
      <c r="G962" s="47" t="s">
        <v>81</v>
      </c>
      <c r="H962" s="43" t="s">
        <v>37</v>
      </c>
      <c r="I962" s="48">
        <v>1</v>
      </c>
      <c r="J962" s="49">
        <v>6000</v>
      </c>
      <c r="K962" s="49">
        <f>I962*J962</f>
        <v>6000</v>
      </c>
      <c r="L962" s="47" t="s">
        <v>32</v>
      </c>
      <c r="M962" s="46">
        <v>0</v>
      </c>
      <c r="N962" s="48">
        <v>5</v>
      </c>
      <c r="O962" s="47" t="s">
        <v>47</v>
      </c>
    </row>
    <row r="963" ht="14.25" customHeight="1" spans="1:15">
      <c r="A963" s="43" t="s">
        <v>1958</v>
      </c>
      <c r="B963" s="44">
        <v>46176</v>
      </c>
      <c r="C963" s="45">
        <v>0.71875</v>
      </c>
      <c r="D963" s="46">
        <f t="shared" si="0"/>
        <v>17</v>
      </c>
      <c r="E963" s="47" t="str">
        <f t="shared" si="7"/>
        <v>Wednesday</v>
      </c>
      <c r="F963" s="47" t="s">
        <v>16</v>
      </c>
      <c r="G963" s="47" t="s">
        <v>103</v>
      </c>
      <c r="H963" s="43" t="s">
        <v>37</v>
      </c>
      <c r="I963" s="48">
        <v>1</v>
      </c>
      <c r="J963" s="49">
        <v>5000</v>
      </c>
      <c r="K963" s="49">
        <v>5000</v>
      </c>
      <c r="L963" s="47" t="s">
        <v>32</v>
      </c>
      <c r="M963" s="46">
        <v>0</v>
      </c>
      <c r="N963" s="48" t="s">
        <v>23</v>
      </c>
      <c r="O963" s="47" t="s">
        <v>24</v>
      </c>
    </row>
    <row r="964" ht="14.25" customHeight="1" spans="1:15">
      <c r="A964" s="43" t="s">
        <v>1960</v>
      </c>
      <c r="B964" s="44">
        <v>46176</v>
      </c>
      <c r="C964" s="45">
        <v>0.776388888888889</v>
      </c>
      <c r="D964" s="46">
        <f t="shared" si="0"/>
        <v>18</v>
      </c>
      <c r="E964" s="47" t="str">
        <f t="shared" si="7"/>
        <v>Wednesday</v>
      </c>
      <c r="F964" s="47" t="s">
        <v>16</v>
      </c>
      <c r="G964" s="47" t="s">
        <v>103</v>
      </c>
      <c r="H964" s="43" t="s">
        <v>37</v>
      </c>
      <c r="I964" s="48">
        <v>1</v>
      </c>
      <c r="J964" s="49">
        <v>5000</v>
      </c>
      <c r="K964" s="49">
        <v>5000</v>
      </c>
      <c r="L964" s="47" t="s">
        <v>32</v>
      </c>
      <c r="M964" s="46">
        <v>0</v>
      </c>
      <c r="N964" s="48" t="s">
        <v>23</v>
      </c>
      <c r="O964" s="47" t="s">
        <v>33</v>
      </c>
    </row>
    <row r="965" ht="14.25" customHeight="1" spans="1:15">
      <c r="A965" s="43" t="s">
        <v>1962</v>
      </c>
      <c r="B965" s="44">
        <v>46176</v>
      </c>
      <c r="C965" s="45">
        <v>0.828472222222222</v>
      </c>
      <c r="D965" s="46">
        <f t="shared" si="0"/>
        <v>19</v>
      </c>
      <c r="E965" s="47" t="str">
        <f t="shared" si="7"/>
        <v>Wednesday</v>
      </c>
      <c r="F965" s="47" t="s">
        <v>16</v>
      </c>
      <c r="G965" s="47" t="s">
        <v>103</v>
      </c>
      <c r="H965" s="43" t="s">
        <v>37</v>
      </c>
      <c r="I965" s="48">
        <v>1</v>
      </c>
      <c r="J965" s="49">
        <v>5000</v>
      </c>
      <c r="K965" s="50">
        <v>4500</v>
      </c>
      <c r="L965" s="47" t="s">
        <v>22</v>
      </c>
      <c r="M965" s="51">
        <v>0.1</v>
      </c>
      <c r="N965" s="48">
        <v>3</v>
      </c>
      <c r="O965" s="47" t="s">
        <v>47</v>
      </c>
    </row>
    <row r="966" ht="14.25" customHeight="1" spans="1:15">
      <c r="A966" s="43" t="s">
        <v>1963</v>
      </c>
      <c r="B966" s="44">
        <v>46176</v>
      </c>
      <c r="C966" s="45">
        <v>0.845833333333333</v>
      </c>
      <c r="D966" s="46">
        <f t="shared" si="0"/>
        <v>20</v>
      </c>
      <c r="E966" s="47" t="str">
        <f t="shared" si="7"/>
        <v>Wednesday</v>
      </c>
      <c r="F966" s="47" t="s">
        <v>107</v>
      </c>
      <c r="G966" s="47" t="s">
        <v>63</v>
      </c>
      <c r="H966" s="43" t="str">
        <f>VLOOKUP(G966,'02_Menu_Lookup'!$A$2:$C$16,2,FALSE)</f>
        <v>Beverages</v>
      </c>
      <c r="I966" s="48">
        <v>3</v>
      </c>
      <c r="J966" s="49">
        <v>1500</v>
      </c>
      <c r="K966" s="49">
        <v>4500</v>
      </c>
      <c r="L966" s="47" t="s">
        <v>32</v>
      </c>
      <c r="M966" s="46">
        <v>0</v>
      </c>
      <c r="N966" s="48" t="s">
        <v>23</v>
      </c>
      <c r="O966" s="47" t="s">
        <v>40</v>
      </c>
    </row>
    <row r="967" ht="14.25" customHeight="1" spans="1:15">
      <c r="A967" s="43" t="s">
        <v>1964</v>
      </c>
      <c r="B967" s="44">
        <v>46176</v>
      </c>
      <c r="C967" s="45">
        <v>0.865277777777778</v>
      </c>
      <c r="D967" s="46">
        <f t="shared" si="0"/>
        <v>20</v>
      </c>
      <c r="E967" s="47" t="str">
        <f t="shared" si="7"/>
        <v>Wednesday</v>
      </c>
      <c r="F967" s="47" t="s">
        <v>16</v>
      </c>
      <c r="G967" s="47" t="s">
        <v>17</v>
      </c>
      <c r="H967" s="43" t="s">
        <v>18</v>
      </c>
      <c r="I967" s="48">
        <v>2</v>
      </c>
      <c r="J967" s="50">
        <v>1000</v>
      </c>
      <c r="K967" s="49">
        <v>2000</v>
      </c>
      <c r="L967" s="47" t="s">
        <v>22</v>
      </c>
      <c r="M967" s="46">
        <v>0</v>
      </c>
      <c r="N967" s="48">
        <v>4</v>
      </c>
      <c r="O967" s="47" t="s">
        <v>24</v>
      </c>
    </row>
    <row r="968" ht="14.25" customHeight="1" spans="1:15">
      <c r="A968" s="43" t="s">
        <v>1965</v>
      </c>
      <c r="B968" s="44">
        <v>46176</v>
      </c>
      <c r="C968" s="45">
        <v>0.95</v>
      </c>
      <c r="D968" s="46">
        <f t="shared" si="0"/>
        <v>22</v>
      </c>
      <c r="E968" s="47" t="str">
        <f t="shared" si="7"/>
        <v>Wednesday</v>
      </c>
      <c r="F968" s="47" t="s">
        <v>16</v>
      </c>
      <c r="G968" s="43" t="s">
        <v>36</v>
      </c>
      <c r="H968" s="43" t="s">
        <v>37</v>
      </c>
      <c r="I968" s="48">
        <v>2</v>
      </c>
      <c r="J968" s="49">
        <v>3000</v>
      </c>
      <c r="K968" s="49">
        <v>6000</v>
      </c>
      <c r="L968" s="47" t="s">
        <v>32</v>
      </c>
      <c r="M968" s="46">
        <v>0</v>
      </c>
      <c r="N968" s="48">
        <v>4</v>
      </c>
      <c r="O968" s="47" t="s">
        <v>24</v>
      </c>
    </row>
    <row r="969" ht="14.25" customHeight="1" spans="1:15">
      <c r="A969" s="43" t="s">
        <v>1966</v>
      </c>
      <c r="B969" s="44">
        <v>46176</v>
      </c>
      <c r="C969" s="45">
        <v>0.973611111111111</v>
      </c>
      <c r="D969" s="46">
        <f t="shared" si="0"/>
        <v>23</v>
      </c>
      <c r="E969" s="47" t="str">
        <f t="shared" si="7"/>
        <v>Wednesday</v>
      </c>
      <c r="F969" s="47" t="s">
        <v>43</v>
      </c>
      <c r="G969" s="47" t="s">
        <v>146</v>
      </c>
      <c r="H969" s="43" t="s">
        <v>28</v>
      </c>
      <c r="I969" s="48">
        <v>1</v>
      </c>
      <c r="J969" s="49">
        <v>16000</v>
      </c>
      <c r="K969" s="50">
        <v>16000</v>
      </c>
      <c r="L969" s="47" t="s">
        <v>22</v>
      </c>
      <c r="M969" s="46">
        <v>0</v>
      </c>
      <c r="N969" s="48" t="s">
        <v>23</v>
      </c>
      <c r="O969" s="47" t="s">
        <v>24</v>
      </c>
    </row>
    <row r="970" ht="14.25" customHeight="1" spans="1:15">
      <c r="A970" s="43" t="s">
        <v>1967</v>
      </c>
      <c r="B970" s="44">
        <v>46176</v>
      </c>
      <c r="C970" s="45">
        <v>0.997916666666667</v>
      </c>
      <c r="D970" s="46">
        <f t="shared" si="0"/>
        <v>23</v>
      </c>
      <c r="E970" s="47" t="str">
        <f t="shared" si="7"/>
        <v>Wednesday</v>
      </c>
      <c r="F970" s="47" t="s">
        <v>43</v>
      </c>
      <c r="G970" s="43" t="s">
        <v>36</v>
      </c>
      <c r="H970" s="43" t="s">
        <v>37</v>
      </c>
      <c r="I970" s="48">
        <v>2</v>
      </c>
      <c r="J970" s="49">
        <v>3000</v>
      </c>
      <c r="K970" s="49">
        <v>6000</v>
      </c>
      <c r="L970" s="47" t="s">
        <v>22</v>
      </c>
      <c r="M970" s="46">
        <v>0</v>
      </c>
      <c r="N970" s="48">
        <v>3</v>
      </c>
      <c r="O970" s="47" t="s">
        <v>24</v>
      </c>
    </row>
    <row r="971" ht="14.25" customHeight="1" spans="1:15">
      <c r="A971" s="43" t="s">
        <v>1968</v>
      </c>
      <c r="B971" s="44">
        <v>46177</v>
      </c>
      <c r="C971" s="45">
        <v>0.502083333333333</v>
      </c>
      <c r="D971" s="46">
        <f t="shared" si="0"/>
        <v>12</v>
      </c>
      <c r="E971" s="47" t="str">
        <f t="shared" si="7"/>
        <v>Thursday</v>
      </c>
      <c r="F971" s="47" t="s">
        <v>16</v>
      </c>
      <c r="G971" s="47" t="s">
        <v>63</v>
      </c>
      <c r="H971" s="43" t="s">
        <v>18</v>
      </c>
      <c r="I971" s="48">
        <v>1</v>
      </c>
      <c r="J971" s="49">
        <v>1500</v>
      </c>
      <c r="K971" s="49">
        <v>1500</v>
      </c>
      <c r="L971" s="47" t="s">
        <v>32</v>
      </c>
      <c r="M971" s="46">
        <v>0</v>
      </c>
      <c r="N971" s="48" t="s">
        <v>23</v>
      </c>
      <c r="O971" s="47" t="s">
        <v>24</v>
      </c>
    </row>
    <row r="972" ht="14.25" customHeight="1" spans="1:15">
      <c r="A972" s="43" t="s">
        <v>1970</v>
      </c>
      <c r="B972" s="44">
        <v>46177</v>
      </c>
      <c r="C972" s="45">
        <v>0.567361111111111</v>
      </c>
      <c r="D972" s="46">
        <f t="shared" si="0"/>
        <v>13</v>
      </c>
      <c r="E972" s="47" t="str">
        <f t="shared" si="7"/>
        <v>Thursday</v>
      </c>
      <c r="F972" s="47" t="s">
        <v>16</v>
      </c>
      <c r="G972" s="47" t="s">
        <v>44</v>
      </c>
      <c r="H972" s="43" t="s">
        <v>45</v>
      </c>
      <c r="I972" s="48">
        <f>K972/J972</f>
        <v>1</v>
      </c>
      <c r="J972" s="49">
        <v>4000</v>
      </c>
      <c r="K972" s="49">
        <v>4000</v>
      </c>
      <c r="L972" s="47" t="s">
        <v>32</v>
      </c>
      <c r="M972" s="46">
        <v>0</v>
      </c>
      <c r="N972" s="48">
        <v>5</v>
      </c>
      <c r="O972" s="47" t="s">
        <v>40</v>
      </c>
    </row>
    <row r="973" ht="14.25" customHeight="1" spans="1:15">
      <c r="A973" s="43" t="s">
        <v>1971</v>
      </c>
      <c r="B973" s="44">
        <v>46177</v>
      </c>
      <c r="C973" s="45">
        <v>0.73125</v>
      </c>
      <c r="D973" s="46">
        <f t="shared" si="0"/>
        <v>17</v>
      </c>
      <c r="E973" s="47" t="str">
        <f t="shared" si="7"/>
        <v>Thursday</v>
      </c>
      <c r="F973" s="47" t="s">
        <v>16</v>
      </c>
      <c r="G973" s="47" t="s">
        <v>57</v>
      </c>
      <c r="H973" s="43" t="s">
        <v>28</v>
      </c>
      <c r="I973" s="48">
        <v>1</v>
      </c>
      <c r="J973" s="49">
        <v>18000</v>
      </c>
      <c r="K973" s="49">
        <v>18000</v>
      </c>
      <c r="L973" s="47" t="s">
        <v>32</v>
      </c>
      <c r="M973" s="46">
        <v>0</v>
      </c>
      <c r="N973" s="48">
        <v>4</v>
      </c>
      <c r="O973" s="47" t="s">
        <v>73</v>
      </c>
    </row>
    <row r="974" ht="14.25" customHeight="1" spans="1:15">
      <c r="A974" s="43" t="s">
        <v>1972</v>
      </c>
      <c r="B974" s="44">
        <v>46118</v>
      </c>
      <c r="C974" s="45">
        <v>0.865277777777778</v>
      </c>
      <c r="D974" s="46">
        <f t="shared" si="0"/>
        <v>20</v>
      </c>
      <c r="E974" s="47" t="str">
        <f t="shared" si="7"/>
        <v>Monday</v>
      </c>
      <c r="F974" s="47" t="s">
        <v>43</v>
      </c>
      <c r="G974" s="47" t="s">
        <v>27</v>
      </c>
      <c r="H974" s="43" t="s">
        <v>28</v>
      </c>
      <c r="I974" s="48">
        <v>1</v>
      </c>
      <c r="J974" s="49">
        <v>15000</v>
      </c>
      <c r="K974" s="49">
        <v>15000</v>
      </c>
      <c r="L974" s="47" t="s">
        <v>22</v>
      </c>
      <c r="M974" s="46">
        <v>0</v>
      </c>
      <c r="N974" s="48" t="s">
        <v>23</v>
      </c>
      <c r="O974" s="47" t="s">
        <v>73</v>
      </c>
    </row>
    <row r="975" ht="14.25" customHeight="1" spans="1:15">
      <c r="A975" s="43" t="s">
        <v>1974</v>
      </c>
      <c r="B975" s="44">
        <v>46177</v>
      </c>
      <c r="C975" s="45">
        <v>0.871527777777778</v>
      </c>
      <c r="D975" s="46">
        <f t="shared" si="0"/>
        <v>20</v>
      </c>
      <c r="E975" s="47" t="str">
        <f t="shared" si="7"/>
        <v>Thursday</v>
      </c>
      <c r="F975" s="47" t="s">
        <v>16</v>
      </c>
      <c r="G975" s="43" t="s">
        <v>36</v>
      </c>
      <c r="H975" s="43" t="s">
        <v>37</v>
      </c>
      <c r="I975" s="48">
        <v>1</v>
      </c>
      <c r="J975" s="49">
        <v>3000</v>
      </c>
      <c r="K975" s="49">
        <v>3000</v>
      </c>
      <c r="L975" s="47" t="s">
        <v>32</v>
      </c>
      <c r="M975" s="46">
        <v>0</v>
      </c>
      <c r="N975" s="48" t="s">
        <v>23</v>
      </c>
      <c r="O975" s="47" t="s">
        <v>47</v>
      </c>
    </row>
    <row r="976" ht="14.25" customHeight="1" spans="1:15">
      <c r="A976" s="43" t="s">
        <v>1975</v>
      </c>
      <c r="B976" s="44">
        <v>46177</v>
      </c>
      <c r="C976" s="45">
        <v>0.894444444444444</v>
      </c>
      <c r="D976" s="46">
        <f t="shared" si="0"/>
        <v>21</v>
      </c>
      <c r="E976" s="47" t="str">
        <f t="shared" si="7"/>
        <v>Thursday</v>
      </c>
      <c r="F976" s="47" t="s">
        <v>107</v>
      </c>
      <c r="G976" s="47" t="s">
        <v>81</v>
      </c>
      <c r="H976" s="43" t="str">
        <f>VLOOKUP(G976,'02_Menu_Lookup'!$A$2:$C$16,2,FALSE)</f>
        <v>Sandwiches</v>
      </c>
      <c r="I976" s="48">
        <v>3</v>
      </c>
      <c r="J976" s="49">
        <v>6000</v>
      </c>
      <c r="K976" s="50">
        <v>15300</v>
      </c>
      <c r="L976" s="47" t="s">
        <v>22</v>
      </c>
      <c r="M976" s="51">
        <v>0.15</v>
      </c>
      <c r="N976" s="48" t="s">
        <v>23</v>
      </c>
      <c r="O976" s="47" t="s">
        <v>33</v>
      </c>
    </row>
    <row r="977" ht="14.25" customHeight="1" spans="1:15">
      <c r="A977" s="43" t="s">
        <v>1976</v>
      </c>
      <c r="B977" s="44">
        <v>46172</v>
      </c>
      <c r="C977" s="45">
        <v>0.813888888888889</v>
      </c>
      <c r="D977" s="46">
        <f t="shared" si="0"/>
        <v>19</v>
      </c>
      <c r="E977" s="47" t="str">
        <f t="shared" si="7"/>
        <v>Saturday</v>
      </c>
      <c r="F977" s="47" t="s">
        <v>16</v>
      </c>
      <c r="G977" s="47" t="s">
        <v>17</v>
      </c>
      <c r="H977" s="43" t="s">
        <v>18</v>
      </c>
      <c r="I977" s="48">
        <v>1</v>
      </c>
      <c r="J977" s="50">
        <v>1000</v>
      </c>
      <c r="K977" s="49">
        <v>1000</v>
      </c>
      <c r="L977" s="47" t="s">
        <v>32</v>
      </c>
      <c r="M977" s="46">
        <v>0</v>
      </c>
      <c r="N977" s="48" t="s">
        <v>23</v>
      </c>
      <c r="O977" s="47" t="s">
        <v>24</v>
      </c>
    </row>
    <row r="978" ht="14.25" customHeight="1" spans="1:15">
      <c r="A978" s="43" t="s">
        <v>1977</v>
      </c>
      <c r="B978" s="44">
        <v>46177</v>
      </c>
      <c r="C978" s="45">
        <v>0.975694444444444</v>
      </c>
      <c r="D978" s="46">
        <f t="shared" si="0"/>
        <v>23</v>
      </c>
      <c r="E978" s="47" t="str">
        <f t="shared" si="7"/>
        <v>Thursday</v>
      </c>
      <c r="F978" s="47" t="s">
        <v>43</v>
      </c>
      <c r="G978" s="47" t="s">
        <v>63</v>
      </c>
      <c r="H978" s="43" t="s">
        <v>18</v>
      </c>
      <c r="I978" s="48">
        <v>1</v>
      </c>
      <c r="J978" s="49">
        <v>1500</v>
      </c>
      <c r="K978" s="49">
        <f>I978*J978</f>
        <v>1500</v>
      </c>
      <c r="L978" s="47" t="s">
        <v>22</v>
      </c>
      <c r="M978" s="46">
        <v>0</v>
      </c>
      <c r="N978" s="48" t="s">
        <v>23</v>
      </c>
      <c r="O978" s="47" t="s">
        <v>33</v>
      </c>
    </row>
    <row r="979" ht="14.25" customHeight="1" spans="1:15">
      <c r="A979" s="43" t="s">
        <v>1979</v>
      </c>
      <c r="B979" s="44">
        <v>46178</v>
      </c>
      <c r="C979" s="45">
        <v>0.610416666666667</v>
      </c>
      <c r="D979" s="46">
        <f t="shared" si="0"/>
        <v>14</v>
      </c>
      <c r="E979" s="47" t="str">
        <f t="shared" si="7"/>
        <v>Friday</v>
      </c>
      <c r="F979" s="47" t="s">
        <v>16</v>
      </c>
      <c r="G979" s="47" t="s">
        <v>17</v>
      </c>
      <c r="H979" s="43" t="s">
        <v>18</v>
      </c>
      <c r="I979" s="48">
        <v>2</v>
      </c>
      <c r="J979" s="49">
        <v>1000</v>
      </c>
      <c r="K979" s="49">
        <v>2000</v>
      </c>
      <c r="L979" s="47" t="s">
        <v>32</v>
      </c>
      <c r="M979" s="46">
        <v>0</v>
      </c>
      <c r="N979" s="48">
        <v>4</v>
      </c>
      <c r="O979" s="47" t="s">
        <v>33</v>
      </c>
    </row>
    <row r="980" ht="14.25" customHeight="1" spans="1:15">
      <c r="A980" s="43" t="s">
        <v>1982</v>
      </c>
      <c r="B980" s="44">
        <v>46178</v>
      </c>
      <c r="C980" s="45">
        <v>0.68125</v>
      </c>
      <c r="D980" s="46">
        <f t="shared" si="0"/>
        <v>16</v>
      </c>
      <c r="E980" s="47" t="str">
        <f t="shared" si="7"/>
        <v>Friday</v>
      </c>
      <c r="F980" s="47" t="s">
        <v>16</v>
      </c>
      <c r="G980" s="47" t="s">
        <v>50</v>
      </c>
      <c r="H980" s="43" t="s">
        <v>28</v>
      </c>
      <c r="I980" s="48">
        <v>1</v>
      </c>
      <c r="J980" s="49">
        <v>25000</v>
      </c>
      <c r="K980" s="49">
        <v>25000</v>
      </c>
      <c r="L980" s="47" t="s">
        <v>22</v>
      </c>
      <c r="M980" s="46">
        <v>0</v>
      </c>
      <c r="N980" s="48" t="s">
        <v>23</v>
      </c>
      <c r="O980" s="47" t="s">
        <v>73</v>
      </c>
    </row>
    <row r="981" ht="14.25" customHeight="1" spans="1:15">
      <c r="A981" s="43" t="s">
        <v>1984</v>
      </c>
      <c r="B981" s="44">
        <v>46178</v>
      </c>
      <c r="C981" s="45">
        <v>0.874305555555556</v>
      </c>
      <c r="D981" s="46">
        <f t="shared" si="0"/>
        <v>20</v>
      </c>
      <c r="E981" s="47" t="str">
        <f t="shared" si="7"/>
        <v>Friday</v>
      </c>
      <c r="F981" s="47" t="s">
        <v>16</v>
      </c>
      <c r="G981" s="47" t="s">
        <v>95</v>
      </c>
      <c r="H981" s="43" t="s">
        <v>45</v>
      </c>
      <c r="I981" s="48">
        <v>1</v>
      </c>
      <c r="J981" s="50">
        <v>5000</v>
      </c>
      <c r="K981" s="49">
        <v>5000</v>
      </c>
      <c r="L981" s="47" t="s">
        <v>32</v>
      </c>
      <c r="M981" s="46">
        <v>0</v>
      </c>
      <c r="N981" s="48">
        <v>3</v>
      </c>
      <c r="O981" s="47" t="s">
        <v>33</v>
      </c>
    </row>
    <row r="982" ht="14.25" customHeight="1" spans="1:15">
      <c r="A982" s="43" t="s">
        <v>1985</v>
      </c>
      <c r="B982" s="44">
        <v>46178</v>
      </c>
      <c r="C982" s="45">
        <v>0.895833333333333</v>
      </c>
      <c r="D982" s="46">
        <f t="shared" si="0"/>
        <v>21</v>
      </c>
      <c r="E982" s="47" t="str">
        <f t="shared" si="7"/>
        <v>Friday</v>
      </c>
      <c r="F982" s="47" t="s">
        <v>107</v>
      </c>
      <c r="G982" s="47" t="s">
        <v>81</v>
      </c>
      <c r="H982" s="43" t="s">
        <v>37</v>
      </c>
      <c r="I982" s="48">
        <v>1</v>
      </c>
      <c r="J982" s="49">
        <v>6000</v>
      </c>
      <c r="K982" s="50">
        <v>4800</v>
      </c>
      <c r="L982" s="47" t="s">
        <v>22</v>
      </c>
      <c r="M982" s="51">
        <v>0.2</v>
      </c>
      <c r="N982" s="48" t="s">
        <v>23</v>
      </c>
      <c r="O982" s="47" t="s">
        <v>33</v>
      </c>
    </row>
    <row r="983" ht="14.25" customHeight="1" spans="1:15">
      <c r="A983" s="43" t="s">
        <v>1986</v>
      </c>
      <c r="B983" s="44">
        <v>46178</v>
      </c>
      <c r="C983" s="45">
        <v>0.914583333333333</v>
      </c>
      <c r="D983" s="46">
        <f t="shared" si="0"/>
        <v>21</v>
      </c>
      <c r="E983" s="47" t="str">
        <f t="shared" si="7"/>
        <v>Friday</v>
      </c>
      <c r="F983" s="47" t="s">
        <v>16</v>
      </c>
      <c r="G983" s="47" t="s">
        <v>63</v>
      </c>
      <c r="H983" s="43" t="s">
        <v>18</v>
      </c>
      <c r="I983" s="48">
        <v>1</v>
      </c>
      <c r="J983" s="49">
        <v>1500</v>
      </c>
      <c r="K983" s="49">
        <v>1500</v>
      </c>
      <c r="L983" s="47" t="s">
        <v>32</v>
      </c>
      <c r="M983" s="46">
        <v>0</v>
      </c>
      <c r="N983" s="48" t="s">
        <v>23</v>
      </c>
      <c r="O983" s="47" t="s">
        <v>73</v>
      </c>
    </row>
    <row r="984" ht="14.25" customHeight="1" spans="1:15">
      <c r="A984" s="43" t="s">
        <v>1987</v>
      </c>
      <c r="B984" s="44">
        <v>46178</v>
      </c>
      <c r="C984" s="45">
        <v>0.942361111111111</v>
      </c>
      <c r="D984" s="46">
        <f t="shared" si="0"/>
        <v>22</v>
      </c>
      <c r="E984" s="47" t="str">
        <f t="shared" si="7"/>
        <v>Friday</v>
      </c>
      <c r="F984" s="47" t="s">
        <v>43</v>
      </c>
      <c r="G984" s="47" t="s">
        <v>44</v>
      </c>
      <c r="H984" s="43" t="s">
        <v>45</v>
      </c>
      <c r="I984" s="48">
        <v>2</v>
      </c>
      <c r="J984" s="49">
        <v>4000</v>
      </c>
      <c r="K984" s="49">
        <v>8000</v>
      </c>
      <c r="L984" s="47" t="s">
        <v>22</v>
      </c>
      <c r="M984" s="46">
        <v>0</v>
      </c>
      <c r="N984" s="48">
        <v>3</v>
      </c>
      <c r="O984" s="47" t="s">
        <v>24</v>
      </c>
    </row>
    <row r="985" ht="14.25" customHeight="1" spans="1:15">
      <c r="A985" s="43" t="s">
        <v>1989</v>
      </c>
      <c r="B985" s="44">
        <v>46178</v>
      </c>
      <c r="C985" s="45">
        <v>0.951388888888889</v>
      </c>
      <c r="D985" s="46">
        <f t="shared" si="0"/>
        <v>22</v>
      </c>
      <c r="E985" s="47" t="str">
        <f t="shared" si="7"/>
        <v>Friday</v>
      </c>
      <c r="F985" s="47" t="s">
        <v>16</v>
      </c>
      <c r="G985" s="47" t="s">
        <v>95</v>
      </c>
      <c r="H985" s="43" t="s">
        <v>45</v>
      </c>
      <c r="I985" s="48">
        <v>3</v>
      </c>
      <c r="J985" s="49">
        <v>5000</v>
      </c>
      <c r="K985" s="49">
        <v>15000</v>
      </c>
      <c r="L985" s="47" t="s">
        <v>32</v>
      </c>
      <c r="M985" s="46">
        <v>0</v>
      </c>
      <c r="N985" s="48" t="s">
        <v>23</v>
      </c>
      <c r="O985" s="47" t="s">
        <v>40</v>
      </c>
    </row>
    <row r="986" ht="14.25" customHeight="1" spans="1:15">
      <c r="A986" s="43" t="s">
        <v>1990</v>
      </c>
      <c r="B986" s="44">
        <v>46179</v>
      </c>
      <c r="C986" s="45">
        <v>0.602777777777778</v>
      </c>
      <c r="D986" s="46">
        <f t="shared" si="0"/>
        <v>14</v>
      </c>
      <c r="E986" s="47" t="str">
        <f t="shared" si="7"/>
        <v>Saturday</v>
      </c>
      <c r="F986" s="47" t="s">
        <v>43</v>
      </c>
      <c r="G986" s="47" t="s">
        <v>103</v>
      </c>
      <c r="H986" s="43" t="s">
        <v>37</v>
      </c>
      <c r="I986" s="48">
        <f>K986/J986</f>
        <v>1</v>
      </c>
      <c r="J986" s="49">
        <v>5000</v>
      </c>
      <c r="K986" s="49">
        <v>5000</v>
      </c>
      <c r="L986" s="47" t="s">
        <v>22</v>
      </c>
      <c r="M986" s="46">
        <v>0</v>
      </c>
      <c r="N986" s="48">
        <v>4</v>
      </c>
      <c r="O986" s="47" t="s">
        <v>73</v>
      </c>
    </row>
    <row r="987" ht="14.25" customHeight="1" spans="1:15">
      <c r="A987" s="43" t="s">
        <v>1993</v>
      </c>
      <c r="B987" s="44">
        <v>46179</v>
      </c>
      <c r="C987" s="45">
        <v>0.613888888888889</v>
      </c>
      <c r="D987" s="46">
        <f t="shared" si="0"/>
        <v>14</v>
      </c>
      <c r="E987" s="47" t="str">
        <f t="shared" si="7"/>
        <v>Saturday</v>
      </c>
      <c r="F987" s="47" t="s">
        <v>16</v>
      </c>
      <c r="G987" s="47" t="s">
        <v>17</v>
      </c>
      <c r="H987" s="43" t="s">
        <v>18</v>
      </c>
      <c r="I987" s="48">
        <v>1</v>
      </c>
      <c r="J987" s="49">
        <v>1000</v>
      </c>
      <c r="K987" s="49">
        <v>1000</v>
      </c>
      <c r="L987" s="47" t="s">
        <v>22</v>
      </c>
      <c r="M987" s="46">
        <v>0</v>
      </c>
      <c r="N987" s="48" t="s">
        <v>23</v>
      </c>
      <c r="O987" s="47" t="s">
        <v>33</v>
      </c>
    </row>
    <row r="988" ht="14.25" customHeight="1" spans="1:15">
      <c r="A988" s="43" t="s">
        <v>1994</v>
      </c>
      <c r="B988" s="44">
        <v>46179</v>
      </c>
      <c r="C988" s="45">
        <v>0.740277777777778</v>
      </c>
      <c r="D988" s="46">
        <f t="shared" si="0"/>
        <v>17</v>
      </c>
      <c r="E988" s="47" t="str">
        <f t="shared" si="7"/>
        <v>Saturday</v>
      </c>
      <c r="F988" s="47" t="s">
        <v>43</v>
      </c>
      <c r="G988" s="43" t="s">
        <v>36</v>
      </c>
      <c r="H988" s="43" t="s">
        <v>37</v>
      </c>
      <c r="I988" s="48">
        <v>3</v>
      </c>
      <c r="J988" s="49">
        <v>3000</v>
      </c>
      <c r="K988" s="49">
        <v>9000</v>
      </c>
      <c r="L988" s="47" t="s">
        <v>32</v>
      </c>
      <c r="M988" s="46">
        <v>0</v>
      </c>
      <c r="N988" s="48" t="s">
        <v>23</v>
      </c>
      <c r="O988" s="47" t="s">
        <v>33</v>
      </c>
    </row>
    <row r="989" ht="14.25" customHeight="1" spans="1:15">
      <c r="A989" s="43" t="s">
        <v>1996</v>
      </c>
      <c r="B989" s="44">
        <v>46179</v>
      </c>
      <c r="C989" s="45">
        <v>0.794444444444444</v>
      </c>
      <c r="D989" s="46">
        <f t="shared" si="0"/>
        <v>19</v>
      </c>
      <c r="E989" s="47" t="str">
        <f t="shared" si="7"/>
        <v>Saturday</v>
      </c>
      <c r="F989" s="47" t="s">
        <v>16</v>
      </c>
      <c r="G989" s="47" t="s">
        <v>81</v>
      </c>
      <c r="H989" s="43" t="s">
        <v>37</v>
      </c>
      <c r="I989" s="48">
        <v>1</v>
      </c>
      <c r="J989" s="49">
        <v>6000</v>
      </c>
      <c r="K989" s="50">
        <v>5400</v>
      </c>
      <c r="L989" s="47" t="s">
        <v>22</v>
      </c>
      <c r="M989" s="51">
        <v>0.1</v>
      </c>
      <c r="N989" s="48">
        <v>4</v>
      </c>
      <c r="O989" s="47" t="s">
        <v>24</v>
      </c>
    </row>
    <row r="990" ht="14.25" customHeight="1" spans="1:15">
      <c r="A990" s="43" t="s">
        <v>1997</v>
      </c>
      <c r="B990" s="44">
        <v>46179</v>
      </c>
      <c r="C990" s="45">
        <v>0.8</v>
      </c>
      <c r="D990" s="46">
        <f t="shared" si="0"/>
        <v>19</v>
      </c>
      <c r="E990" s="47" t="str">
        <f t="shared" si="7"/>
        <v>Saturday</v>
      </c>
      <c r="F990" s="47" t="s">
        <v>16</v>
      </c>
      <c r="G990" s="47" t="s">
        <v>95</v>
      </c>
      <c r="H990" s="43" t="s">
        <v>45</v>
      </c>
      <c r="I990" s="48">
        <v>1</v>
      </c>
      <c r="J990" s="49">
        <v>5000</v>
      </c>
      <c r="K990" s="50">
        <v>5000</v>
      </c>
      <c r="L990" s="47" t="s">
        <v>22</v>
      </c>
      <c r="M990" s="46">
        <v>0</v>
      </c>
      <c r="N990" s="48" t="s">
        <v>23</v>
      </c>
      <c r="O990" s="47" t="s">
        <v>33</v>
      </c>
    </row>
    <row r="991" ht="14.25" customHeight="1" spans="1:15">
      <c r="A991" s="43" t="s">
        <v>1998</v>
      </c>
      <c r="B991" s="44">
        <v>46179</v>
      </c>
      <c r="C991" s="45">
        <v>0.85</v>
      </c>
      <c r="D991" s="46">
        <f t="shared" si="0"/>
        <v>20</v>
      </c>
      <c r="E991" s="47" t="str">
        <f t="shared" si="7"/>
        <v>Saturday</v>
      </c>
      <c r="F991" s="47" t="s">
        <v>43</v>
      </c>
      <c r="G991" s="47" t="s">
        <v>63</v>
      </c>
      <c r="H991" s="43" t="s">
        <v>18</v>
      </c>
      <c r="I991" s="48">
        <v>1</v>
      </c>
      <c r="J991" s="49">
        <v>1500</v>
      </c>
      <c r="K991" s="49">
        <v>1500</v>
      </c>
      <c r="L991" s="47" t="s">
        <v>22</v>
      </c>
      <c r="M991" s="46">
        <v>0</v>
      </c>
      <c r="N991" s="48">
        <v>4</v>
      </c>
      <c r="O991" s="47" t="s">
        <v>73</v>
      </c>
    </row>
    <row r="992" ht="14.25" customHeight="1" spans="1:15">
      <c r="A992" s="43" t="s">
        <v>1999</v>
      </c>
      <c r="B992" s="44">
        <v>46179</v>
      </c>
      <c r="C992" s="45">
        <v>0.893055555555556</v>
      </c>
      <c r="D992" s="46">
        <f t="shared" si="0"/>
        <v>21</v>
      </c>
      <c r="E992" s="47" t="str">
        <f t="shared" si="7"/>
        <v>Saturday</v>
      </c>
      <c r="F992" s="47" t="s">
        <v>107</v>
      </c>
      <c r="G992" s="47" t="s">
        <v>81</v>
      </c>
      <c r="H992" s="43" t="s">
        <v>37</v>
      </c>
      <c r="I992" s="48">
        <v>1</v>
      </c>
      <c r="J992" s="49">
        <v>6000</v>
      </c>
      <c r="K992" s="49">
        <v>6000</v>
      </c>
      <c r="L992" s="47" t="s">
        <v>22</v>
      </c>
      <c r="M992" s="46">
        <v>0</v>
      </c>
      <c r="N992" s="48">
        <v>5</v>
      </c>
      <c r="O992" s="47" t="s">
        <v>73</v>
      </c>
    </row>
    <row r="993" ht="14.25" customHeight="1" spans="1:15">
      <c r="A993" s="43" t="s">
        <v>2000</v>
      </c>
      <c r="B993" s="44">
        <v>46179</v>
      </c>
      <c r="C993" s="45">
        <v>0.89375</v>
      </c>
      <c r="D993" s="46">
        <f t="shared" si="0"/>
        <v>21</v>
      </c>
      <c r="E993" s="47" t="str">
        <f t="shared" si="7"/>
        <v>Saturday</v>
      </c>
      <c r="F993" s="47" t="s">
        <v>16</v>
      </c>
      <c r="G993" s="47" t="s">
        <v>17</v>
      </c>
      <c r="H993" s="43" t="s">
        <v>18</v>
      </c>
      <c r="I993" s="48">
        <v>1</v>
      </c>
      <c r="J993" s="49">
        <v>1000</v>
      </c>
      <c r="K993" s="50">
        <v>900</v>
      </c>
      <c r="L993" s="47" t="s">
        <v>32</v>
      </c>
      <c r="M993" s="51">
        <v>0.1</v>
      </c>
      <c r="N993" s="48">
        <v>4</v>
      </c>
      <c r="O993" s="47" t="s">
        <v>47</v>
      </c>
    </row>
    <row r="994" ht="14.25" customHeight="1" spans="1:15">
      <c r="A994" s="43" t="s">
        <v>2002</v>
      </c>
      <c r="B994" s="44">
        <v>46179</v>
      </c>
      <c r="C994" s="45">
        <v>0.9125</v>
      </c>
      <c r="D994" s="46">
        <f t="shared" si="0"/>
        <v>21</v>
      </c>
      <c r="E994" s="47" t="str">
        <f t="shared" si="7"/>
        <v>Saturday</v>
      </c>
      <c r="F994" s="47" t="s">
        <v>43</v>
      </c>
      <c r="G994" s="47" t="s">
        <v>50</v>
      </c>
      <c r="H994" s="43" t="s">
        <v>28</v>
      </c>
      <c r="I994" s="48">
        <v>2</v>
      </c>
      <c r="J994" s="49">
        <v>25000</v>
      </c>
      <c r="K994" s="49">
        <v>50000</v>
      </c>
      <c r="L994" s="47" t="s">
        <v>22</v>
      </c>
      <c r="M994" s="46">
        <v>0</v>
      </c>
      <c r="N994" s="48" t="s">
        <v>23</v>
      </c>
      <c r="O994" s="47" t="s">
        <v>33</v>
      </c>
    </row>
    <row r="995" ht="14.25" customHeight="1" spans="1:15">
      <c r="A995" s="43" t="s">
        <v>2003</v>
      </c>
      <c r="B995" s="44">
        <v>46179</v>
      </c>
      <c r="C995" s="45">
        <v>0.93125</v>
      </c>
      <c r="D995" s="46">
        <f t="shared" si="0"/>
        <v>22</v>
      </c>
      <c r="E995" s="47" t="str">
        <f t="shared" si="7"/>
        <v>Saturday</v>
      </c>
      <c r="F995" s="47" t="s">
        <v>107</v>
      </c>
      <c r="G995" s="47" t="s">
        <v>27</v>
      </c>
      <c r="H995" s="43" t="s">
        <v>28</v>
      </c>
      <c r="I995" s="48">
        <v>2</v>
      </c>
      <c r="J995" s="49">
        <v>15000</v>
      </c>
      <c r="K995" s="49">
        <v>30000</v>
      </c>
      <c r="L995" s="47" t="s">
        <v>32</v>
      </c>
      <c r="M995" s="46">
        <v>0</v>
      </c>
      <c r="N995" s="48" t="s">
        <v>23</v>
      </c>
      <c r="O995" s="47" t="s">
        <v>73</v>
      </c>
    </row>
    <row r="996" ht="14.25" customHeight="1" spans="1:15">
      <c r="A996" s="43" t="s">
        <v>2004</v>
      </c>
      <c r="B996" s="44">
        <v>46179</v>
      </c>
      <c r="C996" s="45">
        <v>0.961111111111111</v>
      </c>
      <c r="D996" s="46">
        <f t="shared" si="0"/>
        <v>23</v>
      </c>
      <c r="E996" s="47" t="str">
        <f t="shared" si="7"/>
        <v>Saturday</v>
      </c>
      <c r="F996" s="47" t="s">
        <v>43</v>
      </c>
      <c r="G996" s="47" t="s">
        <v>44</v>
      </c>
      <c r="H996" s="43" t="s">
        <v>45</v>
      </c>
      <c r="I996" s="48">
        <v>1</v>
      </c>
      <c r="J996" s="49">
        <v>4000</v>
      </c>
      <c r="K996" s="49">
        <v>4000</v>
      </c>
      <c r="L996" s="47" t="s">
        <v>32</v>
      </c>
      <c r="M996" s="46">
        <v>0</v>
      </c>
      <c r="N996" s="48" t="s">
        <v>23</v>
      </c>
      <c r="O996" s="47" t="s">
        <v>24</v>
      </c>
    </row>
    <row r="997" ht="14.25" customHeight="1" spans="1:15">
      <c r="A997" s="43" t="s">
        <v>2005</v>
      </c>
      <c r="B997" s="44">
        <v>46209</v>
      </c>
      <c r="C997" s="45">
        <v>0.553472222222222</v>
      </c>
      <c r="D997" s="46">
        <f t="shared" si="0"/>
        <v>13</v>
      </c>
      <c r="E997" s="47" t="str">
        <f t="shared" si="7"/>
        <v>Monday</v>
      </c>
      <c r="F997" s="47" t="s">
        <v>16</v>
      </c>
      <c r="G997" s="43" t="s">
        <v>36</v>
      </c>
      <c r="H997" s="43" t="s">
        <v>37</v>
      </c>
      <c r="I997" s="48">
        <v>2</v>
      </c>
      <c r="J997" s="49">
        <v>3000</v>
      </c>
      <c r="K997" s="50">
        <v>5400</v>
      </c>
      <c r="L997" s="47" t="s">
        <v>22</v>
      </c>
      <c r="M997" s="51">
        <v>0.1</v>
      </c>
      <c r="N997" s="48">
        <v>4</v>
      </c>
      <c r="O997" s="47" t="s">
        <v>47</v>
      </c>
    </row>
    <row r="998" ht="14.25" customHeight="1" spans="1:15">
      <c r="A998" s="43" t="s">
        <v>2007</v>
      </c>
      <c r="B998" s="44">
        <v>46180</v>
      </c>
      <c r="C998" s="45">
        <v>0.789583333333333</v>
      </c>
      <c r="D998" s="46">
        <f t="shared" si="0"/>
        <v>18</v>
      </c>
      <c r="E998" s="47" t="str">
        <f t="shared" si="7"/>
        <v>Sunday</v>
      </c>
      <c r="F998" s="47" t="s">
        <v>43</v>
      </c>
      <c r="G998" s="47" t="s">
        <v>367</v>
      </c>
      <c r="H998" s="43" t="s">
        <v>109</v>
      </c>
      <c r="I998" s="48">
        <v>1</v>
      </c>
      <c r="J998" s="49">
        <f>K998/I998</f>
        <v>7000</v>
      </c>
      <c r="K998" s="49">
        <v>7000</v>
      </c>
      <c r="L998" s="47" t="s">
        <v>32</v>
      </c>
      <c r="M998" s="46">
        <v>0</v>
      </c>
      <c r="N998" s="48" t="s">
        <v>23</v>
      </c>
      <c r="O998" s="47" t="s">
        <v>33</v>
      </c>
    </row>
    <row r="999" ht="14.25" customHeight="1" spans="1:15">
      <c r="A999" s="43" t="s">
        <v>2010</v>
      </c>
      <c r="B999" s="44">
        <v>46180</v>
      </c>
      <c r="C999" s="45">
        <v>0.836111111111111</v>
      </c>
      <c r="D999" s="46">
        <f t="shared" si="0"/>
        <v>20</v>
      </c>
      <c r="E999" s="47" t="str">
        <f t="shared" si="7"/>
        <v>Sunday</v>
      </c>
      <c r="F999" s="47" t="s">
        <v>107</v>
      </c>
      <c r="G999" s="47" t="s">
        <v>81</v>
      </c>
      <c r="H999" s="43" t="s">
        <v>37</v>
      </c>
      <c r="I999" s="48">
        <v>1</v>
      </c>
      <c r="J999" s="49">
        <v>6000</v>
      </c>
      <c r="K999" s="49">
        <v>6000</v>
      </c>
      <c r="L999" s="47" t="s">
        <v>22</v>
      </c>
      <c r="M999" s="46">
        <v>0</v>
      </c>
      <c r="N999" s="48" t="s">
        <v>23</v>
      </c>
      <c r="O999" s="47" t="s">
        <v>40</v>
      </c>
    </row>
    <row r="1000" ht="14.25" customHeight="1" spans="1:15">
      <c r="A1000" s="43" t="s">
        <v>2012</v>
      </c>
      <c r="B1000" s="44">
        <v>46180</v>
      </c>
      <c r="C1000" s="45">
        <v>0.88125</v>
      </c>
      <c r="D1000" s="46">
        <f t="shared" si="0"/>
        <v>21</v>
      </c>
      <c r="E1000" s="47" t="str">
        <f t="shared" si="7"/>
        <v>Sunday</v>
      </c>
      <c r="F1000" s="47" t="s">
        <v>43</v>
      </c>
      <c r="G1000" s="47" t="s">
        <v>50</v>
      </c>
      <c r="H1000" s="43" t="s">
        <v>28</v>
      </c>
      <c r="I1000" s="48">
        <v>1</v>
      </c>
      <c r="J1000" s="49">
        <v>25000</v>
      </c>
      <c r="K1000" s="49">
        <v>25000</v>
      </c>
      <c r="L1000" s="47" t="s">
        <v>32</v>
      </c>
      <c r="M1000" s="46">
        <v>0</v>
      </c>
      <c r="N1000" s="48" t="s">
        <v>23</v>
      </c>
      <c r="O1000" s="47" t="s">
        <v>33</v>
      </c>
    </row>
    <row r="1001" ht="14.25" customHeight="1" spans="1:15">
      <c r="A1001" s="43" t="s">
        <v>2013</v>
      </c>
      <c r="B1001" s="44">
        <v>46180</v>
      </c>
      <c r="C1001" s="45">
        <v>0.911111111111111</v>
      </c>
      <c r="D1001" s="46">
        <f t="shared" si="0"/>
        <v>21</v>
      </c>
      <c r="E1001" s="47" t="str">
        <f t="shared" si="7"/>
        <v>Sunday</v>
      </c>
      <c r="F1001" s="47" t="s">
        <v>16</v>
      </c>
      <c r="G1001" s="47" t="s">
        <v>17</v>
      </c>
      <c r="H1001" s="43" t="s">
        <v>18</v>
      </c>
      <c r="I1001" s="48">
        <v>2</v>
      </c>
      <c r="J1001" s="49">
        <v>1000</v>
      </c>
      <c r="K1001" s="49">
        <v>2000</v>
      </c>
      <c r="L1001" s="47" t="s">
        <v>22</v>
      </c>
      <c r="M1001" s="46">
        <v>0</v>
      </c>
      <c r="N1001" s="48" t="s">
        <v>23</v>
      </c>
      <c r="O1001" s="47" t="s">
        <v>40</v>
      </c>
    </row>
    <row r="1002" ht="14.25" customHeight="1" spans="1:15">
      <c r="A1002" s="43" t="s">
        <v>2014</v>
      </c>
      <c r="B1002" s="44">
        <v>46180</v>
      </c>
      <c r="C1002" s="45">
        <v>0.948611111111111</v>
      </c>
      <c r="D1002" s="46">
        <f t="shared" si="0"/>
        <v>22</v>
      </c>
      <c r="E1002" s="47" t="str">
        <f t="shared" si="7"/>
        <v>Sunday</v>
      </c>
      <c r="F1002" s="47" t="s">
        <v>16</v>
      </c>
      <c r="G1002" s="47" t="s">
        <v>146</v>
      </c>
      <c r="H1002" s="43" t="s">
        <v>28</v>
      </c>
      <c r="I1002" s="48">
        <v>3</v>
      </c>
      <c r="J1002" s="49">
        <v>16000</v>
      </c>
      <c r="K1002" s="49">
        <v>48000</v>
      </c>
      <c r="L1002" s="47" t="s">
        <v>22</v>
      </c>
      <c r="M1002" s="46">
        <v>0</v>
      </c>
      <c r="N1002" s="48">
        <v>4</v>
      </c>
      <c r="O1002" s="47" t="s">
        <v>73</v>
      </c>
    </row>
    <row r="1003" ht="14.25" customHeight="1" spans="1:15">
      <c r="A1003" s="43" t="s">
        <v>2016</v>
      </c>
      <c r="B1003" s="44">
        <v>46181</v>
      </c>
      <c r="C1003" s="45">
        <v>0.491666666666667</v>
      </c>
      <c r="D1003" s="46">
        <f t="shared" si="0"/>
        <v>11</v>
      </c>
      <c r="E1003" s="47" t="str">
        <f t="shared" si="7"/>
        <v>Monday</v>
      </c>
      <c r="F1003" s="47" t="s">
        <v>16</v>
      </c>
      <c r="G1003" s="43" t="s">
        <v>165</v>
      </c>
      <c r="H1003" s="43" t="s">
        <v>109</v>
      </c>
      <c r="I1003" s="48">
        <v>1</v>
      </c>
      <c r="J1003" s="49">
        <v>6000</v>
      </c>
      <c r="K1003" s="49">
        <v>6000</v>
      </c>
      <c r="L1003" s="47" t="s">
        <v>22</v>
      </c>
      <c r="M1003" s="46">
        <v>0</v>
      </c>
      <c r="N1003" s="48">
        <v>5</v>
      </c>
      <c r="O1003" s="47" t="s">
        <v>33</v>
      </c>
    </row>
    <row r="1004" ht="14.25" customHeight="1" spans="1:15">
      <c r="A1004" s="43" t="s">
        <v>2018</v>
      </c>
      <c r="B1004" s="44">
        <v>46181</v>
      </c>
      <c r="C1004" s="45">
        <v>0.749305555555556</v>
      </c>
      <c r="D1004" s="46">
        <f t="shared" si="0"/>
        <v>17</v>
      </c>
      <c r="E1004" s="47" t="str">
        <f t="shared" si="7"/>
        <v>Monday</v>
      </c>
      <c r="F1004" s="47" t="s">
        <v>107</v>
      </c>
      <c r="G1004" s="47" t="s">
        <v>63</v>
      </c>
      <c r="H1004" s="43" t="s">
        <v>18</v>
      </c>
      <c r="I1004" s="48">
        <v>2</v>
      </c>
      <c r="J1004" s="49">
        <v>1500</v>
      </c>
      <c r="K1004" s="49">
        <v>3000</v>
      </c>
      <c r="L1004" s="47" t="s">
        <v>32</v>
      </c>
      <c r="M1004" s="46">
        <v>0</v>
      </c>
      <c r="N1004" s="48" t="s">
        <v>23</v>
      </c>
      <c r="O1004" s="47" t="s">
        <v>47</v>
      </c>
    </row>
    <row r="1005" ht="14.25" customHeight="1" spans="1:15">
      <c r="A1005" s="43" t="s">
        <v>2020</v>
      </c>
      <c r="B1005" s="44">
        <v>46181</v>
      </c>
      <c r="C1005" s="45">
        <v>0.764583333333333</v>
      </c>
      <c r="D1005" s="46">
        <f t="shared" si="0"/>
        <v>18</v>
      </c>
      <c r="E1005" s="47" t="str">
        <f t="shared" si="7"/>
        <v>Monday</v>
      </c>
      <c r="F1005" s="47" t="s">
        <v>107</v>
      </c>
      <c r="G1005" s="47" t="s">
        <v>103</v>
      </c>
      <c r="H1005" s="43" t="s">
        <v>37</v>
      </c>
      <c r="I1005" s="48">
        <v>1</v>
      </c>
      <c r="J1005" s="49">
        <v>5000</v>
      </c>
      <c r="K1005" s="49">
        <v>5000</v>
      </c>
      <c r="L1005" s="47" t="s">
        <v>32</v>
      </c>
      <c r="M1005" s="46">
        <v>0</v>
      </c>
      <c r="N1005" s="48" t="s">
        <v>23</v>
      </c>
      <c r="O1005" s="47" t="s">
        <v>24</v>
      </c>
    </row>
    <row r="1006" ht="14.25" customHeight="1" spans="1:15">
      <c r="A1006" s="43" t="s">
        <v>2021</v>
      </c>
      <c r="B1006" s="44">
        <v>46240</v>
      </c>
      <c r="C1006" s="45">
        <v>0.85625</v>
      </c>
      <c r="D1006" s="46">
        <f t="shared" si="0"/>
        <v>20</v>
      </c>
      <c r="E1006" s="47" t="str">
        <f t="shared" si="7"/>
        <v>Thursday</v>
      </c>
      <c r="F1006" s="47" t="s">
        <v>16</v>
      </c>
      <c r="G1006" s="43" t="s">
        <v>199</v>
      </c>
      <c r="H1006" s="43" t="s">
        <v>18</v>
      </c>
      <c r="I1006" s="48">
        <v>1</v>
      </c>
      <c r="J1006" s="49">
        <v>3000</v>
      </c>
      <c r="K1006" s="49">
        <v>3000</v>
      </c>
      <c r="L1006" s="47" t="s">
        <v>32</v>
      </c>
      <c r="M1006" s="46">
        <v>0</v>
      </c>
      <c r="N1006" s="48" t="s">
        <v>23</v>
      </c>
      <c r="O1006" s="47" t="s">
        <v>47</v>
      </c>
    </row>
    <row r="1007" ht="14.25" customHeight="1" spans="1:15">
      <c r="A1007" s="43" t="s">
        <v>2023</v>
      </c>
      <c r="B1007" s="44">
        <v>46181</v>
      </c>
      <c r="C1007" s="45">
        <v>0.864583333333333</v>
      </c>
      <c r="D1007" s="46">
        <f t="shared" si="0"/>
        <v>20</v>
      </c>
      <c r="E1007" s="47" t="str">
        <f t="shared" si="7"/>
        <v>Monday</v>
      </c>
      <c r="F1007" s="47" t="s">
        <v>43</v>
      </c>
      <c r="G1007" s="47" t="s">
        <v>63</v>
      </c>
      <c r="H1007" s="43" t="s">
        <v>18</v>
      </c>
      <c r="I1007" s="48">
        <v>1</v>
      </c>
      <c r="J1007" s="49">
        <v>1500</v>
      </c>
      <c r="K1007" s="49">
        <v>1500</v>
      </c>
      <c r="L1007" s="47" t="s">
        <v>32</v>
      </c>
      <c r="M1007" s="46">
        <v>0</v>
      </c>
      <c r="N1007" s="48">
        <v>4</v>
      </c>
      <c r="O1007" s="47" t="s">
        <v>40</v>
      </c>
    </row>
    <row r="1008" ht="14.25" customHeight="1" spans="1:15">
      <c r="A1008" s="43" t="s">
        <v>2024</v>
      </c>
      <c r="B1008" s="44">
        <v>46181</v>
      </c>
      <c r="C1008" s="45">
        <v>0.869444444444444</v>
      </c>
      <c r="D1008" s="46">
        <f t="shared" si="0"/>
        <v>20</v>
      </c>
      <c r="E1008" s="47" t="str">
        <f t="shared" si="7"/>
        <v>Monday</v>
      </c>
      <c r="F1008" s="47" t="s">
        <v>16</v>
      </c>
      <c r="G1008" s="47" t="s">
        <v>27</v>
      </c>
      <c r="H1008" s="43" t="str">
        <f>VLOOKUP(G1008,'02_Menu_Lookup'!$A$2:$C$16,2,FALSE)</f>
        <v>Grills</v>
      </c>
      <c r="I1008" s="48">
        <v>1</v>
      </c>
      <c r="J1008" s="49">
        <v>15000</v>
      </c>
      <c r="K1008" s="49">
        <v>15000</v>
      </c>
      <c r="L1008" s="47" t="s">
        <v>32</v>
      </c>
      <c r="M1008" s="46">
        <v>0</v>
      </c>
      <c r="N1008" s="48" t="s">
        <v>23</v>
      </c>
      <c r="O1008" s="47" t="s">
        <v>73</v>
      </c>
    </row>
    <row r="1009" ht="14.25" customHeight="1" spans="1:15">
      <c r="A1009" s="43" t="s">
        <v>2025</v>
      </c>
      <c r="B1009" s="44">
        <v>46181</v>
      </c>
      <c r="C1009" s="45">
        <v>0.928472222222222</v>
      </c>
      <c r="D1009" s="46">
        <f t="shared" si="0"/>
        <v>22</v>
      </c>
      <c r="E1009" s="47" t="str">
        <f t="shared" si="7"/>
        <v>Monday</v>
      </c>
      <c r="F1009" s="47" t="s">
        <v>43</v>
      </c>
      <c r="G1009" s="47" t="s">
        <v>81</v>
      </c>
      <c r="H1009" s="43" t="s">
        <v>37</v>
      </c>
      <c r="I1009" s="48">
        <v>1</v>
      </c>
      <c r="J1009" s="49">
        <v>6000</v>
      </c>
      <c r="K1009" s="50">
        <v>5400</v>
      </c>
      <c r="L1009" s="47" t="s">
        <v>22</v>
      </c>
      <c r="M1009" s="51">
        <v>0.1</v>
      </c>
      <c r="N1009" s="48">
        <v>5</v>
      </c>
      <c r="O1009" s="47" t="s">
        <v>73</v>
      </c>
    </row>
    <row r="1010" ht="14.25" customHeight="1" spans="1:15">
      <c r="A1010" s="43" t="s">
        <v>2026</v>
      </c>
      <c r="B1010" s="44">
        <v>46240</v>
      </c>
      <c r="C1010" s="45">
        <v>0.964583333333333</v>
      </c>
      <c r="D1010" s="46">
        <f t="shared" si="0"/>
        <v>23</v>
      </c>
      <c r="E1010" s="47" t="str">
        <f t="shared" si="7"/>
        <v>Thursday</v>
      </c>
      <c r="F1010" s="47" t="s">
        <v>16</v>
      </c>
      <c r="G1010" s="47" t="s">
        <v>81</v>
      </c>
      <c r="H1010" s="43" t="s">
        <v>37</v>
      </c>
      <c r="I1010" s="48">
        <v>1</v>
      </c>
      <c r="J1010" s="49">
        <v>6000</v>
      </c>
      <c r="K1010" s="49">
        <v>6000</v>
      </c>
      <c r="L1010" s="47" t="s">
        <v>22</v>
      </c>
      <c r="M1010" s="46">
        <v>0</v>
      </c>
      <c r="N1010" s="48">
        <v>4</v>
      </c>
      <c r="O1010" s="47" t="s">
        <v>24</v>
      </c>
    </row>
    <row r="1011" ht="14.25" customHeight="1" spans="1:15">
      <c r="A1011" s="43" t="s">
        <v>2027</v>
      </c>
      <c r="B1011" s="44">
        <v>46182</v>
      </c>
      <c r="C1011" s="45">
        <v>0.581944444444444</v>
      </c>
      <c r="D1011" s="46">
        <f t="shared" si="0"/>
        <v>13</v>
      </c>
      <c r="E1011" s="47" t="str">
        <f t="shared" si="7"/>
        <v>Tuesday</v>
      </c>
      <c r="F1011" s="47" t="s">
        <v>107</v>
      </c>
      <c r="G1011" s="47" t="s">
        <v>17</v>
      </c>
      <c r="H1011" s="43" t="s">
        <v>18</v>
      </c>
      <c r="I1011" s="48">
        <v>1</v>
      </c>
      <c r="J1011" s="49">
        <v>1000</v>
      </c>
      <c r="K1011" s="49">
        <v>1000</v>
      </c>
      <c r="L1011" s="47" t="s">
        <v>22</v>
      </c>
      <c r="M1011" s="46">
        <v>0</v>
      </c>
      <c r="N1011" s="48">
        <v>4</v>
      </c>
      <c r="O1011" s="47" t="s">
        <v>40</v>
      </c>
    </row>
    <row r="1012" ht="14.25" customHeight="1" spans="1:15">
      <c r="A1012" s="43" t="s">
        <v>2029</v>
      </c>
      <c r="B1012" s="44">
        <v>46182</v>
      </c>
      <c r="C1012" s="45">
        <v>0.710416666666667</v>
      </c>
      <c r="D1012" s="46">
        <f t="shared" si="0"/>
        <v>17</v>
      </c>
      <c r="E1012" s="47" t="str">
        <f t="shared" si="7"/>
        <v>Tuesday</v>
      </c>
      <c r="F1012" s="47" t="s">
        <v>107</v>
      </c>
      <c r="G1012" s="47" t="s">
        <v>103</v>
      </c>
      <c r="H1012" s="43" t="s">
        <v>37</v>
      </c>
      <c r="I1012" s="48">
        <v>1</v>
      </c>
      <c r="J1012" s="49">
        <v>5000</v>
      </c>
      <c r="K1012" s="50">
        <v>4000</v>
      </c>
      <c r="L1012" s="47" t="s">
        <v>22</v>
      </c>
      <c r="M1012" s="51">
        <v>0.2</v>
      </c>
      <c r="N1012" s="48" t="s">
        <v>23</v>
      </c>
      <c r="O1012" s="47" t="s">
        <v>33</v>
      </c>
    </row>
    <row r="1013" ht="14.25" customHeight="1" spans="1:15">
      <c r="A1013" s="43" t="s">
        <v>2031</v>
      </c>
      <c r="B1013" s="44">
        <v>46182</v>
      </c>
      <c r="C1013" s="45">
        <v>0.71875</v>
      </c>
      <c r="D1013" s="46">
        <f t="shared" si="0"/>
        <v>17</v>
      </c>
      <c r="E1013" s="47" t="str">
        <f t="shared" si="7"/>
        <v>Tuesday</v>
      </c>
      <c r="F1013" s="47" t="s">
        <v>16</v>
      </c>
      <c r="G1013" s="47" t="s">
        <v>27</v>
      </c>
      <c r="H1013" s="43" t="str">
        <f>VLOOKUP(G1013,'02_Menu_Lookup'!$A$2:$C$16,2,FALSE)</f>
        <v>Grills</v>
      </c>
      <c r="I1013" s="48">
        <v>1</v>
      </c>
      <c r="J1013" s="49">
        <v>15000</v>
      </c>
      <c r="K1013" s="50">
        <v>12750</v>
      </c>
      <c r="L1013" s="47" t="s">
        <v>32</v>
      </c>
      <c r="M1013" s="51">
        <v>0.15</v>
      </c>
      <c r="N1013" s="48" t="s">
        <v>23</v>
      </c>
      <c r="O1013" s="47" t="s">
        <v>33</v>
      </c>
    </row>
    <row r="1014" ht="14.25" customHeight="1" spans="1:15">
      <c r="A1014" s="43" t="s">
        <v>2033</v>
      </c>
      <c r="B1014" s="44">
        <v>46182</v>
      </c>
      <c r="C1014" s="45">
        <v>0.797222222222222</v>
      </c>
      <c r="D1014" s="46">
        <f t="shared" si="0"/>
        <v>19</v>
      </c>
      <c r="E1014" s="47" t="str">
        <f t="shared" si="7"/>
        <v>Tuesday</v>
      </c>
      <c r="F1014" s="47" t="s">
        <v>107</v>
      </c>
      <c r="G1014" s="47" t="s">
        <v>63</v>
      </c>
      <c r="H1014" s="43" t="s">
        <v>18</v>
      </c>
      <c r="I1014" s="48">
        <v>2</v>
      </c>
      <c r="J1014" s="49">
        <v>1500</v>
      </c>
      <c r="K1014" s="49">
        <v>3000</v>
      </c>
      <c r="L1014" s="47" t="s">
        <v>32</v>
      </c>
      <c r="M1014" s="46">
        <v>0</v>
      </c>
      <c r="N1014" s="48" t="s">
        <v>23</v>
      </c>
      <c r="O1014" s="47" t="s">
        <v>24</v>
      </c>
    </row>
    <row r="1015" ht="14.25" customHeight="1" spans="1:15">
      <c r="A1015" s="43" t="s">
        <v>2034</v>
      </c>
      <c r="B1015" s="44">
        <v>46182</v>
      </c>
      <c r="C1015" s="45">
        <v>0.842361111111111</v>
      </c>
      <c r="D1015" s="46">
        <f t="shared" si="0"/>
        <v>20</v>
      </c>
      <c r="E1015" s="47" t="str">
        <f t="shared" si="7"/>
        <v>Tuesday</v>
      </c>
      <c r="F1015" s="47" t="s">
        <v>43</v>
      </c>
      <c r="G1015" s="47" t="s">
        <v>146</v>
      </c>
      <c r="H1015" s="43" t="s">
        <v>28</v>
      </c>
      <c r="I1015" s="48">
        <v>1</v>
      </c>
      <c r="J1015" s="49">
        <v>16000</v>
      </c>
      <c r="K1015" s="50">
        <v>14400</v>
      </c>
      <c r="L1015" s="47" t="s">
        <v>22</v>
      </c>
      <c r="M1015" s="51">
        <v>0.1</v>
      </c>
      <c r="N1015" s="48" t="s">
        <v>23</v>
      </c>
      <c r="O1015" s="47" t="s">
        <v>33</v>
      </c>
    </row>
    <row r="1016" ht="14.25" customHeight="1" spans="1:15">
      <c r="A1016" s="43" t="s">
        <v>2035</v>
      </c>
      <c r="B1016" s="44">
        <v>46182</v>
      </c>
      <c r="C1016" s="45">
        <v>0.847222222222222</v>
      </c>
      <c r="D1016" s="46">
        <f t="shared" si="0"/>
        <v>20</v>
      </c>
      <c r="E1016" s="47" t="str">
        <f t="shared" si="7"/>
        <v>Tuesday</v>
      </c>
      <c r="F1016" s="47" t="s">
        <v>107</v>
      </c>
      <c r="G1016" s="47" t="s">
        <v>57</v>
      </c>
      <c r="H1016" s="43" t="s">
        <v>28</v>
      </c>
      <c r="I1016" s="48">
        <v>3</v>
      </c>
      <c r="J1016" s="49">
        <v>18000</v>
      </c>
      <c r="K1016" s="49">
        <v>54000</v>
      </c>
      <c r="L1016" s="47" t="s">
        <v>32</v>
      </c>
      <c r="M1016" s="46">
        <v>0</v>
      </c>
      <c r="N1016" s="48">
        <v>4</v>
      </c>
      <c r="O1016" s="47" t="s">
        <v>47</v>
      </c>
    </row>
    <row r="1017" ht="14.25" customHeight="1" spans="1:15">
      <c r="A1017" s="43" t="s">
        <v>2036</v>
      </c>
      <c r="B1017" s="44">
        <v>46182</v>
      </c>
      <c r="C1017" s="45">
        <v>0.855555555555556</v>
      </c>
      <c r="D1017" s="46">
        <f t="shared" si="0"/>
        <v>20</v>
      </c>
      <c r="E1017" s="47" t="str">
        <f t="shared" si="7"/>
        <v>Tuesday</v>
      </c>
      <c r="F1017" s="47" t="s">
        <v>16</v>
      </c>
      <c r="G1017" s="47" t="s">
        <v>44</v>
      </c>
      <c r="H1017" s="43" t="s">
        <v>45</v>
      </c>
      <c r="I1017" s="48">
        <v>1</v>
      </c>
      <c r="J1017" s="49">
        <v>4000</v>
      </c>
      <c r="K1017" s="49">
        <v>4000</v>
      </c>
      <c r="L1017" s="47" t="s">
        <v>22</v>
      </c>
      <c r="M1017" s="46">
        <v>0</v>
      </c>
      <c r="N1017" s="48" t="s">
        <v>23</v>
      </c>
      <c r="O1017" s="47" t="s">
        <v>24</v>
      </c>
    </row>
    <row r="1018" ht="14.25" customHeight="1" spans="1:15">
      <c r="A1018" s="43" t="s">
        <v>2037</v>
      </c>
      <c r="B1018" s="44">
        <v>46182</v>
      </c>
      <c r="C1018" s="45">
        <v>0.916666666666667</v>
      </c>
      <c r="D1018" s="46">
        <f t="shared" si="0"/>
        <v>22</v>
      </c>
      <c r="E1018" s="47" t="str">
        <f t="shared" si="7"/>
        <v>Tuesday</v>
      </c>
      <c r="F1018" s="47" t="s">
        <v>107</v>
      </c>
      <c r="G1018" s="47" t="s">
        <v>17</v>
      </c>
      <c r="H1018" s="43" t="s">
        <v>18</v>
      </c>
      <c r="I1018" s="48">
        <v>1</v>
      </c>
      <c r="J1018" s="49">
        <f>K1018/I1018</f>
        <v>1000</v>
      </c>
      <c r="K1018" s="49">
        <v>1000</v>
      </c>
      <c r="L1018" s="47" t="s">
        <v>32</v>
      </c>
      <c r="M1018" s="46">
        <v>0</v>
      </c>
      <c r="N1018" s="48" t="s">
        <v>23</v>
      </c>
      <c r="O1018" s="47" t="s">
        <v>24</v>
      </c>
    </row>
    <row r="1019" ht="14.25" customHeight="1" spans="1:15">
      <c r="A1019" s="43" t="s">
        <v>2038</v>
      </c>
      <c r="B1019" s="44">
        <v>46183</v>
      </c>
      <c r="C1019" s="45">
        <v>0.548611111111111</v>
      </c>
      <c r="D1019" s="46">
        <f t="shared" si="0"/>
        <v>13</v>
      </c>
      <c r="E1019" s="47" t="str">
        <f t="shared" si="7"/>
        <v>Wednesday</v>
      </c>
      <c r="F1019" s="47" t="s">
        <v>107</v>
      </c>
      <c r="G1019" s="47" t="s">
        <v>57</v>
      </c>
      <c r="H1019" s="43" t="s">
        <v>28</v>
      </c>
      <c r="I1019" s="48">
        <v>1</v>
      </c>
      <c r="J1019" s="49">
        <v>18000</v>
      </c>
      <c r="K1019" s="49">
        <v>18000</v>
      </c>
      <c r="L1019" s="47" t="s">
        <v>32</v>
      </c>
      <c r="M1019" s="46">
        <v>0</v>
      </c>
      <c r="N1019" s="48" t="s">
        <v>23</v>
      </c>
      <c r="O1019" s="47" t="s">
        <v>73</v>
      </c>
    </row>
    <row r="1020" ht="14.25" customHeight="1" spans="1:15">
      <c r="A1020" s="43" t="s">
        <v>2040</v>
      </c>
      <c r="B1020" s="44">
        <v>46183</v>
      </c>
      <c r="C1020" s="45">
        <v>0.577083333333333</v>
      </c>
      <c r="D1020" s="46">
        <f t="shared" si="0"/>
        <v>13</v>
      </c>
      <c r="E1020" s="47" t="str">
        <f t="shared" si="7"/>
        <v>Wednesday</v>
      </c>
      <c r="F1020" s="47" t="s">
        <v>43</v>
      </c>
      <c r="G1020" s="47" t="s">
        <v>27</v>
      </c>
      <c r="H1020" s="43" t="s">
        <v>28</v>
      </c>
      <c r="I1020" s="48">
        <v>1</v>
      </c>
      <c r="J1020" s="49">
        <v>15000</v>
      </c>
      <c r="K1020" s="49">
        <v>15000</v>
      </c>
      <c r="L1020" s="47" t="s">
        <v>32</v>
      </c>
      <c r="M1020" s="46">
        <v>0</v>
      </c>
      <c r="N1020" s="48">
        <v>3</v>
      </c>
      <c r="O1020" s="47" t="s">
        <v>73</v>
      </c>
    </row>
    <row r="1021" ht="14.25" customHeight="1" spans="1:15">
      <c r="A1021" s="43" t="s">
        <v>2041</v>
      </c>
      <c r="B1021" s="44">
        <v>46183</v>
      </c>
      <c r="C1021" s="45">
        <v>0.907638888888889</v>
      </c>
      <c r="D1021" s="46">
        <f t="shared" si="0"/>
        <v>21</v>
      </c>
      <c r="E1021" s="47" t="str">
        <f t="shared" si="7"/>
        <v>Wednesday</v>
      </c>
      <c r="F1021" s="47" t="s">
        <v>43</v>
      </c>
      <c r="G1021" s="47" t="s">
        <v>367</v>
      </c>
      <c r="H1021" s="43" t="s">
        <v>109</v>
      </c>
      <c r="I1021" s="48">
        <v>1</v>
      </c>
      <c r="J1021" s="49">
        <v>7000</v>
      </c>
      <c r="K1021" s="49">
        <v>7000</v>
      </c>
      <c r="L1021" s="47" t="s">
        <v>32</v>
      </c>
      <c r="M1021" s="46">
        <v>0</v>
      </c>
      <c r="N1021" s="48">
        <v>4</v>
      </c>
      <c r="O1021" s="47" t="s">
        <v>47</v>
      </c>
    </row>
    <row r="1022" ht="14.25" customHeight="1" spans="1:15">
      <c r="A1022" s="43" t="s">
        <v>2042</v>
      </c>
      <c r="B1022" s="44">
        <v>46183</v>
      </c>
      <c r="C1022" s="45">
        <v>0.917361111111111</v>
      </c>
      <c r="D1022" s="46">
        <f t="shared" si="0"/>
        <v>22</v>
      </c>
      <c r="E1022" s="47" t="str">
        <f t="shared" si="7"/>
        <v>Wednesday</v>
      </c>
      <c r="F1022" s="47" t="s">
        <v>43</v>
      </c>
      <c r="G1022" s="47" t="s">
        <v>103</v>
      </c>
      <c r="H1022" s="43" t="s">
        <v>37</v>
      </c>
      <c r="I1022" s="48">
        <v>2</v>
      </c>
      <c r="J1022" s="49">
        <v>5000</v>
      </c>
      <c r="K1022" s="49">
        <v>10000</v>
      </c>
      <c r="L1022" s="47" t="s">
        <v>32</v>
      </c>
      <c r="M1022" s="46">
        <v>0</v>
      </c>
      <c r="N1022" s="48">
        <v>5</v>
      </c>
      <c r="O1022" s="47" t="s">
        <v>33</v>
      </c>
    </row>
    <row r="1023" ht="14.25" customHeight="1" spans="1:15">
      <c r="A1023" s="43" t="s">
        <v>2043</v>
      </c>
      <c r="B1023" s="44">
        <v>46301</v>
      </c>
      <c r="C1023" s="45">
        <v>0.938194444444444</v>
      </c>
      <c r="D1023" s="46">
        <f t="shared" si="0"/>
        <v>22</v>
      </c>
      <c r="E1023" s="47" t="str">
        <f t="shared" si="7"/>
        <v>Tuesday</v>
      </c>
      <c r="F1023" s="47" t="s">
        <v>16</v>
      </c>
      <c r="G1023" s="43" t="s">
        <v>647</v>
      </c>
      <c r="H1023" s="43" t="s">
        <v>45</v>
      </c>
      <c r="I1023" s="48">
        <v>1</v>
      </c>
      <c r="J1023" s="49">
        <v>4500</v>
      </c>
      <c r="K1023" s="49">
        <v>4500</v>
      </c>
      <c r="L1023" s="47" t="s">
        <v>22</v>
      </c>
      <c r="M1023" s="46">
        <v>0</v>
      </c>
      <c r="N1023" s="48" t="s">
        <v>23</v>
      </c>
      <c r="O1023" s="47" t="s">
        <v>40</v>
      </c>
    </row>
    <row r="1024" ht="14.25" customHeight="1" spans="1:15">
      <c r="A1024" s="43" t="s">
        <v>2045</v>
      </c>
      <c r="B1024" s="44">
        <v>46183</v>
      </c>
      <c r="C1024" s="45">
        <v>0.99375</v>
      </c>
      <c r="D1024" s="46">
        <f t="shared" si="0"/>
        <v>23</v>
      </c>
      <c r="E1024" s="47" t="str">
        <f t="shared" si="7"/>
        <v>Wednesday</v>
      </c>
      <c r="F1024" s="47" t="s">
        <v>16</v>
      </c>
      <c r="G1024" s="47" t="s">
        <v>17</v>
      </c>
      <c r="H1024" s="43" t="s">
        <v>18</v>
      </c>
      <c r="I1024" s="48">
        <v>1</v>
      </c>
      <c r="J1024" s="49">
        <v>1000</v>
      </c>
      <c r="K1024" s="49">
        <v>1000</v>
      </c>
      <c r="L1024" s="47" t="s">
        <v>22</v>
      </c>
      <c r="M1024" s="46">
        <v>0</v>
      </c>
      <c r="N1024" s="48">
        <v>4</v>
      </c>
      <c r="O1024" s="47" t="s">
        <v>33</v>
      </c>
    </row>
    <row r="1025" ht="14.25" customHeight="1" spans="1:15">
      <c r="A1025" s="43" t="s">
        <v>2047</v>
      </c>
      <c r="B1025" s="44">
        <v>46184</v>
      </c>
      <c r="C1025" s="45">
        <v>0.644444444444444</v>
      </c>
      <c r="D1025" s="46">
        <f t="shared" si="0"/>
        <v>15</v>
      </c>
      <c r="E1025" s="47" t="str">
        <f t="shared" si="7"/>
        <v>Thursday</v>
      </c>
      <c r="F1025" s="47" t="s">
        <v>16</v>
      </c>
      <c r="G1025" s="47" t="s">
        <v>103</v>
      </c>
      <c r="H1025" s="43" t="str">
        <f>VLOOKUP(G1025,'02_Menu_Lookup'!$A$2:$C$16,2,FALSE)</f>
        <v>Sandwiches</v>
      </c>
      <c r="I1025" s="48">
        <v>1</v>
      </c>
      <c r="J1025" s="49">
        <v>5000</v>
      </c>
      <c r="K1025" s="49">
        <v>5000</v>
      </c>
      <c r="L1025" s="47" t="s">
        <v>32</v>
      </c>
      <c r="M1025" s="46">
        <v>0</v>
      </c>
      <c r="N1025" s="48">
        <v>4</v>
      </c>
      <c r="O1025" s="47" t="s">
        <v>33</v>
      </c>
    </row>
    <row r="1026" ht="14.25" customHeight="1" spans="1:15">
      <c r="A1026" s="43" t="s">
        <v>2050</v>
      </c>
      <c r="B1026" s="44">
        <v>46184</v>
      </c>
      <c r="C1026" s="45">
        <v>0.720833333333333</v>
      </c>
      <c r="D1026" s="46">
        <f t="shared" si="0"/>
        <v>17</v>
      </c>
      <c r="E1026" s="47" t="str">
        <f t="shared" si="7"/>
        <v>Thursday</v>
      </c>
      <c r="F1026" s="47" t="s">
        <v>16</v>
      </c>
      <c r="G1026" s="47" t="s">
        <v>17</v>
      </c>
      <c r="H1026" s="43" t="s">
        <v>18</v>
      </c>
      <c r="I1026" s="48">
        <v>1</v>
      </c>
      <c r="J1026" s="49">
        <v>1000</v>
      </c>
      <c r="K1026" s="49">
        <f>I1026*J1026</f>
        <v>1000</v>
      </c>
      <c r="L1026" s="47" t="s">
        <v>22</v>
      </c>
      <c r="M1026" s="46">
        <v>0</v>
      </c>
      <c r="N1026" s="48" t="s">
        <v>23</v>
      </c>
      <c r="O1026" s="47" t="s">
        <v>24</v>
      </c>
    </row>
    <row r="1027" ht="14.25" customHeight="1" spans="1:15">
      <c r="A1027" s="43" t="s">
        <v>2053</v>
      </c>
      <c r="B1027" s="44">
        <v>46184</v>
      </c>
      <c r="C1027" s="45">
        <v>0.752083333333333</v>
      </c>
      <c r="D1027" s="46">
        <f t="shared" si="0"/>
        <v>18</v>
      </c>
      <c r="E1027" s="47" t="str">
        <f t="shared" si="7"/>
        <v>Thursday</v>
      </c>
      <c r="F1027" s="47" t="s">
        <v>107</v>
      </c>
      <c r="G1027" s="47" t="s">
        <v>27</v>
      </c>
      <c r="H1027" s="43" t="s">
        <v>28</v>
      </c>
      <c r="I1027" s="48">
        <v>1</v>
      </c>
      <c r="J1027" s="49">
        <v>15000</v>
      </c>
      <c r="K1027" s="50">
        <v>13500</v>
      </c>
      <c r="L1027" s="47" t="s">
        <v>22</v>
      </c>
      <c r="M1027" s="51">
        <v>0.1</v>
      </c>
      <c r="N1027" s="48" t="s">
        <v>23</v>
      </c>
      <c r="O1027" s="47" t="s">
        <v>40</v>
      </c>
    </row>
    <row r="1028" ht="14.25" customHeight="1" spans="1:15">
      <c r="A1028" s="43" t="s">
        <v>2055</v>
      </c>
      <c r="B1028" s="44">
        <v>46184</v>
      </c>
      <c r="C1028" s="45">
        <v>0.758333333333333</v>
      </c>
      <c r="D1028" s="46">
        <f t="shared" si="0"/>
        <v>18</v>
      </c>
      <c r="E1028" s="47" t="str">
        <f t="shared" si="7"/>
        <v>Thursday</v>
      </c>
      <c r="F1028" s="47" t="s">
        <v>107</v>
      </c>
      <c r="G1028" s="47" t="s">
        <v>63</v>
      </c>
      <c r="H1028" s="43" t="str">
        <f>VLOOKUP(G1028,'02_Menu_Lookup'!$A$2:$C$16,2,FALSE)</f>
        <v>Beverages</v>
      </c>
      <c r="I1028" s="48">
        <v>1</v>
      </c>
      <c r="J1028" s="49">
        <v>1500</v>
      </c>
      <c r="K1028" s="50">
        <v>1275</v>
      </c>
      <c r="L1028" s="47" t="s">
        <v>22</v>
      </c>
      <c r="M1028" s="51">
        <v>0.15</v>
      </c>
      <c r="N1028" s="48">
        <v>3</v>
      </c>
      <c r="O1028" s="47" t="s">
        <v>24</v>
      </c>
    </row>
    <row r="1029" ht="14.25" customHeight="1" spans="1:15">
      <c r="A1029" s="43" t="s">
        <v>2056</v>
      </c>
      <c r="B1029" s="44">
        <v>46332</v>
      </c>
      <c r="C1029" s="45">
        <v>0.792361111111111</v>
      </c>
      <c r="D1029" s="46">
        <f t="shared" si="0"/>
        <v>19</v>
      </c>
      <c r="E1029" s="47" t="str">
        <f t="shared" si="7"/>
        <v>Friday</v>
      </c>
      <c r="F1029" s="47" t="s">
        <v>43</v>
      </c>
      <c r="G1029" s="47" t="s">
        <v>95</v>
      </c>
      <c r="H1029" s="43" t="s">
        <v>45</v>
      </c>
      <c r="I1029" s="48">
        <v>2</v>
      </c>
      <c r="J1029" s="49">
        <v>5000</v>
      </c>
      <c r="K1029" s="49">
        <v>10000</v>
      </c>
      <c r="L1029" s="47" t="s">
        <v>32</v>
      </c>
      <c r="M1029" s="46">
        <v>0</v>
      </c>
      <c r="N1029" s="48">
        <v>4</v>
      </c>
      <c r="O1029" s="47" t="s">
        <v>73</v>
      </c>
    </row>
    <row r="1030" ht="14.25" customHeight="1" spans="1:15">
      <c r="A1030" s="43" t="s">
        <v>2058</v>
      </c>
      <c r="B1030" s="44">
        <v>46184</v>
      </c>
      <c r="C1030" s="45">
        <v>0.802777777777778</v>
      </c>
      <c r="D1030" s="46">
        <f t="shared" si="0"/>
        <v>19</v>
      </c>
      <c r="E1030" s="47" t="str">
        <f t="shared" si="7"/>
        <v>Thursday</v>
      </c>
      <c r="F1030" s="47" t="s">
        <v>43</v>
      </c>
      <c r="G1030" s="47" t="s">
        <v>95</v>
      </c>
      <c r="H1030" s="43" t="s">
        <v>45</v>
      </c>
      <c r="I1030" s="48">
        <v>3</v>
      </c>
      <c r="J1030" s="49">
        <v>5000</v>
      </c>
      <c r="K1030" s="50">
        <v>13500</v>
      </c>
      <c r="L1030" s="47" t="s">
        <v>32</v>
      </c>
      <c r="M1030" s="51">
        <v>0.1</v>
      </c>
      <c r="N1030" s="48" t="s">
        <v>23</v>
      </c>
      <c r="O1030" s="47" t="s">
        <v>47</v>
      </c>
    </row>
    <row r="1031" ht="14.25" customHeight="1" spans="1:15">
      <c r="A1031" s="43" t="s">
        <v>2060</v>
      </c>
      <c r="B1031" s="44">
        <v>46184</v>
      </c>
      <c r="C1031" s="45">
        <v>0.835416666666667</v>
      </c>
      <c r="D1031" s="46">
        <f t="shared" si="0"/>
        <v>20</v>
      </c>
      <c r="E1031" s="47" t="str">
        <f t="shared" si="7"/>
        <v>Thursday</v>
      </c>
      <c r="F1031" s="47" t="s">
        <v>107</v>
      </c>
      <c r="G1031" s="47" t="s">
        <v>103</v>
      </c>
      <c r="H1031" s="43" t="s">
        <v>37</v>
      </c>
      <c r="I1031" s="48">
        <v>1</v>
      </c>
      <c r="J1031" s="49">
        <v>5000</v>
      </c>
      <c r="K1031" s="49">
        <v>5000</v>
      </c>
      <c r="L1031" s="47" t="s">
        <v>22</v>
      </c>
      <c r="M1031" s="46">
        <v>0</v>
      </c>
      <c r="N1031" s="48">
        <v>5</v>
      </c>
      <c r="O1031" s="47" t="s">
        <v>33</v>
      </c>
    </row>
    <row r="1032" ht="14.25" customHeight="1" spans="1:15">
      <c r="A1032" s="43" t="s">
        <v>2061</v>
      </c>
      <c r="B1032" s="44">
        <v>46184</v>
      </c>
      <c r="C1032" s="45">
        <v>0.839583333333333</v>
      </c>
      <c r="D1032" s="46">
        <f t="shared" si="0"/>
        <v>20</v>
      </c>
      <c r="E1032" s="47" t="str">
        <f t="shared" si="7"/>
        <v>Thursday</v>
      </c>
      <c r="F1032" s="47" t="s">
        <v>43</v>
      </c>
      <c r="G1032" s="47" t="s">
        <v>103</v>
      </c>
      <c r="H1032" s="43" t="s">
        <v>37</v>
      </c>
      <c r="I1032" s="48">
        <v>3</v>
      </c>
      <c r="J1032" s="49">
        <v>5000</v>
      </c>
      <c r="K1032" s="49">
        <v>15000</v>
      </c>
      <c r="L1032" s="47" t="s">
        <v>22</v>
      </c>
      <c r="M1032" s="46">
        <v>0</v>
      </c>
      <c r="N1032" s="48" t="s">
        <v>23</v>
      </c>
      <c r="O1032" s="47" t="s">
        <v>47</v>
      </c>
    </row>
    <row r="1033" ht="14.25" customHeight="1" spans="1:15">
      <c r="A1033" s="43" t="s">
        <v>2062</v>
      </c>
      <c r="B1033" s="44">
        <v>46184</v>
      </c>
      <c r="C1033" s="45">
        <v>0.893055555555556</v>
      </c>
      <c r="D1033" s="46">
        <f t="shared" si="0"/>
        <v>21</v>
      </c>
      <c r="E1033" s="47" t="str">
        <f t="shared" si="7"/>
        <v>Thursday</v>
      </c>
      <c r="F1033" s="47" t="s">
        <v>107</v>
      </c>
      <c r="G1033" s="47" t="s">
        <v>103</v>
      </c>
      <c r="H1033" s="43" t="s">
        <v>37</v>
      </c>
      <c r="I1033" s="48">
        <v>1</v>
      </c>
      <c r="J1033" s="49">
        <v>5000</v>
      </c>
      <c r="K1033" s="50">
        <v>5000</v>
      </c>
      <c r="L1033" s="47" t="s">
        <v>22</v>
      </c>
      <c r="M1033" s="46">
        <v>0</v>
      </c>
      <c r="N1033" s="48" t="s">
        <v>23</v>
      </c>
      <c r="O1033" s="47" t="s">
        <v>40</v>
      </c>
    </row>
    <row r="1034" ht="14.25" customHeight="1" spans="1:15">
      <c r="A1034" s="43" t="s">
        <v>2063</v>
      </c>
      <c r="B1034" s="44">
        <v>46184</v>
      </c>
      <c r="C1034" s="45">
        <v>0.898611111111111</v>
      </c>
      <c r="D1034" s="46">
        <f t="shared" si="0"/>
        <v>21</v>
      </c>
      <c r="E1034" s="47" t="str">
        <f t="shared" si="7"/>
        <v>Thursday</v>
      </c>
      <c r="F1034" s="47" t="s">
        <v>43</v>
      </c>
      <c r="G1034" s="47" t="s">
        <v>63</v>
      </c>
      <c r="H1034" s="43" t="s">
        <v>18</v>
      </c>
      <c r="I1034" s="48">
        <v>3</v>
      </c>
      <c r="J1034" s="49">
        <v>1500</v>
      </c>
      <c r="K1034" s="49">
        <v>4500</v>
      </c>
      <c r="L1034" s="47" t="s">
        <v>32</v>
      </c>
      <c r="M1034" s="46">
        <v>0</v>
      </c>
      <c r="N1034" s="48" t="s">
        <v>23</v>
      </c>
      <c r="O1034" s="47" t="s">
        <v>40</v>
      </c>
    </row>
    <row r="1035" ht="14.25" customHeight="1" spans="1:15">
      <c r="A1035" s="43" t="s">
        <v>2064</v>
      </c>
      <c r="B1035" s="44">
        <v>46184</v>
      </c>
      <c r="C1035" s="45">
        <v>0.908333333333333</v>
      </c>
      <c r="D1035" s="46">
        <f t="shared" si="0"/>
        <v>21</v>
      </c>
      <c r="E1035" s="47" t="str">
        <f t="shared" si="7"/>
        <v>Thursday</v>
      </c>
      <c r="F1035" s="47" t="s">
        <v>16</v>
      </c>
      <c r="G1035" s="47" t="s">
        <v>57</v>
      </c>
      <c r="H1035" s="43" t="s">
        <v>28</v>
      </c>
      <c r="I1035" s="48">
        <v>1</v>
      </c>
      <c r="J1035" s="50">
        <v>18000</v>
      </c>
      <c r="K1035" s="49">
        <v>18000</v>
      </c>
      <c r="L1035" s="47" t="s">
        <v>32</v>
      </c>
      <c r="M1035" s="46">
        <v>0</v>
      </c>
      <c r="N1035" s="48">
        <v>5</v>
      </c>
      <c r="O1035" s="47" t="s">
        <v>73</v>
      </c>
    </row>
    <row r="1036" ht="14.25" customHeight="1" spans="1:15">
      <c r="A1036" s="43" t="s">
        <v>2065</v>
      </c>
      <c r="B1036" s="44">
        <v>46184</v>
      </c>
      <c r="C1036" s="45">
        <v>0.932638888888889</v>
      </c>
      <c r="D1036" s="46">
        <f t="shared" si="0"/>
        <v>22</v>
      </c>
      <c r="E1036" s="47" t="str">
        <f t="shared" si="7"/>
        <v>Thursday</v>
      </c>
      <c r="F1036" s="47" t="s">
        <v>16</v>
      </c>
      <c r="G1036" s="47" t="s">
        <v>146</v>
      </c>
      <c r="H1036" s="43" t="s">
        <v>28</v>
      </c>
      <c r="I1036" s="48">
        <v>1</v>
      </c>
      <c r="J1036" s="49">
        <v>16000</v>
      </c>
      <c r="K1036" s="49">
        <v>16000</v>
      </c>
      <c r="L1036" s="47" t="s">
        <v>22</v>
      </c>
      <c r="M1036" s="46">
        <v>0</v>
      </c>
      <c r="N1036" s="48" t="s">
        <v>23</v>
      </c>
      <c r="O1036" s="47" t="s">
        <v>40</v>
      </c>
    </row>
    <row r="1037" ht="14.25" customHeight="1" spans="1:15">
      <c r="A1037" s="43" t="s">
        <v>2066</v>
      </c>
      <c r="B1037" s="44">
        <v>46362</v>
      </c>
      <c r="C1037" s="45">
        <v>0.542361111111111</v>
      </c>
      <c r="D1037" s="46">
        <f t="shared" si="0"/>
        <v>13</v>
      </c>
      <c r="E1037" s="47" t="str">
        <f t="shared" si="7"/>
        <v>Sunday</v>
      </c>
      <c r="F1037" s="47" t="s">
        <v>16</v>
      </c>
      <c r="G1037" s="47" t="s">
        <v>63</v>
      </c>
      <c r="H1037" s="43" t="s">
        <v>18</v>
      </c>
      <c r="I1037" s="48">
        <v>1</v>
      </c>
      <c r="J1037" s="49">
        <v>1500</v>
      </c>
      <c r="K1037" s="49">
        <f>I1037*J1037</f>
        <v>1500</v>
      </c>
      <c r="L1037" s="47" t="s">
        <v>22</v>
      </c>
      <c r="M1037" s="46">
        <v>0</v>
      </c>
      <c r="N1037" s="48" t="s">
        <v>23</v>
      </c>
      <c r="O1037" s="47" t="s">
        <v>24</v>
      </c>
    </row>
    <row r="1038" ht="14.25" customHeight="1" spans="1:15">
      <c r="A1038" s="43" t="s">
        <v>2068</v>
      </c>
      <c r="B1038" s="44">
        <v>46185</v>
      </c>
      <c r="C1038" s="45">
        <v>0.590277777777778</v>
      </c>
      <c r="D1038" s="46">
        <f t="shared" si="0"/>
        <v>14</v>
      </c>
      <c r="E1038" s="47" t="str">
        <f t="shared" si="7"/>
        <v>Friday</v>
      </c>
      <c r="F1038" s="47" t="s">
        <v>16</v>
      </c>
      <c r="G1038" s="47" t="s">
        <v>81</v>
      </c>
      <c r="H1038" s="43" t="s">
        <v>37</v>
      </c>
      <c r="I1038" s="48">
        <v>1</v>
      </c>
      <c r="J1038" s="49">
        <v>6000</v>
      </c>
      <c r="K1038" s="49">
        <v>6000</v>
      </c>
      <c r="L1038" s="47" t="s">
        <v>32</v>
      </c>
      <c r="M1038" s="46">
        <v>0</v>
      </c>
      <c r="N1038" s="48" t="s">
        <v>23</v>
      </c>
      <c r="O1038" s="47" t="s">
        <v>40</v>
      </c>
    </row>
    <row r="1039" ht="14.25" customHeight="1" spans="1:15">
      <c r="A1039" s="43" t="s">
        <v>2071</v>
      </c>
      <c r="B1039" s="44">
        <v>46185</v>
      </c>
      <c r="C1039" s="45">
        <v>0.661805555555556</v>
      </c>
      <c r="D1039" s="46">
        <f t="shared" si="0"/>
        <v>15</v>
      </c>
      <c r="E1039" s="47" t="str">
        <f t="shared" si="7"/>
        <v>Friday</v>
      </c>
      <c r="F1039" s="47" t="s">
        <v>107</v>
      </c>
      <c r="G1039" s="47" t="s">
        <v>50</v>
      </c>
      <c r="H1039" s="43" t="s">
        <v>28</v>
      </c>
      <c r="I1039" s="48">
        <v>2</v>
      </c>
      <c r="J1039" s="49">
        <v>25000</v>
      </c>
      <c r="K1039" s="49">
        <v>50000</v>
      </c>
      <c r="L1039" s="47" t="s">
        <v>32</v>
      </c>
      <c r="M1039" s="46">
        <v>0</v>
      </c>
      <c r="N1039" s="48">
        <v>5</v>
      </c>
      <c r="O1039" s="47" t="s">
        <v>40</v>
      </c>
    </row>
    <row r="1040" ht="14.25" customHeight="1" spans="1:15">
      <c r="A1040" s="43" t="s">
        <v>2073</v>
      </c>
      <c r="B1040" s="44">
        <v>46185</v>
      </c>
      <c r="C1040" s="45">
        <v>0.697916666666667</v>
      </c>
      <c r="D1040" s="46">
        <f t="shared" si="0"/>
        <v>16</v>
      </c>
      <c r="E1040" s="47" t="str">
        <f t="shared" si="7"/>
        <v>Friday</v>
      </c>
      <c r="F1040" s="47" t="s">
        <v>16</v>
      </c>
      <c r="G1040" s="47" t="s">
        <v>50</v>
      </c>
      <c r="H1040" s="43" t="s">
        <v>28</v>
      </c>
      <c r="I1040" s="48">
        <v>1</v>
      </c>
      <c r="J1040" s="49">
        <v>25000</v>
      </c>
      <c r="K1040" s="49">
        <v>25000</v>
      </c>
      <c r="L1040" s="47" t="s">
        <v>22</v>
      </c>
      <c r="M1040" s="46">
        <v>0</v>
      </c>
      <c r="N1040" s="48" t="s">
        <v>23</v>
      </c>
      <c r="O1040" s="47" t="s">
        <v>73</v>
      </c>
    </row>
    <row r="1041" ht="14.25" customHeight="1" spans="1:15">
      <c r="A1041" s="43" t="s">
        <v>2074</v>
      </c>
      <c r="B1041" s="44">
        <v>46185</v>
      </c>
      <c r="C1041" s="45">
        <v>0.709027777777778</v>
      </c>
      <c r="D1041" s="46">
        <f t="shared" si="0"/>
        <v>17</v>
      </c>
      <c r="E1041" s="47" t="str">
        <f t="shared" si="7"/>
        <v>Friday</v>
      </c>
      <c r="F1041" s="47" t="s">
        <v>16</v>
      </c>
      <c r="G1041" s="47" t="s">
        <v>17</v>
      </c>
      <c r="H1041" s="43" t="s">
        <v>18</v>
      </c>
      <c r="I1041" s="48">
        <v>1</v>
      </c>
      <c r="J1041" s="49">
        <v>1000</v>
      </c>
      <c r="K1041" s="49">
        <v>1000</v>
      </c>
      <c r="L1041" s="47" t="s">
        <v>22</v>
      </c>
      <c r="M1041" s="46">
        <v>0</v>
      </c>
      <c r="N1041" s="48" t="s">
        <v>23</v>
      </c>
      <c r="O1041" s="47" t="s">
        <v>73</v>
      </c>
    </row>
    <row r="1042" ht="14.25" customHeight="1" spans="1:15">
      <c r="A1042" s="43" t="s">
        <v>2076</v>
      </c>
      <c r="B1042" s="44">
        <v>46185</v>
      </c>
      <c r="C1042" s="45">
        <v>0.713194444444444</v>
      </c>
      <c r="D1042" s="46">
        <f t="shared" si="0"/>
        <v>17</v>
      </c>
      <c r="E1042" s="47" t="str">
        <f t="shared" si="7"/>
        <v>Friday</v>
      </c>
      <c r="F1042" s="47" t="s">
        <v>16</v>
      </c>
      <c r="G1042" s="47" t="s">
        <v>17</v>
      </c>
      <c r="H1042" s="43" t="s">
        <v>18</v>
      </c>
      <c r="I1042" s="48">
        <v>1</v>
      </c>
      <c r="J1042" s="49">
        <v>1000</v>
      </c>
      <c r="K1042" s="49">
        <v>1000</v>
      </c>
      <c r="L1042" s="47" t="s">
        <v>22</v>
      </c>
      <c r="M1042" s="46">
        <v>0</v>
      </c>
      <c r="N1042" s="48" t="s">
        <v>23</v>
      </c>
      <c r="O1042" s="47" t="s">
        <v>40</v>
      </c>
    </row>
    <row r="1043" ht="14.25" customHeight="1" spans="1:15">
      <c r="A1043" s="43" t="s">
        <v>2078</v>
      </c>
      <c r="B1043" s="44">
        <v>46185</v>
      </c>
      <c r="C1043" s="45">
        <v>0.803472222222222</v>
      </c>
      <c r="D1043" s="46">
        <f t="shared" si="0"/>
        <v>19</v>
      </c>
      <c r="E1043" s="47" t="str">
        <f t="shared" si="7"/>
        <v>Friday</v>
      </c>
      <c r="F1043" s="47" t="s">
        <v>107</v>
      </c>
      <c r="G1043" s="47" t="s">
        <v>63</v>
      </c>
      <c r="H1043" s="43" t="s">
        <v>18</v>
      </c>
      <c r="I1043" s="48">
        <v>1</v>
      </c>
      <c r="J1043" s="49">
        <v>1500</v>
      </c>
      <c r="K1043" s="49">
        <v>1500</v>
      </c>
      <c r="L1043" s="47" t="s">
        <v>22</v>
      </c>
      <c r="M1043" s="46">
        <v>0</v>
      </c>
      <c r="N1043" s="48" t="s">
        <v>23</v>
      </c>
      <c r="O1043" s="47" t="s">
        <v>33</v>
      </c>
    </row>
    <row r="1044" ht="14.25" customHeight="1" spans="1:15">
      <c r="A1044" s="43" t="s">
        <v>2079</v>
      </c>
      <c r="B1044" s="44">
        <v>46185</v>
      </c>
      <c r="C1044" s="45">
        <v>0.863194444444444</v>
      </c>
      <c r="D1044" s="46">
        <f t="shared" si="0"/>
        <v>20</v>
      </c>
      <c r="E1044" s="47" t="str">
        <f t="shared" si="7"/>
        <v>Friday</v>
      </c>
      <c r="F1044" s="47" t="s">
        <v>43</v>
      </c>
      <c r="G1044" s="47" t="s">
        <v>63</v>
      </c>
      <c r="H1044" s="43" t="s">
        <v>18</v>
      </c>
      <c r="I1044" s="48">
        <v>2</v>
      </c>
      <c r="J1044" s="49">
        <v>1500</v>
      </c>
      <c r="K1044" s="49">
        <v>3000</v>
      </c>
      <c r="L1044" s="47" t="s">
        <v>32</v>
      </c>
      <c r="M1044" s="46">
        <v>0</v>
      </c>
      <c r="N1044" s="48">
        <v>4</v>
      </c>
      <c r="O1044" s="47" t="s">
        <v>47</v>
      </c>
    </row>
    <row r="1045" ht="14.25" customHeight="1" spans="1:15">
      <c r="A1045" s="43" t="s">
        <v>2080</v>
      </c>
      <c r="B1045" s="44">
        <v>46185</v>
      </c>
      <c r="C1045" s="45">
        <v>0.879166666666667</v>
      </c>
      <c r="D1045" s="46">
        <f t="shared" si="0"/>
        <v>21</v>
      </c>
      <c r="E1045" s="47" t="str">
        <f t="shared" si="7"/>
        <v>Friday</v>
      </c>
      <c r="F1045" s="47" t="s">
        <v>107</v>
      </c>
      <c r="G1045" s="47" t="s">
        <v>50</v>
      </c>
      <c r="H1045" s="43" t="s">
        <v>28</v>
      </c>
      <c r="I1045" s="48">
        <v>3</v>
      </c>
      <c r="J1045" s="49">
        <v>25000</v>
      </c>
      <c r="K1045" s="50">
        <v>67500</v>
      </c>
      <c r="L1045" s="47" t="s">
        <v>32</v>
      </c>
      <c r="M1045" s="51">
        <v>0.1</v>
      </c>
      <c r="N1045" s="48">
        <v>5</v>
      </c>
      <c r="O1045" s="47" t="s">
        <v>73</v>
      </c>
    </row>
    <row r="1046" ht="14.25" customHeight="1" spans="1:15">
      <c r="A1046" s="43" t="s">
        <v>2082</v>
      </c>
      <c r="B1046" s="44">
        <v>46185</v>
      </c>
      <c r="C1046" s="45">
        <v>0.89375</v>
      </c>
      <c r="D1046" s="46">
        <f t="shared" si="0"/>
        <v>21</v>
      </c>
      <c r="E1046" s="47" t="str">
        <f t="shared" si="7"/>
        <v>Friday</v>
      </c>
      <c r="F1046" s="47" t="s">
        <v>16</v>
      </c>
      <c r="G1046" s="47" t="s">
        <v>57</v>
      </c>
      <c r="H1046" s="43" t="s">
        <v>28</v>
      </c>
      <c r="I1046" s="48">
        <v>1</v>
      </c>
      <c r="J1046" s="49">
        <f>K1046/I1046</f>
        <v>18000</v>
      </c>
      <c r="K1046" s="49">
        <v>18000</v>
      </c>
      <c r="L1046" s="47" t="s">
        <v>22</v>
      </c>
      <c r="M1046" s="46">
        <v>0</v>
      </c>
      <c r="N1046" s="48" t="s">
        <v>23</v>
      </c>
      <c r="O1046" s="47" t="s">
        <v>73</v>
      </c>
    </row>
    <row r="1047" ht="14.25" customHeight="1" spans="1:15">
      <c r="A1047" s="43" t="s">
        <v>2083</v>
      </c>
      <c r="B1047" s="44">
        <v>46185</v>
      </c>
      <c r="C1047" s="45">
        <v>0.898611111111111</v>
      </c>
      <c r="D1047" s="46">
        <f t="shared" si="0"/>
        <v>21</v>
      </c>
      <c r="E1047" s="47" t="str">
        <f t="shared" si="7"/>
        <v>Friday</v>
      </c>
      <c r="F1047" s="47" t="s">
        <v>43</v>
      </c>
      <c r="G1047" s="47" t="s">
        <v>81</v>
      </c>
      <c r="H1047" s="43" t="s">
        <v>37</v>
      </c>
      <c r="I1047" s="48">
        <v>2</v>
      </c>
      <c r="J1047" s="49">
        <v>6000</v>
      </c>
      <c r="K1047" s="49">
        <v>12000</v>
      </c>
      <c r="L1047" s="47" t="s">
        <v>32</v>
      </c>
      <c r="M1047" s="46">
        <v>0</v>
      </c>
      <c r="N1047" s="48" t="s">
        <v>23</v>
      </c>
      <c r="O1047" s="47" t="s">
        <v>73</v>
      </c>
    </row>
    <row r="1048" ht="14.25" customHeight="1" spans="1:15">
      <c r="A1048" s="43" t="s">
        <v>2085</v>
      </c>
      <c r="B1048" s="44">
        <v>46185</v>
      </c>
      <c r="C1048" s="45">
        <v>0.938888888888889</v>
      </c>
      <c r="D1048" s="46">
        <f t="shared" si="0"/>
        <v>22</v>
      </c>
      <c r="E1048" s="47" t="str">
        <f t="shared" si="7"/>
        <v>Friday</v>
      </c>
      <c r="F1048" s="47" t="s">
        <v>43</v>
      </c>
      <c r="G1048" s="47" t="s">
        <v>367</v>
      </c>
      <c r="H1048" s="43" t="s">
        <v>109</v>
      </c>
      <c r="I1048" s="48">
        <v>2</v>
      </c>
      <c r="J1048" s="49">
        <v>7000</v>
      </c>
      <c r="K1048" s="50">
        <v>12600</v>
      </c>
      <c r="L1048" s="47" t="s">
        <v>22</v>
      </c>
      <c r="M1048" s="51">
        <v>0.1</v>
      </c>
      <c r="N1048" s="48" t="s">
        <v>23</v>
      </c>
      <c r="O1048" s="47" t="s">
        <v>73</v>
      </c>
    </row>
    <row r="1049" ht="14.25" customHeight="1" spans="1:15">
      <c r="A1049" s="43" t="s">
        <v>2086</v>
      </c>
      <c r="B1049" s="44">
        <v>46185</v>
      </c>
      <c r="C1049" s="45">
        <v>0.952777777777778</v>
      </c>
      <c r="D1049" s="46">
        <f t="shared" si="0"/>
        <v>22</v>
      </c>
      <c r="E1049" s="47" t="str">
        <f t="shared" si="7"/>
        <v>Friday</v>
      </c>
      <c r="F1049" s="47" t="s">
        <v>16</v>
      </c>
      <c r="G1049" s="47" t="s">
        <v>57</v>
      </c>
      <c r="H1049" s="43" t="s">
        <v>28</v>
      </c>
      <c r="I1049" s="48">
        <v>2</v>
      </c>
      <c r="J1049" s="49">
        <v>18000</v>
      </c>
      <c r="K1049" s="50">
        <v>28800</v>
      </c>
      <c r="L1049" s="47" t="s">
        <v>22</v>
      </c>
      <c r="M1049" s="51">
        <v>0.2</v>
      </c>
      <c r="N1049" s="48">
        <v>5</v>
      </c>
      <c r="O1049" s="47" t="s">
        <v>33</v>
      </c>
    </row>
    <row r="1050" ht="14.25" customHeight="1" spans="1:15">
      <c r="A1050" s="43" t="s">
        <v>2088</v>
      </c>
      <c r="B1050" s="44">
        <v>46186</v>
      </c>
      <c r="C1050" s="45">
        <v>0.575694444444444</v>
      </c>
      <c r="D1050" s="46">
        <f t="shared" si="0"/>
        <v>13</v>
      </c>
      <c r="E1050" s="47" t="str">
        <f t="shared" si="7"/>
        <v>Saturday</v>
      </c>
      <c r="F1050" s="47" t="s">
        <v>107</v>
      </c>
      <c r="G1050" s="47" t="s">
        <v>57</v>
      </c>
      <c r="H1050" s="43" t="s">
        <v>28</v>
      </c>
      <c r="I1050" s="48">
        <v>2</v>
      </c>
      <c r="J1050" s="49">
        <v>18000</v>
      </c>
      <c r="K1050" s="49">
        <v>36000</v>
      </c>
      <c r="L1050" s="47" t="s">
        <v>22</v>
      </c>
      <c r="M1050" s="46">
        <v>0</v>
      </c>
      <c r="N1050" s="48" t="s">
        <v>23</v>
      </c>
      <c r="O1050" s="47" t="s">
        <v>40</v>
      </c>
    </row>
    <row r="1051" ht="14.25" customHeight="1" spans="1:15">
      <c r="A1051" s="43" t="s">
        <v>2091</v>
      </c>
      <c r="B1051" s="44">
        <v>46186</v>
      </c>
      <c r="C1051" s="45">
        <v>0.593055555555556</v>
      </c>
      <c r="D1051" s="46">
        <f t="shared" si="0"/>
        <v>14</v>
      </c>
      <c r="E1051" s="47" t="str">
        <f t="shared" si="7"/>
        <v>Saturday</v>
      </c>
      <c r="F1051" s="47" t="s">
        <v>16</v>
      </c>
      <c r="G1051" s="47" t="s">
        <v>27</v>
      </c>
      <c r="H1051" s="43" t="s">
        <v>28</v>
      </c>
      <c r="I1051" s="48">
        <v>1</v>
      </c>
      <c r="J1051" s="49">
        <v>15000</v>
      </c>
      <c r="K1051" s="49">
        <v>15000</v>
      </c>
      <c r="L1051" s="47" t="s">
        <v>22</v>
      </c>
      <c r="M1051" s="46">
        <v>0</v>
      </c>
      <c r="N1051" s="48" t="s">
        <v>23</v>
      </c>
      <c r="O1051" s="47" t="s">
        <v>73</v>
      </c>
    </row>
    <row r="1052" ht="14.25" customHeight="1" spans="1:15">
      <c r="A1052" s="43" t="s">
        <v>2092</v>
      </c>
      <c r="B1052" s="44">
        <v>46186</v>
      </c>
      <c r="C1052" s="45">
        <v>0.613194444444444</v>
      </c>
      <c r="D1052" s="46">
        <f t="shared" si="0"/>
        <v>14</v>
      </c>
      <c r="E1052" s="47" t="str">
        <f t="shared" si="7"/>
        <v>Saturday</v>
      </c>
      <c r="F1052" s="47" t="s">
        <v>16</v>
      </c>
      <c r="G1052" s="43" t="s">
        <v>36</v>
      </c>
      <c r="H1052" s="43" t="s">
        <v>37</v>
      </c>
      <c r="I1052" s="48">
        <v>1</v>
      </c>
      <c r="J1052" s="49">
        <v>3000</v>
      </c>
      <c r="K1052" s="50">
        <v>2700</v>
      </c>
      <c r="L1052" s="47" t="s">
        <v>22</v>
      </c>
      <c r="M1052" s="51">
        <v>0.1</v>
      </c>
      <c r="N1052" s="48">
        <v>4</v>
      </c>
      <c r="O1052" s="47" t="s">
        <v>73</v>
      </c>
    </row>
    <row r="1053" ht="14.25" customHeight="1" spans="1:15">
      <c r="A1053" s="43" t="s">
        <v>2095</v>
      </c>
      <c r="B1053" s="44">
        <v>46186</v>
      </c>
      <c r="C1053" s="45">
        <v>0.776388888888889</v>
      </c>
      <c r="D1053" s="46">
        <f t="shared" si="0"/>
        <v>18</v>
      </c>
      <c r="E1053" s="47" t="str">
        <f t="shared" si="7"/>
        <v>Saturday</v>
      </c>
      <c r="F1053" s="47" t="s">
        <v>107</v>
      </c>
      <c r="G1053" s="47" t="s">
        <v>81</v>
      </c>
      <c r="H1053" s="43" t="s">
        <v>37</v>
      </c>
      <c r="I1053" s="48">
        <v>1</v>
      </c>
      <c r="J1053" s="49">
        <v>6000</v>
      </c>
      <c r="K1053" s="49">
        <v>6000</v>
      </c>
      <c r="L1053" s="47" t="s">
        <v>22</v>
      </c>
      <c r="M1053" s="46">
        <v>0</v>
      </c>
      <c r="N1053" s="48" t="s">
        <v>23</v>
      </c>
      <c r="O1053" s="47" t="s">
        <v>24</v>
      </c>
    </row>
    <row r="1054" ht="14.25" customHeight="1" spans="1:15">
      <c r="A1054" s="43" t="s">
        <v>2096</v>
      </c>
      <c r="B1054" s="44">
        <v>46186</v>
      </c>
      <c r="C1054" s="45">
        <v>0.802777777777778</v>
      </c>
      <c r="D1054" s="46">
        <f t="shared" si="0"/>
        <v>19</v>
      </c>
      <c r="E1054" s="47" t="str">
        <f t="shared" si="7"/>
        <v>Saturday</v>
      </c>
      <c r="F1054" s="47" t="s">
        <v>16</v>
      </c>
      <c r="G1054" s="47" t="s">
        <v>81</v>
      </c>
      <c r="H1054" s="43" t="s">
        <v>37</v>
      </c>
      <c r="I1054" s="48">
        <v>1</v>
      </c>
      <c r="J1054" s="49">
        <v>6000</v>
      </c>
      <c r="K1054" s="49">
        <v>6000</v>
      </c>
      <c r="L1054" s="47" t="s">
        <v>32</v>
      </c>
      <c r="M1054" s="46">
        <v>0</v>
      </c>
      <c r="N1054" s="48">
        <v>4</v>
      </c>
      <c r="O1054" s="47" t="s">
        <v>33</v>
      </c>
    </row>
    <row r="1055" ht="14.25" customHeight="1" spans="1:15">
      <c r="A1055" s="43" t="s">
        <v>2097</v>
      </c>
      <c r="B1055" s="44">
        <v>46186</v>
      </c>
      <c r="C1055" s="45">
        <v>0.853472222222222</v>
      </c>
      <c r="D1055" s="46">
        <f t="shared" si="0"/>
        <v>20</v>
      </c>
      <c r="E1055" s="47" t="str">
        <f t="shared" si="7"/>
        <v>Saturday</v>
      </c>
      <c r="F1055" s="47" t="s">
        <v>16</v>
      </c>
      <c r="G1055" s="43" t="s">
        <v>647</v>
      </c>
      <c r="H1055" s="43" t="s">
        <v>45</v>
      </c>
      <c r="I1055" s="48">
        <v>2</v>
      </c>
      <c r="J1055" s="49">
        <v>4500</v>
      </c>
      <c r="K1055" s="49">
        <v>9000</v>
      </c>
      <c r="L1055" s="47" t="s">
        <v>32</v>
      </c>
      <c r="M1055" s="46">
        <v>0</v>
      </c>
      <c r="N1055" s="48" t="s">
        <v>23</v>
      </c>
      <c r="O1055" s="47" t="s">
        <v>33</v>
      </c>
    </row>
    <row r="1056" ht="14.25" customHeight="1" spans="1:15">
      <c r="A1056" s="43" t="s">
        <v>2098</v>
      </c>
      <c r="B1056" s="44">
        <v>46186</v>
      </c>
      <c r="C1056" s="45">
        <v>0.874305555555556</v>
      </c>
      <c r="D1056" s="46">
        <f t="shared" si="0"/>
        <v>20</v>
      </c>
      <c r="E1056" s="47" t="str">
        <f t="shared" si="7"/>
        <v>Saturday</v>
      </c>
      <c r="F1056" s="47" t="s">
        <v>16</v>
      </c>
      <c r="G1056" s="47" t="s">
        <v>63</v>
      </c>
      <c r="H1056" s="43" t="s">
        <v>18</v>
      </c>
      <c r="I1056" s="48">
        <v>1</v>
      </c>
      <c r="J1056" s="49">
        <v>1500</v>
      </c>
      <c r="K1056" s="49">
        <v>1500</v>
      </c>
      <c r="L1056" s="47" t="s">
        <v>22</v>
      </c>
      <c r="M1056" s="46">
        <v>0</v>
      </c>
      <c r="N1056" s="48" t="s">
        <v>23</v>
      </c>
      <c r="O1056" s="47" t="s">
        <v>24</v>
      </c>
    </row>
    <row r="1057" ht="14.25" customHeight="1" spans="1:15">
      <c r="A1057" s="43" t="s">
        <v>2099</v>
      </c>
      <c r="B1057" s="44">
        <v>46186</v>
      </c>
      <c r="C1057" s="45">
        <v>0.918055555555556</v>
      </c>
      <c r="D1057" s="46">
        <f t="shared" si="0"/>
        <v>22</v>
      </c>
      <c r="E1057" s="47" t="str">
        <f t="shared" si="7"/>
        <v>Saturday</v>
      </c>
      <c r="F1057" s="47" t="s">
        <v>43</v>
      </c>
      <c r="G1057" s="47" t="s">
        <v>146</v>
      </c>
      <c r="H1057" s="43" t="s">
        <v>28</v>
      </c>
      <c r="I1057" s="48">
        <v>2</v>
      </c>
      <c r="J1057" s="49">
        <v>16000</v>
      </c>
      <c r="K1057" s="50">
        <v>25600</v>
      </c>
      <c r="L1057" s="47" t="s">
        <v>22</v>
      </c>
      <c r="M1057" s="51">
        <v>0.2</v>
      </c>
      <c r="N1057" s="48" t="s">
        <v>23</v>
      </c>
      <c r="O1057" s="47" t="s">
        <v>73</v>
      </c>
    </row>
    <row r="1058" ht="14.25" customHeight="1" spans="1:15">
      <c r="A1058" s="43" t="s">
        <v>2101</v>
      </c>
      <c r="B1058" s="44">
        <v>46186</v>
      </c>
      <c r="C1058" s="45">
        <v>0.920833333333333</v>
      </c>
      <c r="D1058" s="46">
        <f t="shared" si="0"/>
        <v>22</v>
      </c>
      <c r="E1058" s="47" t="str">
        <f t="shared" si="7"/>
        <v>Saturday</v>
      </c>
      <c r="F1058" s="47" t="s">
        <v>16</v>
      </c>
      <c r="G1058" s="47" t="s">
        <v>103</v>
      </c>
      <c r="H1058" s="43" t="s">
        <v>37</v>
      </c>
      <c r="I1058" s="48">
        <v>1</v>
      </c>
      <c r="J1058" s="49">
        <v>5000</v>
      </c>
      <c r="K1058" s="49">
        <v>5000</v>
      </c>
      <c r="L1058" s="47" t="s">
        <v>32</v>
      </c>
      <c r="M1058" s="46">
        <v>0</v>
      </c>
      <c r="N1058" s="48">
        <v>4</v>
      </c>
      <c r="O1058" s="47" t="s">
        <v>40</v>
      </c>
    </row>
    <row r="1059" ht="14.25" customHeight="1" spans="1:15">
      <c r="A1059" s="43" t="s">
        <v>2102</v>
      </c>
      <c r="B1059" s="44">
        <v>46186</v>
      </c>
      <c r="C1059" s="45">
        <v>0.926388888888889</v>
      </c>
      <c r="D1059" s="46">
        <f t="shared" si="0"/>
        <v>22</v>
      </c>
      <c r="E1059" s="47" t="str">
        <f t="shared" si="7"/>
        <v>Saturday</v>
      </c>
      <c r="F1059" s="47" t="s">
        <v>16</v>
      </c>
      <c r="G1059" s="47" t="s">
        <v>103</v>
      </c>
      <c r="H1059" s="43" t="s">
        <v>37</v>
      </c>
      <c r="I1059" s="48">
        <v>1</v>
      </c>
      <c r="J1059" s="49">
        <v>5000</v>
      </c>
      <c r="K1059" s="49">
        <v>5000</v>
      </c>
      <c r="L1059" s="47" t="s">
        <v>32</v>
      </c>
      <c r="M1059" s="46">
        <v>0</v>
      </c>
      <c r="N1059" s="48" t="s">
        <v>23</v>
      </c>
      <c r="O1059" s="47" t="s">
        <v>73</v>
      </c>
    </row>
    <row r="1060" ht="14.25" customHeight="1" spans="1:15">
      <c r="A1060" s="43" t="s">
        <v>2104</v>
      </c>
      <c r="B1060" s="44">
        <v>46186</v>
      </c>
      <c r="C1060" s="45">
        <v>0.950694444444444</v>
      </c>
      <c r="D1060" s="46">
        <f t="shared" si="0"/>
        <v>22</v>
      </c>
      <c r="E1060" s="47" t="str">
        <f t="shared" si="7"/>
        <v>Saturday</v>
      </c>
      <c r="F1060" s="47" t="s">
        <v>43</v>
      </c>
      <c r="G1060" s="43" t="s">
        <v>36</v>
      </c>
      <c r="H1060" s="43" t="s">
        <v>37</v>
      </c>
      <c r="I1060" s="48">
        <v>1</v>
      </c>
      <c r="J1060" s="49">
        <v>3000</v>
      </c>
      <c r="K1060" s="50">
        <v>2400</v>
      </c>
      <c r="L1060" s="47" t="s">
        <v>22</v>
      </c>
      <c r="M1060" s="51">
        <v>0.2</v>
      </c>
      <c r="N1060" s="48" t="s">
        <v>23</v>
      </c>
      <c r="O1060" s="47" t="s">
        <v>33</v>
      </c>
    </row>
    <row r="1061" ht="14.25" customHeight="1" spans="1:15">
      <c r="A1061" s="43" t="s">
        <v>2105</v>
      </c>
      <c r="B1061" s="44">
        <v>46187</v>
      </c>
      <c r="C1061" s="45">
        <v>0.460416666666667</v>
      </c>
      <c r="D1061" s="46">
        <f t="shared" si="0"/>
        <v>11</v>
      </c>
      <c r="E1061" s="47" t="str">
        <f t="shared" si="7"/>
        <v>Sunday</v>
      </c>
      <c r="F1061" s="47" t="s">
        <v>16</v>
      </c>
      <c r="G1061" s="47" t="s">
        <v>27</v>
      </c>
      <c r="H1061" s="43" t="s">
        <v>28</v>
      </c>
      <c r="I1061" s="48">
        <v>1</v>
      </c>
      <c r="J1061" s="49">
        <v>15000</v>
      </c>
      <c r="K1061" s="49">
        <v>15000</v>
      </c>
      <c r="L1061" s="47" t="s">
        <v>32</v>
      </c>
      <c r="M1061" s="46">
        <v>0</v>
      </c>
      <c r="N1061" s="48" t="s">
        <v>23</v>
      </c>
      <c r="O1061" s="47" t="s">
        <v>73</v>
      </c>
    </row>
    <row r="1062" ht="14.25" customHeight="1" spans="1:15">
      <c r="A1062" s="43" t="s">
        <v>2108</v>
      </c>
      <c r="B1062" s="44">
        <v>46187</v>
      </c>
      <c r="C1062" s="45">
        <v>0.588194444444444</v>
      </c>
      <c r="D1062" s="46">
        <f t="shared" si="0"/>
        <v>14</v>
      </c>
      <c r="E1062" s="47" t="str">
        <f t="shared" si="7"/>
        <v>Sunday</v>
      </c>
      <c r="F1062" s="47" t="s">
        <v>16</v>
      </c>
      <c r="G1062" s="47" t="s">
        <v>146</v>
      </c>
      <c r="H1062" s="43" t="s">
        <v>28</v>
      </c>
      <c r="I1062" s="48">
        <v>2</v>
      </c>
      <c r="J1062" s="49">
        <v>16000</v>
      </c>
      <c r="K1062" s="49">
        <v>32000</v>
      </c>
      <c r="L1062" s="47" t="s">
        <v>22</v>
      </c>
      <c r="M1062" s="46">
        <v>0</v>
      </c>
      <c r="N1062" s="48">
        <v>4</v>
      </c>
      <c r="O1062" s="47" t="s">
        <v>73</v>
      </c>
    </row>
    <row r="1063" ht="14.25" customHeight="1" spans="1:15">
      <c r="A1063" s="43" t="s">
        <v>2110</v>
      </c>
      <c r="B1063" s="44">
        <v>46187</v>
      </c>
      <c r="C1063" s="45">
        <v>0.850694444444444</v>
      </c>
      <c r="D1063" s="46">
        <f t="shared" si="0"/>
        <v>20</v>
      </c>
      <c r="E1063" s="47" t="str">
        <f t="shared" si="7"/>
        <v>Sunday</v>
      </c>
      <c r="F1063" s="47" t="s">
        <v>16</v>
      </c>
      <c r="G1063" s="43" t="s">
        <v>36</v>
      </c>
      <c r="H1063" s="43" t="s">
        <v>37</v>
      </c>
      <c r="I1063" s="48">
        <v>3</v>
      </c>
      <c r="J1063" s="49">
        <v>3000</v>
      </c>
      <c r="K1063" s="49">
        <v>9000</v>
      </c>
      <c r="L1063" s="47" t="s">
        <v>32</v>
      </c>
      <c r="M1063" s="46">
        <v>0</v>
      </c>
      <c r="N1063" s="48">
        <v>4</v>
      </c>
      <c r="O1063" s="47" t="s">
        <v>24</v>
      </c>
    </row>
    <row r="1064" ht="14.25" customHeight="1" spans="1:15">
      <c r="A1064" s="43" t="s">
        <v>2111</v>
      </c>
      <c r="B1064" s="44">
        <v>46187</v>
      </c>
      <c r="C1064" s="45">
        <v>0.859722222222222</v>
      </c>
      <c r="D1064" s="46">
        <f t="shared" si="0"/>
        <v>20</v>
      </c>
      <c r="E1064" s="47" t="str">
        <f t="shared" si="7"/>
        <v>Sunday</v>
      </c>
      <c r="F1064" s="47" t="s">
        <v>16</v>
      </c>
      <c r="G1064" s="47" t="s">
        <v>146</v>
      </c>
      <c r="H1064" s="43" t="s">
        <v>28</v>
      </c>
      <c r="I1064" s="48">
        <v>1</v>
      </c>
      <c r="J1064" s="49">
        <v>16000</v>
      </c>
      <c r="K1064" s="49">
        <f>I1064*J1064</f>
        <v>16000</v>
      </c>
      <c r="L1064" s="47" t="s">
        <v>32</v>
      </c>
      <c r="M1064" s="46">
        <v>0</v>
      </c>
      <c r="N1064" s="48" t="s">
        <v>23</v>
      </c>
      <c r="O1064" s="47" t="s">
        <v>24</v>
      </c>
    </row>
    <row r="1065" ht="14.25" customHeight="1" spans="1:15">
      <c r="A1065" s="43" t="s">
        <v>2112</v>
      </c>
      <c r="B1065" s="44">
        <v>46187</v>
      </c>
      <c r="C1065" s="45">
        <v>0.871527777777778</v>
      </c>
      <c r="D1065" s="46">
        <f t="shared" si="0"/>
        <v>20</v>
      </c>
      <c r="E1065" s="47" t="str">
        <f t="shared" si="7"/>
        <v>Sunday</v>
      </c>
      <c r="F1065" s="47" t="s">
        <v>16</v>
      </c>
      <c r="G1065" s="47" t="s">
        <v>146</v>
      </c>
      <c r="H1065" s="43" t="s">
        <v>28</v>
      </c>
      <c r="I1065" s="48">
        <v>2</v>
      </c>
      <c r="J1065" s="49">
        <v>16000</v>
      </c>
      <c r="K1065" s="49">
        <v>32000</v>
      </c>
      <c r="L1065" s="47" t="s">
        <v>22</v>
      </c>
      <c r="M1065" s="46">
        <v>0</v>
      </c>
      <c r="N1065" s="48" t="s">
        <v>23</v>
      </c>
      <c r="O1065" s="47" t="s">
        <v>47</v>
      </c>
    </row>
    <row r="1066" ht="14.25" customHeight="1" spans="1:15">
      <c r="A1066" s="43" t="s">
        <v>2113</v>
      </c>
      <c r="B1066" s="44">
        <v>46187</v>
      </c>
      <c r="C1066" s="45">
        <v>0.880555555555556</v>
      </c>
      <c r="D1066" s="46">
        <f t="shared" si="0"/>
        <v>21</v>
      </c>
      <c r="E1066" s="47" t="str">
        <f t="shared" si="7"/>
        <v>Sunday</v>
      </c>
      <c r="F1066" s="47" t="s">
        <v>43</v>
      </c>
      <c r="G1066" s="47" t="s">
        <v>57</v>
      </c>
      <c r="H1066" s="43" t="s">
        <v>28</v>
      </c>
      <c r="I1066" s="48">
        <v>1</v>
      </c>
      <c r="J1066" s="49">
        <v>18000</v>
      </c>
      <c r="K1066" s="49">
        <v>18000</v>
      </c>
      <c r="L1066" s="47" t="s">
        <v>32</v>
      </c>
      <c r="M1066" s="46">
        <v>0</v>
      </c>
      <c r="N1066" s="48">
        <v>4</v>
      </c>
      <c r="O1066" s="47" t="s">
        <v>40</v>
      </c>
    </row>
    <row r="1067" ht="14.25" customHeight="1" spans="1:15">
      <c r="A1067" s="43" t="s">
        <v>2114</v>
      </c>
      <c r="B1067" s="44">
        <v>46187</v>
      </c>
      <c r="C1067" s="45">
        <v>0.897916666666667</v>
      </c>
      <c r="D1067" s="46">
        <f t="shared" si="0"/>
        <v>21</v>
      </c>
      <c r="E1067" s="47" t="str">
        <f t="shared" si="7"/>
        <v>Sunday</v>
      </c>
      <c r="F1067" s="47" t="s">
        <v>107</v>
      </c>
      <c r="G1067" s="47" t="s">
        <v>81</v>
      </c>
      <c r="H1067" s="43" t="s">
        <v>37</v>
      </c>
      <c r="I1067" s="48">
        <v>1</v>
      </c>
      <c r="J1067" s="49">
        <v>6000</v>
      </c>
      <c r="K1067" s="50">
        <v>5100</v>
      </c>
      <c r="L1067" s="47" t="s">
        <v>32</v>
      </c>
      <c r="M1067" s="51">
        <v>0.15</v>
      </c>
      <c r="N1067" s="48" t="s">
        <v>23</v>
      </c>
      <c r="O1067" s="47" t="s">
        <v>40</v>
      </c>
    </row>
    <row r="1068" ht="14.25" customHeight="1" spans="1:15">
      <c r="A1068" s="43" t="s">
        <v>2115</v>
      </c>
      <c r="B1068" s="44">
        <v>46187</v>
      </c>
      <c r="C1068" s="45">
        <v>0.938888888888889</v>
      </c>
      <c r="D1068" s="46">
        <f t="shared" si="0"/>
        <v>22</v>
      </c>
      <c r="E1068" s="47" t="str">
        <f t="shared" si="7"/>
        <v>Sunday</v>
      </c>
      <c r="F1068" s="47" t="s">
        <v>16</v>
      </c>
      <c r="G1068" s="47" t="s">
        <v>63</v>
      </c>
      <c r="H1068" s="43" t="s">
        <v>18</v>
      </c>
      <c r="I1068" s="48">
        <v>1</v>
      </c>
      <c r="J1068" s="49">
        <v>1500</v>
      </c>
      <c r="K1068" s="49">
        <v>1500</v>
      </c>
      <c r="L1068" s="47" t="s">
        <v>32</v>
      </c>
      <c r="M1068" s="46">
        <v>0</v>
      </c>
      <c r="N1068" s="48" t="s">
        <v>23</v>
      </c>
      <c r="O1068" s="47" t="s">
        <v>33</v>
      </c>
    </row>
    <row r="1069" ht="14.25" customHeight="1" spans="1:15">
      <c r="A1069" s="43" t="s">
        <v>2116</v>
      </c>
      <c r="B1069" s="44">
        <v>46187</v>
      </c>
      <c r="C1069" s="45">
        <v>0.952777777777778</v>
      </c>
      <c r="D1069" s="46">
        <f t="shared" si="0"/>
        <v>22</v>
      </c>
      <c r="E1069" s="47" t="str">
        <f t="shared" si="7"/>
        <v>Sunday</v>
      </c>
      <c r="F1069" s="47" t="s">
        <v>16</v>
      </c>
      <c r="G1069" s="47" t="s">
        <v>50</v>
      </c>
      <c r="H1069" s="43" t="s">
        <v>28</v>
      </c>
      <c r="I1069" s="48">
        <v>2</v>
      </c>
      <c r="J1069" s="50">
        <v>25000</v>
      </c>
      <c r="K1069" s="50">
        <v>42500</v>
      </c>
      <c r="L1069" s="47" t="s">
        <v>32</v>
      </c>
      <c r="M1069" s="51">
        <v>0.15</v>
      </c>
      <c r="N1069" s="48" t="s">
        <v>23</v>
      </c>
      <c r="O1069" s="47" t="s">
        <v>24</v>
      </c>
    </row>
    <row r="1070" ht="14.25" customHeight="1" spans="1:15">
      <c r="A1070" s="43" t="s">
        <v>2117</v>
      </c>
      <c r="B1070" s="44">
        <v>46188</v>
      </c>
      <c r="C1070" s="45">
        <v>0.829861111111111</v>
      </c>
      <c r="D1070" s="46">
        <f t="shared" si="0"/>
        <v>19</v>
      </c>
      <c r="E1070" s="47" t="str">
        <f t="shared" si="7"/>
        <v>Monday</v>
      </c>
      <c r="F1070" s="47" t="s">
        <v>43</v>
      </c>
      <c r="G1070" s="47" t="s">
        <v>57</v>
      </c>
      <c r="H1070" s="43" t="s">
        <v>28</v>
      </c>
      <c r="I1070" s="48">
        <v>1</v>
      </c>
      <c r="J1070" s="49">
        <v>18000</v>
      </c>
      <c r="K1070" s="49">
        <v>18000</v>
      </c>
      <c r="L1070" s="47" t="s">
        <v>32</v>
      </c>
      <c r="M1070" s="46">
        <v>0</v>
      </c>
      <c r="N1070" s="48" t="s">
        <v>23</v>
      </c>
      <c r="O1070" s="47" t="s">
        <v>24</v>
      </c>
    </row>
    <row r="1071" ht="14.25" customHeight="1" spans="1:15">
      <c r="A1071" s="43" t="s">
        <v>2119</v>
      </c>
      <c r="B1071" s="44">
        <v>46188</v>
      </c>
      <c r="C1071" s="45">
        <v>0.905555555555556</v>
      </c>
      <c r="D1071" s="46">
        <f t="shared" si="0"/>
        <v>21</v>
      </c>
      <c r="E1071" s="47" t="str">
        <f t="shared" si="7"/>
        <v>Monday</v>
      </c>
      <c r="F1071" s="47" t="s">
        <v>16</v>
      </c>
      <c r="G1071" s="47" t="s">
        <v>17</v>
      </c>
      <c r="H1071" s="43" t="s">
        <v>18</v>
      </c>
      <c r="I1071" s="48">
        <v>1</v>
      </c>
      <c r="J1071" s="49">
        <v>1000</v>
      </c>
      <c r="K1071" s="49">
        <v>1000</v>
      </c>
      <c r="L1071" s="47" t="s">
        <v>32</v>
      </c>
      <c r="M1071" s="46">
        <v>0</v>
      </c>
      <c r="N1071" s="48" t="s">
        <v>23</v>
      </c>
      <c r="O1071" s="47" t="s">
        <v>24</v>
      </c>
    </row>
    <row r="1072" ht="14.25" customHeight="1" spans="1:15">
      <c r="A1072" s="43" t="s">
        <v>2120</v>
      </c>
      <c r="B1072" s="44">
        <v>46188</v>
      </c>
      <c r="C1072" s="45">
        <v>0.906944444444444</v>
      </c>
      <c r="D1072" s="46">
        <f t="shared" si="0"/>
        <v>21</v>
      </c>
      <c r="E1072" s="47" t="str">
        <f t="shared" si="7"/>
        <v>Monday</v>
      </c>
      <c r="F1072" s="47" t="s">
        <v>16</v>
      </c>
      <c r="G1072" s="47" t="s">
        <v>63</v>
      </c>
      <c r="H1072" s="43" t="s">
        <v>18</v>
      </c>
      <c r="I1072" s="48">
        <v>1</v>
      </c>
      <c r="J1072" s="49">
        <v>1500</v>
      </c>
      <c r="K1072" s="49">
        <v>1500</v>
      </c>
      <c r="L1072" s="47" t="s">
        <v>32</v>
      </c>
      <c r="M1072" s="46">
        <v>0</v>
      </c>
      <c r="N1072" s="48" t="s">
        <v>23</v>
      </c>
      <c r="O1072" s="47" t="s">
        <v>47</v>
      </c>
    </row>
    <row r="1073" ht="14.25" customHeight="1" spans="1:15">
      <c r="A1073" s="43" t="s">
        <v>2122</v>
      </c>
      <c r="B1073" s="44">
        <v>46188</v>
      </c>
      <c r="C1073" s="45">
        <v>0.918055555555556</v>
      </c>
      <c r="D1073" s="46">
        <f t="shared" si="0"/>
        <v>22</v>
      </c>
      <c r="E1073" s="47" t="str">
        <f t="shared" si="7"/>
        <v>Monday</v>
      </c>
      <c r="F1073" s="47" t="s">
        <v>16</v>
      </c>
      <c r="G1073" s="43" t="s">
        <v>36</v>
      </c>
      <c r="H1073" s="43" t="s">
        <v>37</v>
      </c>
      <c r="I1073" s="48">
        <v>1</v>
      </c>
      <c r="J1073" s="49">
        <v>3000</v>
      </c>
      <c r="K1073" s="49">
        <f>I1073*J1073</f>
        <v>3000</v>
      </c>
      <c r="L1073" s="47" t="s">
        <v>22</v>
      </c>
      <c r="M1073" s="46">
        <v>0</v>
      </c>
      <c r="N1073" s="48">
        <v>4</v>
      </c>
      <c r="O1073" s="47" t="s">
        <v>47</v>
      </c>
    </row>
    <row r="1074" ht="14.25" customHeight="1" spans="1:15">
      <c r="A1074" s="43" t="s">
        <v>2124</v>
      </c>
      <c r="B1074" s="44">
        <v>46188</v>
      </c>
      <c r="C1074" s="45">
        <v>0.931944444444444</v>
      </c>
      <c r="D1074" s="46">
        <f t="shared" si="0"/>
        <v>22</v>
      </c>
      <c r="E1074" s="47" t="str">
        <f t="shared" si="7"/>
        <v>Monday</v>
      </c>
      <c r="F1074" s="47" t="s">
        <v>16</v>
      </c>
      <c r="G1074" s="47" t="s">
        <v>63</v>
      </c>
      <c r="H1074" s="43" t="s">
        <v>18</v>
      </c>
      <c r="I1074" s="48">
        <v>1</v>
      </c>
      <c r="J1074" s="49">
        <v>1500</v>
      </c>
      <c r="K1074" s="49">
        <v>1500</v>
      </c>
      <c r="L1074" s="47" t="s">
        <v>22</v>
      </c>
      <c r="M1074" s="46">
        <v>0</v>
      </c>
      <c r="N1074" s="48" t="s">
        <v>23</v>
      </c>
      <c r="O1074" s="47" t="s">
        <v>73</v>
      </c>
    </row>
    <row r="1075" ht="14.25" customHeight="1" spans="1:15">
      <c r="A1075" s="43" t="s">
        <v>2125</v>
      </c>
      <c r="B1075" s="44">
        <v>46188</v>
      </c>
      <c r="C1075" s="45">
        <v>0.997916666666667</v>
      </c>
      <c r="D1075" s="46">
        <f t="shared" si="0"/>
        <v>23</v>
      </c>
      <c r="E1075" s="47" t="str">
        <f t="shared" si="7"/>
        <v>Monday</v>
      </c>
      <c r="F1075" s="47" t="s">
        <v>43</v>
      </c>
      <c r="G1075" s="47" t="s">
        <v>81</v>
      </c>
      <c r="H1075" s="43" t="s">
        <v>37</v>
      </c>
      <c r="I1075" s="48">
        <v>3</v>
      </c>
      <c r="J1075" s="49">
        <v>6000</v>
      </c>
      <c r="K1075" s="49">
        <v>18000</v>
      </c>
      <c r="L1075" s="47" t="s">
        <v>22</v>
      </c>
      <c r="M1075" s="46">
        <v>0</v>
      </c>
      <c r="N1075" s="48" t="s">
        <v>23</v>
      </c>
      <c r="O1075" s="47" t="s">
        <v>47</v>
      </c>
    </row>
    <row r="1076" ht="14.25" customHeight="1" spans="1:15">
      <c r="A1076" s="43" t="s">
        <v>2126</v>
      </c>
      <c r="B1076" s="44">
        <v>46189</v>
      </c>
      <c r="C1076" s="45">
        <v>0.74375</v>
      </c>
      <c r="D1076" s="46">
        <f t="shared" si="0"/>
        <v>17</v>
      </c>
      <c r="E1076" s="47" t="str">
        <f t="shared" si="7"/>
        <v>Tuesday</v>
      </c>
      <c r="F1076" s="47" t="s">
        <v>43</v>
      </c>
      <c r="G1076" s="47" t="s">
        <v>44</v>
      </c>
      <c r="H1076" s="43" t="s">
        <v>45</v>
      </c>
      <c r="I1076" s="48">
        <v>2</v>
      </c>
      <c r="J1076" s="49">
        <v>4000</v>
      </c>
      <c r="K1076" s="49">
        <v>8000</v>
      </c>
      <c r="L1076" s="47" t="s">
        <v>22</v>
      </c>
      <c r="M1076" s="46">
        <v>0</v>
      </c>
      <c r="N1076" s="48" t="s">
        <v>23</v>
      </c>
      <c r="O1076" s="47" t="s">
        <v>47</v>
      </c>
    </row>
    <row r="1077" ht="14.25" customHeight="1" spans="1:15">
      <c r="A1077" s="43" t="s">
        <v>2129</v>
      </c>
      <c r="B1077" s="44">
        <v>46189</v>
      </c>
      <c r="C1077" s="45">
        <v>0.988194444444444</v>
      </c>
      <c r="D1077" s="46">
        <f t="shared" si="0"/>
        <v>23</v>
      </c>
      <c r="E1077" s="47" t="str">
        <f t="shared" si="7"/>
        <v>Tuesday</v>
      </c>
      <c r="F1077" s="47" t="s">
        <v>43</v>
      </c>
      <c r="G1077" s="47" t="s">
        <v>367</v>
      </c>
      <c r="H1077" s="43" t="s">
        <v>109</v>
      </c>
      <c r="I1077" s="48">
        <v>1</v>
      </c>
      <c r="J1077" s="49">
        <v>7000</v>
      </c>
      <c r="K1077" s="49">
        <v>7000</v>
      </c>
      <c r="L1077" s="47" t="s">
        <v>32</v>
      </c>
      <c r="M1077" s="46">
        <v>0</v>
      </c>
      <c r="N1077" s="48" t="s">
        <v>23</v>
      </c>
      <c r="O1077" s="47" t="s">
        <v>33</v>
      </c>
    </row>
    <row r="1078" ht="14.25" customHeight="1" spans="1:15">
      <c r="A1078" s="43" t="s">
        <v>2131</v>
      </c>
      <c r="B1078" s="44">
        <v>46190</v>
      </c>
      <c r="C1078" s="45">
        <v>0.579861111111111</v>
      </c>
      <c r="D1078" s="46">
        <f t="shared" si="0"/>
        <v>13</v>
      </c>
      <c r="E1078" s="47" t="str">
        <f t="shared" si="7"/>
        <v>Wednesday</v>
      </c>
      <c r="F1078" s="47" t="s">
        <v>107</v>
      </c>
      <c r="G1078" s="47" t="s">
        <v>367</v>
      </c>
      <c r="H1078" s="43" t="s">
        <v>109</v>
      </c>
      <c r="I1078" s="48">
        <v>1</v>
      </c>
      <c r="J1078" s="49">
        <v>7000</v>
      </c>
      <c r="K1078" s="49">
        <v>7000</v>
      </c>
      <c r="L1078" s="47" t="s">
        <v>32</v>
      </c>
      <c r="M1078" s="46">
        <v>0</v>
      </c>
      <c r="N1078" s="48" t="s">
        <v>23</v>
      </c>
      <c r="O1078" s="47" t="s">
        <v>24</v>
      </c>
    </row>
    <row r="1079" ht="14.25" customHeight="1" spans="1:15">
      <c r="A1079" s="43" t="s">
        <v>2134</v>
      </c>
      <c r="B1079" s="44">
        <v>46190</v>
      </c>
      <c r="C1079" s="45">
        <v>0.664583333333333</v>
      </c>
      <c r="D1079" s="46">
        <f t="shared" si="0"/>
        <v>15</v>
      </c>
      <c r="E1079" s="47" t="str">
        <f t="shared" si="7"/>
        <v>Wednesday</v>
      </c>
      <c r="F1079" s="47" t="s">
        <v>16</v>
      </c>
      <c r="G1079" s="47" t="s">
        <v>44</v>
      </c>
      <c r="H1079" s="43" t="s">
        <v>45</v>
      </c>
      <c r="I1079" s="48">
        <v>1</v>
      </c>
      <c r="J1079" s="49">
        <v>4000</v>
      </c>
      <c r="K1079" s="49">
        <v>4000</v>
      </c>
      <c r="L1079" s="47" t="s">
        <v>32</v>
      </c>
      <c r="M1079" s="46">
        <v>0</v>
      </c>
      <c r="N1079" s="48">
        <v>4</v>
      </c>
      <c r="O1079" s="47" t="s">
        <v>40</v>
      </c>
    </row>
    <row r="1080" ht="14.25" customHeight="1" spans="1:15">
      <c r="A1080" s="43" t="s">
        <v>2136</v>
      </c>
      <c r="B1080" s="44">
        <v>46190</v>
      </c>
      <c r="C1080" s="45">
        <v>0.797916666666667</v>
      </c>
      <c r="D1080" s="46">
        <f t="shared" si="0"/>
        <v>19</v>
      </c>
      <c r="E1080" s="47" t="str">
        <f t="shared" si="7"/>
        <v>Wednesday</v>
      </c>
      <c r="F1080" s="47" t="s">
        <v>107</v>
      </c>
      <c r="G1080" s="47" t="s">
        <v>50</v>
      </c>
      <c r="H1080" s="43" t="s">
        <v>28</v>
      </c>
      <c r="I1080" s="48">
        <v>1</v>
      </c>
      <c r="J1080" s="49">
        <v>25000</v>
      </c>
      <c r="K1080" s="49">
        <v>25000</v>
      </c>
      <c r="L1080" s="47" t="s">
        <v>32</v>
      </c>
      <c r="M1080" s="46">
        <v>0</v>
      </c>
      <c r="N1080" s="48" t="s">
        <v>23</v>
      </c>
      <c r="O1080" s="47" t="s">
        <v>47</v>
      </c>
    </row>
    <row r="1081" ht="14.25" customHeight="1" spans="1:15">
      <c r="A1081" s="43" t="s">
        <v>2137</v>
      </c>
      <c r="B1081" s="44">
        <v>46190</v>
      </c>
      <c r="C1081" s="45">
        <v>0.891666666666667</v>
      </c>
      <c r="D1081" s="46">
        <f t="shared" si="0"/>
        <v>21</v>
      </c>
      <c r="E1081" s="47" t="str">
        <f t="shared" si="7"/>
        <v>Wednesday</v>
      </c>
      <c r="F1081" s="47" t="s">
        <v>16</v>
      </c>
      <c r="G1081" s="43" t="s">
        <v>199</v>
      </c>
      <c r="H1081" s="43" t="s">
        <v>18</v>
      </c>
      <c r="I1081" s="48">
        <v>1</v>
      </c>
      <c r="J1081" s="49">
        <v>3000</v>
      </c>
      <c r="K1081" s="49">
        <v>3000</v>
      </c>
      <c r="L1081" s="47" t="s">
        <v>22</v>
      </c>
      <c r="M1081" s="46">
        <v>0</v>
      </c>
      <c r="N1081" s="48">
        <v>5</v>
      </c>
      <c r="O1081" s="47" t="s">
        <v>24</v>
      </c>
    </row>
    <row r="1082" ht="14.25" customHeight="1" spans="1:15">
      <c r="A1082" s="43" t="s">
        <v>2138</v>
      </c>
      <c r="B1082" s="44">
        <v>46190</v>
      </c>
      <c r="C1082" s="45">
        <v>0.9125</v>
      </c>
      <c r="D1082" s="46">
        <f t="shared" si="0"/>
        <v>21</v>
      </c>
      <c r="E1082" s="47" t="str">
        <f t="shared" si="7"/>
        <v>Wednesday</v>
      </c>
      <c r="F1082" s="47" t="s">
        <v>16</v>
      </c>
      <c r="G1082" s="43" t="s">
        <v>36</v>
      </c>
      <c r="H1082" s="43" t="s">
        <v>37</v>
      </c>
      <c r="I1082" s="48">
        <v>1</v>
      </c>
      <c r="J1082" s="49">
        <v>3000</v>
      </c>
      <c r="K1082" s="49">
        <v>3000</v>
      </c>
      <c r="L1082" s="47" t="s">
        <v>22</v>
      </c>
      <c r="M1082" s="46">
        <v>0</v>
      </c>
      <c r="N1082" s="48" t="s">
        <v>23</v>
      </c>
      <c r="O1082" s="47" t="s">
        <v>40</v>
      </c>
    </row>
    <row r="1083" ht="14.25" customHeight="1" spans="1:15">
      <c r="A1083" s="43" t="s">
        <v>2139</v>
      </c>
      <c r="B1083" s="44">
        <v>46190</v>
      </c>
      <c r="C1083" s="45">
        <v>0.932638888888889</v>
      </c>
      <c r="D1083" s="46">
        <f t="shared" si="0"/>
        <v>22</v>
      </c>
      <c r="E1083" s="47" t="str">
        <f t="shared" si="7"/>
        <v>Wednesday</v>
      </c>
      <c r="F1083" s="47" t="s">
        <v>43</v>
      </c>
      <c r="G1083" s="47" t="s">
        <v>63</v>
      </c>
      <c r="H1083" s="43" t="s">
        <v>18</v>
      </c>
      <c r="I1083" s="48">
        <v>1</v>
      </c>
      <c r="J1083" s="49">
        <v>1500</v>
      </c>
      <c r="K1083" s="49">
        <v>1500</v>
      </c>
      <c r="L1083" s="47" t="s">
        <v>22</v>
      </c>
      <c r="M1083" s="46">
        <v>0</v>
      </c>
      <c r="N1083" s="48" t="s">
        <v>23</v>
      </c>
      <c r="O1083" s="47" t="s">
        <v>33</v>
      </c>
    </row>
    <row r="1084" ht="14.25" customHeight="1" spans="1:15">
      <c r="A1084" s="43" t="s">
        <v>2140</v>
      </c>
      <c r="B1084" s="44">
        <v>46190</v>
      </c>
      <c r="C1084" s="45">
        <v>0.969444444444444</v>
      </c>
      <c r="D1084" s="46">
        <f t="shared" si="0"/>
        <v>23</v>
      </c>
      <c r="E1084" s="47" t="str">
        <f t="shared" si="7"/>
        <v>Wednesday</v>
      </c>
      <c r="F1084" s="47" t="s">
        <v>43</v>
      </c>
      <c r="G1084" s="47" t="s">
        <v>103</v>
      </c>
      <c r="H1084" s="43" t="s">
        <v>37</v>
      </c>
      <c r="I1084" s="48">
        <v>1</v>
      </c>
      <c r="J1084" s="49">
        <v>5000</v>
      </c>
      <c r="K1084" s="49">
        <v>5000</v>
      </c>
      <c r="L1084" s="47" t="s">
        <v>22</v>
      </c>
      <c r="M1084" s="46">
        <v>0</v>
      </c>
      <c r="N1084" s="48" t="s">
        <v>23</v>
      </c>
      <c r="O1084" s="47" t="s">
        <v>73</v>
      </c>
    </row>
    <row r="1085" ht="14.25" customHeight="1" spans="1:15">
      <c r="A1085" s="43" t="s">
        <v>2142</v>
      </c>
      <c r="B1085" s="44">
        <v>46191</v>
      </c>
      <c r="C1085" s="45">
        <v>0.592361111111111</v>
      </c>
      <c r="D1085" s="46">
        <f t="shared" si="0"/>
        <v>14</v>
      </c>
      <c r="E1085" s="47" t="str">
        <f t="shared" si="7"/>
        <v>Thursday</v>
      </c>
      <c r="F1085" s="47" t="s">
        <v>107</v>
      </c>
      <c r="G1085" s="47" t="s">
        <v>44</v>
      </c>
      <c r="H1085" s="43" t="s">
        <v>45</v>
      </c>
      <c r="I1085" s="48">
        <v>2</v>
      </c>
      <c r="J1085" s="49">
        <v>4000</v>
      </c>
      <c r="K1085" s="49">
        <v>8000</v>
      </c>
      <c r="L1085" s="47" t="s">
        <v>22</v>
      </c>
      <c r="M1085" s="46">
        <v>0</v>
      </c>
      <c r="N1085" s="48" t="s">
        <v>23</v>
      </c>
      <c r="O1085" s="47" t="s">
        <v>40</v>
      </c>
    </row>
    <row r="1086" ht="14.25" customHeight="1" spans="1:15">
      <c r="A1086" s="43" t="s">
        <v>2144</v>
      </c>
      <c r="B1086" s="44">
        <v>46191</v>
      </c>
      <c r="C1086" s="45">
        <v>0.597222222222222</v>
      </c>
      <c r="D1086" s="46">
        <f t="shared" si="0"/>
        <v>14</v>
      </c>
      <c r="E1086" s="47" t="str">
        <f t="shared" si="7"/>
        <v>Thursday</v>
      </c>
      <c r="F1086" s="47" t="s">
        <v>107</v>
      </c>
      <c r="G1086" s="47" t="s">
        <v>17</v>
      </c>
      <c r="H1086" s="43" t="s">
        <v>18</v>
      </c>
      <c r="I1086" s="48">
        <v>1</v>
      </c>
      <c r="J1086" s="49">
        <v>1000</v>
      </c>
      <c r="K1086" s="49">
        <v>1000</v>
      </c>
      <c r="L1086" s="47" t="s">
        <v>22</v>
      </c>
      <c r="M1086" s="46">
        <v>0</v>
      </c>
      <c r="N1086" s="48">
        <v>3</v>
      </c>
      <c r="O1086" s="47" t="s">
        <v>73</v>
      </c>
    </row>
    <row r="1087" ht="14.25" customHeight="1" spans="1:15">
      <c r="A1087" s="43" t="s">
        <v>2146</v>
      </c>
      <c r="B1087" s="44">
        <v>46191</v>
      </c>
      <c r="C1087" s="45">
        <v>0.774305555555556</v>
      </c>
      <c r="D1087" s="46">
        <f t="shared" si="0"/>
        <v>18</v>
      </c>
      <c r="E1087" s="47" t="str">
        <f t="shared" si="7"/>
        <v>Thursday</v>
      </c>
      <c r="F1087" s="47" t="s">
        <v>43</v>
      </c>
      <c r="G1087" s="47" t="s">
        <v>103</v>
      </c>
      <c r="H1087" s="43" t="s">
        <v>37</v>
      </c>
      <c r="I1087" s="48">
        <v>1</v>
      </c>
      <c r="J1087" s="49">
        <v>5000</v>
      </c>
      <c r="K1087" s="50">
        <v>4500</v>
      </c>
      <c r="L1087" s="47" t="s">
        <v>22</v>
      </c>
      <c r="M1087" s="51">
        <v>0.1</v>
      </c>
      <c r="N1087" s="48" t="s">
        <v>23</v>
      </c>
      <c r="O1087" s="47" t="s">
        <v>24</v>
      </c>
    </row>
    <row r="1088" ht="14.25" customHeight="1" spans="1:15">
      <c r="A1088" s="43" t="s">
        <v>2147</v>
      </c>
      <c r="B1088" s="44">
        <v>46191</v>
      </c>
      <c r="C1088" s="45">
        <v>0.796527777777778</v>
      </c>
      <c r="D1088" s="46">
        <f t="shared" si="0"/>
        <v>19</v>
      </c>
      <c r="E1088" s="47" t="str">
        <f t="shared" si="7"/>
        <v>Thursday</v>
      </c>
      <c r="F1088" s="47" t="s">
        <v>43</v>
      </c>
      <c r="G1088" s="47" t="s">
        <v>146</v>
      </c>
      <c r="H1088" s="43" t="s">
        <v>28</v>
      </c>
      <c r="I1088" s="48">
        <v>1</v>
      </c>
      <c r="J1088" s="49">
        <v>16000</v>
      </c>
      <c r="K1088" s="50">
        <v>13600</v>
      </c>
      <c r="L1088" s="47" t="s">
        <v>32</v>
      </c>
      <c r="M1088" s="51">
        <v>0.15</v>
      </c>
      <c r="N1088" s="48" t="s">
        <v>23</v>
      </c>
      <c r="O1088" s="47" t="s">
        <v>40</v>
      </c>
    </row>
    <row r="1089" ht="14.25" customHeight="1" spans="1:15">
      <c r="A1089" s="43" t="s">
        <v>2149</v>
      </c>
      <c r="B1089" s="44">
        <v>46191</v>
      </c>
      <c r="C1089" s="45">
        <v>0.825694444444444</v>
      </c>
      <c r="D1089" s="46">
        <f t="shared" si="0"/>
        <v>19</v>
      </c>
      <c r="E1089" s="47" t="str">
        <f t="shared" si="7"/>
        <v>Thursday</v>
      </c>
      <c r="F1089" s="47" t="s">
        <v>43</v>
      </c>
      <c r="G1089" s="47" t="s">
        <v>103</v>
      </c>
      <c r="H1089" s="43" t="s">
        <v>37</v>
      </c>
      <c r="I1089" s="48">
        <v>2</v>
      </c>
      <c r="J1089" s="49">
        <v>5000</v>
      </c>
      <c r="K1089" s="50">
        <v>8500</v>
      </c>
      <c r="L1089" s="47" t="s">
        <v>32</v>
      </c>
      <c r="M1089" s="51">
        <v>0.15</v>
      </c>
      <c r="N1089" s="48" t="s">
        <v>23</v>
      </c>
      <c r="O1089" s="47" t="s">
        <v>73</v>
      </c>
    </row>
    <row r="1090" ht="14.25" customHeight="1" spans="1:15">
      <c r="A1090" s="43" t="s">
        <v>2150</v>
      </c>
      <c r="B1090" s="44">
        <v>46191</v>
      </c>
      <c r="C1090" s="45">
        <v>0.897222222222222</v>
      </c>
      <c r="D1090" s="46">
        <f t="shared" si="0"/>
        <v>21</v>
      </c>
      <c r="E1090" s="47" t="str">
        <f t="shared" si="7"/>
        <v>Thursday</v>
      </c>
      <c r="F1090" s="47" t="s">
        <v>107</v>
      </c>
      <c r="G1090" s="47" t="s">
        <v>17</v>
      </c>
      <c r="H1090" s="47" t="s">
        <v>18</v>
      </c>
      <c r="I1090" s="48">
        <v>1</v>
      </c>
      <c r="J1090" s="49">
        <v>1000</v>
      </c>
      <c r="K1090" s="49">
        <v>1000</v>
      </c>
      <c r="L1090" s="47" t="s">
        <v>32</v>
      </c>
      <c r="M1090" s="46">
        <v>0</v>
      </c>
      <c r="N1090" s="48" t="s">
        <v>23</v>
      </c>
      <c r="O1090" s="47" t="s">
        <v>24</v>
      </c>
    </row>
    <row r="1091" ht="14.25" customHeight="1" spans="1:15">
      <c r="A1091" s="43" t="s">
        <v>2152</v>
      </c>
      <c r="B1091" s="44">
        <v>46191</v>
      </c>
      <c r="C1091" s="45">
        <v>0.927777777777778</v>
      </c>
      <c r="D1091" s="46">
        <f t="shared" si="0"/>
        <v>22</v>
      </c>
      <c r="E1091" s="47" t="str">
        <f t="shared" si="7"/>
        <v>Thursday</v>
      </c>
      <c r="F1091" s="47" t="s">
        <v>107</v>
      </c>
      <c r="G1091" s="47" t="s">
        <v>50</v>
      </c>
      <c r="H1091" s="43" t="s">
        <v>28</v>
      </c>
      <c r="I1091" s="48">
        <v>1</v>
      </c>
      <c r="J1091" s="49">
        <v>25000</v>
      </c>
      <c r="K1091" s="50">
        <v>21250</v>
      </c>
      <c r="L1091" s="47" t="s">
        <v>22</v>
      </c>
      <c r="M1091" s="51">
        <v>0.15</v>
      </c>
      <c r="N1091" s="48">
        <v>4</v>
      </c>
      <c r="O1091" s="47" t="s">
        <v>73</v>
      </c>
    </row>
    <row r="1092" ht="14.25" customHeight="1" spans="1:15">
      <c r="A1092" s="43" t="s">
        <v>2153</v>
      </c>
      <c r="B1092" s="44">
        <v>46191</v>
      </c>
      <c r="C1092" s="45">
        <v>0.928472222222222</v>
      </c>
      <c r="D1092" s="46">
        <f t="shared" si="0"/>
        <v>22</v>
      </c>
      <c r="E1092" s="47" t="str">
        <f t="shared" si="7"/>
        <v>Thursday</v>
      </c>
      <c r="F1092" s="47" t="s">
        <v>16</v>
      </c>
      <c r="G1092" s="47" t="s">
        <v>103</v>
      </c>
      <c r="H1092" s="43" t="s">
        <v>37</v>
      </c>
      <c r="I1092" s="48">
        <v>1</v>
      </c>
      <c r="J1092" s="49">
        <v>5000</v>
      </c>
      <c r="K1092" s="49">
        <v>5000</v>
      </c>
      <c r="L1092" s="47" t="s">
        <v>22</v>
      </c>
      <c r="M1092" s="46">
        <v>0</v>
      </c>
      <c r="N1092" s="48" t="s">
        <v>23</v>
      </c>
      <c r="O1092" s="47" t="s">
        <v>24</v>
      </c>
    </row>
    <row r="1093" ht="14.25" customHeight="1" spans="1:15">
      <c r="A1093" s="43" t="s">
        <v>2154</v>
      </c>
      <c r="B1093" s="44">
        <v>46192</v>
      </c>
      <c r="C1093" s="45">
        <v>0.503472222222222</v>
      </c>
      <c r="D1093" s="46">
        <f t="shared" si="0"/>
        <v>12</v>
      </c>
      <c r="E1093" s="47" t="str">
        <f t="shared" si="7"/>
        <v>Friday</v>
      </c>
      <c r="F1093" s="47" t="s">
        <v>16</v>
      </c>
      <c r="G1093" s="43" t="s">
        <v>36</v>
      </c>
      <c r="H1093" s="43" t="s">
        <v>37</v>
      </c>
      <c r="I1093" s="48">
        <v>3</v>
      </c>
      <c r="J1093" s="49">
        <v>3000</v>
      </c>
      <c r="K1093" s="50">
        <v>7650</v>
      </c>
      <c r="L1093" s="47" t="s">
        <v>32</v>
      </c>
      <c r="M1093" s="51">
        <v>0.15</v>
      </c>
      <c r="N1093" s="48">
        <v>4</v>
      </c>
      <c r="O1093" s="47" t="s">
        <v>24</v>
      </c>
    </row>
    <row r="1094" ht="14.25" customHeight="1" spans="1:15">
      <c r="A1094" s="43" t="s">
        <v>2157</v>
      </c>
      <c r="B1094" s="44">
        <v>46192</v>
      </c>
      <c r="C1094" s="45">
        <v>0.591666666666667</v>
      </c>
      <c r="D1094" s="46">
        <f t="shared" si="0"/>
        <v>14</v>
      </c>
      <c r="E1094" s="47" t="str">
        <f t="shared" si="7"/>
        <v>Friday</v>
      </c>
      <c r="F1094" s="47" t="s">
        <v>16</v>
      </c>
      <c r="G1094" s="47" t="s">
        <v>63</v>
      </c>
      <c r="H1094" s="43" t="s">
        <v>18</v>
      </c>
      <c r="I1094" s="48">
        <v>1</v>
      </c>
      <c r="J1094" s="49">
        <v>1500</v>
      </c>
      <c r="K1094" s="49">
        <v>1500</v>
      </c>
      <c r="L1094" s="47" t="s">
        <v>22</v>
      </c>
      <c r="M1094" s="46">
        <v>0</v>
      </c>
      <c r="N1094" s="48">
        <v>3</v>
      </c>
      <c r="O1094" s="47" t="s">
        <v>40</v>
      </c>
    </row>
    <row r="1095" ht="14.25" customHeight="1" spans="1:15">
      <c r="A1095" s="43" t="s">
        <v>2158</v>
      </c>
      <c r="B1095" s="44">
        <v>46192</v>
      </c>
      <c r="C1095" s="45">
        <v>0.616666666666667</v>
      </c>
      <c r="D1095" s="46">
        <f t="shared" si="0"/>
        <v>14</v>
      </c>
      <c r="E1095" s="47" t="str">
        <f t="shared" si="7"/>
        <v>Friday</v>
      </c>
      <c r="F1095" s="47" t="s">
        <v>43</v>
      </c>
      <c r="G1095" s="47" t="s">
        <v>44</v>
      </c>
      <c r="H1095" s="43" t="s">
        <v>45</v>
      </c>
      <c r="I1095" s="48">
        <v>1</v>
      </c>
      <c r="J1095" s="49">
        <v>4000</v>
      </c>
      <c r="K1095" s="49">
        <v>4000</v>
      </c>
      <c r="L1095" s="47" t="s">
        <v>22</v>
      </c>
      <c r="M1095" s="46">
        <v>0</v>
      </c>
      <c r="N1095" s="48">
        <v>5</v>
      </c>
      <c r="O1095" s="47" t="s">
        <v>47</v>
      </c>
    </row>
    <row r="1096" ht="14.25" customHeight="1" spans="1:15">
      <c r="A1096" s="43" t="s">
        <v>2159</v>
      </c>
      <c r="B1096" s="44">
        <v>46192</v>
      </c>
      <c r="C1096" s="45">
        <v>0.652777777777778</v>
      </c>
      <c r="D1096" s="46">
        <f t="shared" si="0"/>
        <v>15</v>
      </c>
      <c r="E1096" s="47" t="str">
        <f t="shared" si="7"/>
        <v>Friday</v>
      </c>
      <c r="F1096" s="47" t="s">
        <v>107</v>
      </c>
      <c r="G1096" s="47" t="s">
        <v>50</v>
      </c>
      <c r="H1096" s="43" t="s">
        <v>28</v>
      </c>
      <c r="I1096" s="48">
        <v>1</v>
      </c>
      <c r="J1096" s="49">
        <v>25000</v>
      </c>
      <c r="K1096" s="49">
        <v>25000</v>
      </c>
      <c r="L1096" s="47" t="s">
        <v>32</v>
      </c>
      <c r="M1096" s="46">
        <v>0</v>
      </c>
      <c r="N1096" s="48" t="s">
        <v>23</v>
      </c>
      <c r="O1096" s="47" t="s">
        <v>47</v>
      </c>
    </row>
    <row r="1097" ht="14.25" customHeight="1" spans="1:15">
      <c r="A1097" s="43" t="s">
        <v>2161</v>
      </c>
      <c r="B1097" s="44">
        <v>46192</v>
      </c>
      <c r="C1097" s="45">
        <v>0.676388888888889</v>
      </c>
      <c r="D1097" s="46">
        <f t="shared" si="0"/>
        <v>16</v>
      </c>
      <c r="E1097" s="47" t="str">
        <f t="shared" si="7"/>
        <v>Friday</v>
      </c>
      <c r="F1097" s="47" t="s">
        <v>107</v>
      </c>
      <c r="G1097" s="47" t="s">
        <v>44</v>
      </c>
      <c r="H1097" s="47" t="s">
        <v>45</v>
      </c>
      <c r="I1097" s="48">
        <v>1</v>
      </c>
      <c r="J1097" s="49">
        <v>4000</v>
      </c>
      <c r="K1097" s="49">
        <v>4000</v>
      </c>
      <c r="L1097" s="47" t="s">
        <v>32</v>
      </c>
      <c r="M1097" s="46">
        <v>0</v>
      </c>
      <c r="N1097" s="48">
        <v>4</v>
      </c>
      <c r="O1097" s="47" t="s">
        <v>24</v>
      </c>
    </row>
    <row r="1098" ht="14.25" customHeight="1" spans="1:15">
      <c r="A1098" s="43" t="s">
        <v>2163</v>
      </c>
      <c r="B1098" s="44">
        <v>46192</v>
      </c>
      <c r="C1098" s="45">
        <v>0.796527777777778</v>
      </c>
      <c r="D1098" s="46">
        <f t="shared" si="0"/>
        <v>19</v>
      </c>
      <c r="E1098" s="47" t="str">
        <f t="shared" si="7"/>
        <v>Friday</v>
      </c>
      <c r="F1098" s="47" t="s">
        <v>107</v>
      </c>
      <c r="G1098" s="47" t="s">
        <v>146</v>
      </c>
      <c r="H1098" s="43" t="s">
        <v>28</v>
      </c>
      <c r="I1098" s="48">
        <v>1</v>
      </c>
      <c r="J1098" s="49">
        <v>16000</v>
      </c>
      <c r="K1098" s="49">
        <v>16000</v>
      </c>
      <c r="L1098" s="47" t="s">
        <v>22</v>
      </c>
      <c r="M1098" s="46">
        <v>0</v>
      </c>
      <c r="N1098" s="48" t="s">
        <v>23</v>
      </c>
      <c r="O1098" s="47" t="s">
        <v>73</v>
      </c>
    </row>
    <row r="1099" ht="14.25" customHeight="1" spans="1:15">
      <c r="A1099" s="43" t="s">
        <v>2164</v>
      </c>
      <c r="B1099" s="44">
        <v>46192</v>
      </c>
      <c r="C1099" s="45">
        <v>0.834027777777778</v>
      </c>
      <c r="D1099" s="46">
        <f t="shared" si="0"/>
        <v>20</v>
      </c>
      <c r="E1099" s="47" t="str">
        <f t="shared" si="7"/>
        <v>Friday</v>
      </c>
      <c r="F1099" s="47" t="s">
        <v>16</v>
      </c>
      <c r="G1099" s="47" t="s">
        <v>57</v>
      </c>
      <c r="H1099" s="43" t="s">
        <v>28</v>
      </c>
      <c r="I1099" s="48">
        <v>2</v>
      </c>
      <c r="J1099" s="49">
        <v>18000</v>
      </c>
      <c r="K1099" s="49">
        <v>36000</v>
      </c>
      <c r="L1099" s="47" t="s">
        <v>22</v>
      </c>
      <c r="M1099" s="46">
        <v>0</v>
      </c>
      <c r="N1099" s="48" t="s">
        <v>23</v>
      </c>
      <c r="O1099" s="47" t="s">
        <v>33</v>
      </c>
    </row>
    <row r="1100" ht="14.25" customHeight="1" spans="1:15">
      <c r="A1100" s="43" t="s">
        <v>2165</v>
      </c>
      <c r="B1100" s="44">
        <v>46192</v>
      </c>
      <c r="C1100" s="45">
        <v>0.861111111111111</v>
      </c>
      <c r="D1100" s="46">
        <f t="shared" si="0"/>
        <v>20</v>
      </c>
      <c r="E1100" s="47" t="str">
        <f t="shared" si="7"/>
        <v>Friday</v>
      </c>
      <c r="F1100" s="47" t="s">
        <v>107</v>
      </c>
      <c r="G1100" s="47" t="s">
        <v>367</v>
      </c>
      <c r="H1100" s="43" t="s">
        <v>109</v>
      </c>
      <c r="I1100" s="48">
        <v>2</v>
      </c>
      <c r="J1100" s="49">
        <v>7000</v>
      </c>
      <c r="K1100" s="49">
        <v>14000</v>
      </c>
      <c r="L1100" s="47" t="s">
        <v>32</v>
      </c>
      <c r="M1100" s="46">
        <v>0</v>
      </c>
      <c r="N1100" s="48" t="s">
        <v>23</v>
      </c>
      <c r="O1100" s="47" t="s">
        <v>40</v>
      </c>
    </row>
    <row r="1101" ht="14.25" customHeight="1" spans="1:15">
      <c r="A1101" s="43" t="s">
        <v>2166</v>
      </c>
      <c r="B1101" s="44">
        <v>46192</v>
      </c>
      <c r="C1101" s="45">
        <v>0.879166666666667</v>
      </c>
      <c r="D1101" s="46">
        <f t="shared" si="0"/>
        <v>21</v>
      </c>
      <c r="E1101" s="47" t="str">
        <f t="shared" si="7"/>
        <v>Friday</v>
      </c>
      <c r="F1101" s="47" t="s">
        <v>43</v>
      </c>
      <c r="G1101" s="47" t="s">
        <v>44</v>
      </c>
      <c r="H1101" s="43" t="s">
        <v>45</v>
      </c>
      <c r="I1101" s="48">
        <v>1</v>
      </c>
      <c r="J1101" s="49">
        <v>4000</v>
      </c>
      <c r="K1101" s="49">
        <v>4000</v>
      </c>
      <c r="L1101" s="47" t="s">
        <v>32</v>
      </c>
      <c r="M1101" s="46">
        <v>0</v>
      </c>
      <c r="N1101" s="48" t="s">
        <v>23</v>
      </c>
      <c r="O1101" s="47" t="s">
        <v>33</v>
      </c>
    </row>
    <row r="1102" ht="14.25" customHeight="1" spans="1:15">
      <c r="A1102" s="43" t="s">
        <v>2168</v>
      </c>
      <c r="B1102" s="44">
        <v>46192</v>
      </c>
      <c r="C1102" s="45">
        <v>0.899305555555556</v>
      </c>
      <c r="D1102" s="46">
        <f t="shared" si="0"/>
        <v>21</v>
      </c>
      <c r="E1102" s="47" t="str">
        <f t="shared" si="7"/>
        <v>Friday</v>
      </c>
      <c r="F1102" s="47" t="s">
        <v>43</v>
      </c>
      <c r="G1102" s="47" t="s">
        <v>103</v>
      </c>
      <c r="H1102" s="43" t="s">
        <v>37</v>
      </c>
      <c r="I1102" s="48">
        <v>1</v>
      </c>
      <c r="J1102" s="49">
        <v>5000</v>
      </c>
      <c r="K1102" s="49">
        <v>5000</v>
      </c>
      <c r="L1102" s="47" t="s">
        <v>22</v>
      </c>
      <c r="M1102" s="46">
        <v>0</v>
      </c>
      <c r="N1102" s="48" t="s">
        <v>23</v>
      </c>
      <c r="O1102" s="47" t="s">
        <v>33</v>
      </c>
    </row>
    <row r="1103" ht="14.25" customHeight="1" spans="1:15">
      <c r="A1103" s="43" t="s">
        <v>2169</v>
      </c>
      <c r="B1103" s="44">
        <v>46192</v>
      </c>
      <c r="C1103" s="45">
        <v>0.909027777777778</v>
      </c>
      <c r="D1103" s="46">
        <f t="shared" si="0"/>
        <v>21</v>
      </c>
      <c r="E1103" s="47" t="str">
        <f t="shared" si="7"/>
        <v>Friday</v>
      </c>
      <c r="F1103" s="47" t="s">
        <v>43</v>
      </c>
      <c r="G1103" s="47" t="s">
        <v>63</v>
      </c>
      <c r="H1103" s="43" t="s">
        <v>18</v>
      </c>
      <c r="I1103" s="48">
        <v>1</v>
      </c>
      <c r="J1103" s="50">
        <v>1500</v>
      </c>
      <c r="K1103" s="49">
        <v>1500</v>
      </c>
      <c r="L1103" s="47" t="s">
        <v>22</v>
      </c>
      <c r="M1103" s="46">
        <v>0</v>
      </c>
      <c r="N1103" s="48" t="s">
        <v>23</v>
      </c>
      <c r="O1103" s="47" t="s">
        <v>73</v>
      </c>
    </row>
    <row r="1104" ht="14.25" customHeight="1" spans="1:15">
      <c r="A1104" s="43" t="s">
        <v>2170</v>
      </c>
      <c r="B1104" s="44">
        <v>46192</v>
      </c>
      <c r="C1104" s="45">
        <v>0.911111111111111</v>
      </c>
      <c r="D1104" s="46">
        <f t="shared" si="0"/>
        <v>21</v>
      </c>
      <c r="E1104" s="47" t="str">
        <f t="shared" si="7"/>
        <v>Friday</v>
      </c>
      <c r="F1104" s="47" t="s">
        <v>16</v>
      </c>
      <c r="G1104" s="47" t="s">
        <v>17</v>
      </c>
      <c r="H1104" s="43" t="s">
        <v>18</v>
      </c>
      <c r="I1104" s="48">
        <v>1</v>
      </c>
      <c r="J1104" s="49">
        <v>1000</v>
      </c>
      <c r="K1104" s="49">
        <v>1000</v>
      </c>
      <c r="L1104" s="47" t="s">
        <v>32</v>
      </c>
      <c r="M1104" s="46">
        <v>0</v>
      </c>
      <c r="N1104" s="48">
        <v>5</v>
      </c>
      <c r="O1104" s="47" t="s">
        <v>40</v>
      </c>
    </row>
    <row r="1105" ht="14.25" customHeight="1" spans="1:15">
      <c r="A1105" s="43" t="s">
        <v>2171</v>
      </c>
      <c r="B1105" s="44">
        <v>46193</v>
      </c>
      <c r="C1105" s="45">
        <v>0.547916666666667</v>
      </c>
      <c r="D1105" s="46">
        <f t="shared" si="0"/>
        <v>13</v>
      </c>
      <c r="E1105" s="47" t="str">
        <f t="shared" si="7"/>
        <v>Saturday</v>
      </c>
      <c r="F1105" s="47" t="s">
        <v>107</v>
      </c>
      <c r="G1105" s="47" t="s">
        <v>63</v>
      </c>
      <c r="H1105" s="43" t="s">
        <v>18</v>
      </c>
      <c r="I1105" s="48">
        <v>2</v>
      </c>
      <c r="J1105" s="49">
        <v>1500</v>
      </c>
      <c r="K1105" s="49">
        <v>3000</v>
      </c>
      <c r="L1105" s="47" t="s">
        <v>22</v>
      </c>
      <c r="M1105" s="46">
        <v>0</v>
      </c>
      <c r="N1105" s="48" t="s">
        <v>23</v>
      </c>
      <c r="O1105" s="47" t="s">
        <v>40</v>
      </c>
    </row>
    <row r="1106" ht="14.25" customHeight="1" spans="1:15">
      <c r="A1106" s="43" t="s">
        <v>2173</v>
      </c>
      <c r="B1106" s="44">
        <v>46193</v>
      </c>
      <c r="C1106" s="45">
        <v>0.779861111111111</v>
      </c>
      <c r="D1106" s="46">
        <f t="shared" si="0"/>
        <v>18</v>
      </c>
      <c r="E1106" s="47" t="str">
        <f t="shared" si="7"/>
        <v>Saturday</v>
      </c>
      <c r="F1106" s="47" t="s">
        <v>16</v>
      </c>
      <c r="G1106" s="47" t="s">
        <v>17</v>
      </c>
      <c r="H1106" s="43" t="s">
        <v>18</v>
      </c>
      <c r="I1106" s="48">
        <v>2</v>
      </c>
      <c r="J1106" s="49">
        <v>1000</v>
      </c>
      <c r="K1106" s="49">
        <v>2000</v>
      </c>
      <c r="L1106" s="47" t="s">
        <v>32</v>
      </c>
      <c r="M1106" s="46">
        <v>0</v>
      </c>
      <c r="N1106" s="48">
        <v>4</v>
      </c>
      <c r="O1106" s="47" t="s">
        <v>47</v>
      </c>
    </row>
    <row r="1107" ht="14.25" customHeight="1" spans="1:15">
      <c r="A1107" s="43" t="s">
        <v>2175</v>
      </c>
      <c r="B1107" s="44">
        <v>46193</v>
      </c>
      <c r="C1107" s="45">
        <v>0.811805555555556</v>
      </c>
      <c r="D1107" s="46">
        <f t="shared" si="0"/>
        <v>19</v>
      </c>
      <c r="E1107" s="47" t="str">
        <f t="shared" si="7"/>
        <v>Saturday</v>
      </c>
      <c r="F1107" s="47" t="s">
        <v>16</v>
      </c>
      <c r="G1107" s="47" t="s">
        <v>50</v>
      </c>
      <c r="H1107" s="43" t="s">
        <v>28</v>
      </c>
      <c r="I1107" s="48">
        <v>1</v>
      </c>
      <c r="J1107" s="49">
        <v>25000</v>
      </c>
      <c r="K1107" s="49">
        <v>25000</v>
      </c>
      <c r="L1107" s="47" t="s">
        <v>22</v>
      </c>
      <c r="M1107" s="46">
        <v>0</v>
      </c>
      <c r="N1107" s="48">
        <v>5</v>
      </c>
      <c r="O1107" s="47" t="s">
        <v>73</v>
      </c>
    </row>
    <row r="1108" ht="14.25" customHeight="1" spans="1:15">
      <c r="A1108" s="43" t="s">
        <v>2176</v>
      </c>
      <c r="B1108" s="44">
        <v>46193</v>
      </c>
      <c r="C1108" s="45">
        <v>0.840972222222222</v>
      </c>
      <c r="D1108" s="46">
        <f t="shared" si="0"/>
        <v>20</v>
      </c>
      <c r="E1108" s="47" t="str">
        <f t="shared" si="7"/>
        <v>Saturday</v>
      </c>
      <c r="F1108" s="47" t="s">
        <v>16</v>
      </c>
      <c r="G1108" s="47" t="s">
        <v>63</v>
      </c>
      <c r="H1108" s="43" t="s">
        <v>18</v>
      </c>
      <c r="I1108" s="48">
        <v>1</v>
      </c>
      <c r="J1108" s="49">
        <v>1500</v>
      </c>
      <c r="K1108" s="50">
        <v>1350</v>
      </c>
      <c r="L1108" s="47" t="s">
        <v>32</v>
      </c>
      <c r="M1108" s="51">
        <v>0.1</v>
      </c>
      <c r="N1108" s="48" t="s">
        <v>23</v>
      </c>
      <c r="O1108" s="47" t="s">
        <v>73</v>
      </c>
    </row>
    <row r="1109" ht="14.25" customHeight="1" spans="1:15">
      <c r="A1109" s="43" t="s">
        <v>2177</v>
      </c>
      <c r="B1109" s="44">
        <v>46193</v>
      </c>
      <c r="C1109" s="45">
        <v>0.841666666666667</v>
      </c>
      <c r="D1109" s="46">
        <f t="shared" si="0"/>
        <v>20</v>
      </c>
      <c r="E1109" s="47" t="str">
        <f t="shared" si="7"/>
        <v>Saturday</v>
      </c>
      <c r="F1109" s="47" t="s">
        <v>43</v>
      </c>
      <c r="G1109" s="47" t="s">
        <v>146</v>
      </c>
      <c r="H1109" s="43" t="s">
        <v>28</v>
      </c>
      <c r="I1109" s="48">
        <v>1</v>
      </c>
      <c r="J1109" s="49">
        <v>16000</v>
      </c>
      <c r="K1109" s="49">
        <v>16000</v>
      </c>
      <c r="L1109" s="47" t="s">
        <v>22</v>
      </c>
      <c r="M1109" s="46">
        <v>0</v>
      </c>
      <c r="N1109" s="48" t="s">
        <v>23</v>
      </c>
      <c r="O1109" s="47" t="s">
        <v>47</v>
      </c>
    </row>
    <row r="1110" ht="14.25" customHeight="1" spans="1:15">
      <c r="A1110" s="43" t="s">
        <v>2178</v>
      </c>
      <c r="B1110" s="44">
        <v>46194</v>
      </c>
      <c r="C1110" s="45">
        <v>0.743055555555556</v>
      </c>
      <c r="D1110" s="46">
        <f t="shared" si="0"/>
        <v>17</v>
      </c>
      <c r="E1110" s="47" t="str">
        <f t="shared" si="7"/>
        <v>Sunday</v>
      </c>
      <c r="F1110" s="47" t="s">
        <v>43</v>
      </c>
      <c r="G1110" s="47" t="s">
        <v>81</v>
      </c>
      <c r="H1110" s="43" t="s">
        <v>37</v>
      </c>
      <c r="I1110" s="48">
        <v>1</v>
      </c>
      <c r="J1110" s="49">
        <v>6000</v>
      </c>
      <c r="K1110" s="50">
        <v>5400</v>
      </c>
      <c r="L1110" s="47" t="s">
        <v>22</v>
      </c>
      <c r="M1110" s="51">
        <v>0.1</v>
      </c>
      <c r="N1110" s="48">
        <v>3</v>
      </c>
      <c r="O1110" s="47" t="s">
        <v>73</v>
      </c>
    </row>
    <row r="1111" ht="14.25" customHeight="1" spans="1:15">
      <c r="A1111" s="43" t="s">
        <v>2181</v>
      </c>
      <c r="B1111" s="44">
        <v>46193</v>
      </c>
      <c r="C1111" s="45">
        <v>0.875</v>
      </c>
      <c r="D1111" s="46">
        <f t="shared" si="0"/>
        <v>21</v>
      </c>
      <c r="E1111" s="47" t="str">
        <f t="shared" si="7"/>
        <v>Saturday</v>
      </c>
      <c r="F1111" s="47" t="s">
        <v>43</v>
      </c>
      <c r="G1111" s="47" t="s">
        <v>44</v>
      </c>
      <c r="H1111" s="43" t="s">
        <v>45</v>
      </c>
      <c r="I1111" s="48">
        <v>1</v>
      </c>
      <c r="J1111" s="49">
        <v>4000</v>
      </c>
      <c r="K1111" s="49">
        <v>4000</v>
      </c>
      <c r="L1111" s="47" t="s">
        <v>22</v>
      </c>
      <c r="M1111" s="46">
        <v>0</v>
      </c>
      <c r="N1111" s="48" t="s">
        <v>23</v>
      </c>
      <c r="O1111" s="47" t="s">
        <v>47</v>
      </c>
    </row>
    <row r="1112" ht="14.25" customHeight="1" spans="1:15">
      <c r="A1112" s="43" t="s">
        <v>2182</v>
      </c>
      <c r="B1112" s="44">
        <v>46193</v>
      </c>
      <c r="C1112" s="45">
        <v>0.969444444444444</v>
      </c>
      <c r="D1112" s="46">
        <f t="shared" si="0"/>
        <v>23</v>
      </c>
      <c r="E1112" s="47" t="str">
        <f t="shared" si="7"/>
        <v>Saturday</v>
      </c>
      <c r="F1112" s="47" t="s">
        <v>16</v>
      </c>
      <c r="G1112" s="47" t="s">
        <v>17</v>
      </c>
      <c r="H1112" s="43" t="s">
        <v>18</v>
      </c>
      <c r="I1112" s="48">
        <v>1</v>
      </c>
      <c r="J1112" s="50">
        <v>1000</v>
      </c>
      <c r="K1112" s="49">
        <v>1000</v>
      </c>
      <c r="L1112" s="47" t="s">
        <v>22</v>
      </c>
      <c r="M1112" s="46">
        <v>0</v>
      </c>
      <c r="N1112" s="48">
        <v>3</v>
      </c>
      <c r="O1112" s="47" t="s">
        <v>73</v>
      </c>
    </row>
    <row r="1113" ht="14.25" customHeight="1" spans="1:15">
      <c r="A1113" s="43" t="s">
        <v>2184</v>
      </c>
      <c r="B1113" s="44">
        <v>46193</v>
      </c>
      <c r="C1113" s="45">
        <v>0.860416666666667</v>
      </c>
      <c r="D1113" s="46">
        <f t="shared" si="0"/>
        <v>20</v>
      </c>
      <c r="E1113" s="47" t="str">
        <f t="shared" si="7"/>
        <v>Saturday</v>
      </c>
      <c r="F1113" s="47" t="s">
        <v>107</v>
      </c>
      <c r="G1113" s="43" t="s">
        <v>36</v>
      </c>
      <c r="H1113" s="43" t="s">
        <v>37</v>
      </c>
      <c r="I1113" s="48">
        <v>2</v>
      </c>
      <c r="J1113" s="49">
        <v>3000</v>
      </c>
      <c r="K1113" s="49">
        <v>6000</v>
      </c>
      <c r="L1113" s="47" t="s">
        <v>32</v>
      </c>
      <c r="M1113" s="46">
        <v>0</v>
      </c>
      <c r="N1113" s="48" t="s">
        <v>23</v>
      </c>
      <c r="O1113" s="47" t="s">
        <v>73</v>
      </c>
    </row>
    <row r="1114" ht="14.25" customHeight="1" spans="1:15">
      <c r="A1114" s="43" t="s">
        <v>2186</v>
      </c>
      <c r="B1114" s="44">
        <v>46194</v>
      </c>
      <c r="C1114" s="45">
        <v>0.798611111111111</v>
      </c>
      <c r="D1114" s="46">
        <f t="shared" si="0"/>
        <v>19</v>
      </c>
      <c r="E1114" s="47" t="str">
        <f t="shared" si="7"/>
        <v>Sunday</v>
      </c>
      <c r="F1114" s="47" t="s">
        <v>43</v>
      </c>
      <c r="G1114" s="47" t="s">
        <v>103</v>
      </c>
      <c r="H1114" s="43" t="s">
        <v>37</v>
      </c>
      <c r="I1114" s="48">
        <v>1</v>
      </c>
      <c r="J1114" s="49">
        <v>5000</v>
      </c>
      <c r="K1114" s="49">
        <v>5000</v>
      </c>
      <c r="L1114" s="47" t="s">
        <v>22</v>
      </c>
      <c r="M1114" s="46">
        <v>0</v>
      </c>
      <c r="N1114" s="48" t="s">
        <v>23</v>
      </c>
      <c r="O1114" s="47" t="s">
        <v>24</v>
      </c>
    </row>
    <row r="1115" ht="14.25" customHeight="1" spans="1:15">
      <c r="A1115" s="43" t="s">
        <v>2187</v>
      </c>
      <c r="B1115" s="44">
        <v>46194</v>
      </c>
      <c r="C1115" s="45">
        <v>0.801388888888889</v>
      </c>
      <c r="D1115" s="46">
        <f t="shared" si="0"/>
        <v>19</v>
      </c>
      <c r="E1115" s="47" t="str">
        <f t="shared" si="7"/>
        <v>Sunday</v>
      </c>
      <c r="F1115" s="47" t="s">
        <v>16</v>
      </c>
      <c r="G1115" s="47" t="s">
        <v>17</v>
      </c>
      <c r="H1115" s="43" t="s">
        <v>18</v>
      </c>
      <c r="I1115" s="48">
        <v>1</v>
      </c>
      <c r="J1115" s="49">
        <v>1000</v>
      </c>
      <c r="K1115" s="49">
        <v>1000</v>
      </c>
      <c r="L1115" s="47" t="s">
        <v>22</v>
      </c>
      <c r="M1115" s="46">
        <v>0</v>
      </c>
      <c r="N1115" s="48">
        <v>4</v>
      </c>
      <c r="O1115" s="47" t="s">
        <v>24</v>
      </c>
    </row>
    <row r="1116" ht="14.25" customHeight="1" spans="1:15">
      <c r="A1116" s="43" t="s">
        <v>2188</v>
      </c>
      <c r="B1116" s="44">
        <v>46194</v>
      </c>
      <c r="C1116" s="45">
        <v>0.920138888888889</v>
      </c>
      <c r="D1116" s="46">
        <f t="shared" si="0"/>
        <v>22</v>
      </c>
      <c r="E1116" s="47" t="str">
        <f t="shared" si="7"/>
        <v>Sunday</v>
      </c>
      <c r="F1116" s="47" t="s">
        <v>43</v>
      </c>
      <c r="G1116" s="43" t="s">
        <v>36</v>
      </c>
      <c r="H1116" s="43" t="s">
        <v>37</v>
      </c>
      <c r="I1116" s="48">
        <v>1</v>
      </c>
      <c r="J1116" s="49">
        <v>3000</v>
      </c>
      <c r="K1116" s="49">
        <v>3000</v>
      </c>
      <c r="L1116" s="47" t="s">
        <v>32</v>
      </c>
      <c r="M1116" s="46">
        <v>0</v>
      </c>
      <c r="N1116" s="48" t="s">
        <v>23</v>
      </c>
      <c r="O1116" s="47" t="s">
        <v>24</v>
      </c>
    </row>
    <row r="1117" ht="14.25" customHeight="1" spans="1:15">
      <c r="A1117" s="43" t="s">
        <v>2189</v>
      </c>
      <c r="B1117" s="44">
        <v>46195</v>
      </c>
      <c r="C1117" s="45">
        <v>0.597222222222222</v>
      </c>
      <c r="D1117" s="46">
        <f t="shared" si="0"/>
        <v>14</v>
      </c>
      <c r="E1117" s="47" t="str">
        <f t="shared" si="7"/>
        <v>Monday</v>
      </c>
      <c r="F1117" s="47" t="s">
        <v>16</v>
      </c>
      <c r="G1117" s="47" t="s">
        <v>50</v>
      </c>
      <c r="H1117" s="43" t="s">
        <v>28</v>
      </c>
      <c r="I1117" s="48">
        <v>1</v>
      </c>
      <c r="J1117" s="49">
        <v>25000</v>
      </c>
      <c r="K1117" s="49">
        <v>25000</v>
      </c>
      <c r="L1117" s="47" t="s">
        <v>32</v>
      </c>
      <c r="M1117" s="46">
        <v>0</v>
      </c>
      <c r="N1117" s="48" t="s">
        <v>23</v>
      </c>
      <c r="O1117" s="47" t="s">
        <v>33</v>
      </c>
    </row>
    <row r="1118" ht="14.25" customHeight="1" spans="1:15">
      <c r="A1118" s="43" t="s">
        <v>2191</v>
      </c>
      <c r="B1118" s="44">
        <v>46195</v>
      </c>
      <c r="C1118" s="45">
        <v>0.840972222222222</v>
      </c>
      <c r="D1118" s="46">
        <f t="shared" si="0"/>
        <v>20</v>
      </c>
      <c r="E1118" s="47" t="str">
        <f t="shared" si="7"/>
        <v>Monday</v>
      </c>
      <c r="F1118" s="47" t="s">
        <v>107</v>
      </c>
      <c r="G1118" s="47" t="s">
        <v>17</v>
      </c>
      <c r="H1118" s="43" t="s">
        <v>18</v>
      </c>
      <c r="I1118" s="48">
        <v>2</v>
      </c>
      <c r="J1118" s="49">
        <f>K1118/I1118</f>
        <v>1000</v>
      </c>
      <c r="K1118" s="49">
        <v>2000</v>
      </c>
      <c r="L1118" s="47" t="s">
        <v>22</v>
      </c>
      <c r="M1118" s="46">
        <v>0</v>
      </c>
      <c r="N1118" s="48">
        <v>4</v>
      </c>
      <c r="O1118" s="47" t="s">
        <v>47</v>
      </c>
    </row>
    <row r="1119" ht="14.25" customHeight="1" spans="1:15">
      <c r="A1119" s="43" t="s">
        <v>2192</v>
      </c>
      <c r="B1119" s="44">
        <v>46195</v>
      </c>
      <c r="C1119" s="45">
        <v>0.86875</v>
      </c>
      <c r="D1119" s="46">
        <f t="shared" si="0"/>
        <v>20</v>
      </c>
      <c r="E1119" s="47" t="str">
        <f t="shared" si="7"/>
        <v>Monday</v>
      </c>
      <c r="F1119" s="47" t="s">
        <v>16</v>
      </c>
      <c r="G1119" s="47" t="s">
        <v>103</v>
      </c>
      <c r="H1119" s="43" t="s">
        <v>37</v>
      </c>
      <c r="I1119" s="48">
        <v>1</v>
      </c>
      <c r="J1119" s="49">
        <v>5000</v>
      </c>
      <c r="K1119" s="49">
        <v>5000</v>
      </c>
      <c r="L1119" s="47" t="s">
        <v>22</v>
      </c>
      <c r="M1119" s="46">
        <v>0</v>
      </c>
      <c r="N1119" s="48" t="s">
        <v>23</v>
      </c>
      <c r="O1119" s="47" t="s">
        <v>33</v>
      </c>
    </row>
    <row r="1120" ht="14.25" customHeight="1" spans="1:15">
      <c r="A1120" s="43" t="s">
        <v>2193</v>
      </c>
      <c r="B1120" s="44">
        <v>46195</v>
      </c>
      <c r="C1120" s="45">
        <v>0.88125</v>
      </c>
      <c r="D1120" s="46">
        <f t="shared" si="0"/>
        <v>21</v>
      </c>
      <c r="E1120" s="47" t="str">
        <f t="shared" si="7"/>
        <v>Monday</v>
      </c>
      <c r="F1120" s="47" t="s">
        <v>16</v>
      </c>
      <c r="G1120" s="43" t="s">
        <v>165</v>
      </c>
      <c r="H1120" s="43" t="s">
        <v>109</v>
      </c>
      <c r="I1120" s="48">
        <v>1</v>
      </c>
      <c r="J1120" s="49">
        <v>6000</v>
      </c>
      <c r="K1120" s="49">
        <v>6000</v>
      </c>
      <c r="L1120" s="47" t="s">
        <v>22</v>
      </c>
      <c r="M1120" s="46">
        <v>0</v>
      </c>
      <c r="N1120" s="48">
        <v>4</v>
      </c>
      <c r="O1120" s="47" t="s">
        <v>73</v>
      </c>
    </row>
    <row r="1121" ht="14.25" customHeight="1" spans="1:15">
      <c r="A1121" s="43" t="s">
        <v>2194</v>
      </c>
      <c r="B1121" s="44">
        <v>46195</v>
      </c>
      <c r="C1121" s="45">
        <v>0.907638888888889</v>
      </c>
      <c r="D1121" s="46">
        <f t="shared" si="0"/>
        <v>21</v>
      </c>
      <c r="E1121" s="47" t="str">
        <f t="shared" si="7"/>
        <v>Monday</v>
      </c>
      <c r="F1121" s="47" t="s">
        <v>16</v>
      </c>
      <c r="G1121" s="47" t="s">
        <v>63</v>
      </c>
      <c r="H1121" s="43" t="s">
        <v>18</v>
      </c>
      <c r="I1121" s="48">
        <v>2</v>
      </c>
      <c r="J1121" s="49">
        <v>1500</v>
      </c>
      <c r="K1121" s="50">
        <v>2550</v>
      </c>
      <c r="L1121" s="47" t="s">
        <v>22</v>
      </c>
      <c r="M1121" s="51">
        <v>0.15</v>
      </c>
      <c r="N1121" s="48" t="s">
        <v>23</v>
      </c>
      <c r="O1121" s="47" t="s">
        <v>33</v>
      </c>
    </row>
    <row r="1122" ht="14.25" customHeight="1" spans="1:15">
      <c r="A1122" s="43" t="s">
        <v>2196</v>
      </c>
      <c r="B1122" s="44">
        <v>46195</v>
      </c>
      <c r="C1122" s="45">
        <v>0.921527777777778</v>
      </c>
      <c r="D1122" s="46">
        <f t="shared" si="0"/>
        <v>22</v>
      </c>
      <c r="E1122" s="47" t="str">
        <f t="shared" si="7"/>
        <v>Monday</v>
      </c>
      <c r="F1122" s="47" t="s">
        <v>43</v>
      </c>
      <c r="G1122" s="47" t="s">
        <v>17</v>
      </c>
      <c r="H1122" s="43" t="s">
        <v>18</v>
      </c>
      <c r="I1122" s="48">
        <v>1</v>
      </c>
      <c r="J1122" s="49">
        <v>1000</v>
      </c>
      <c r="K1122" s="49">
        <v>1000</v>
      </c>
      <c r="L1122" s="47" t="s">
        <v>32</v>
      </c>
      <c r="M1122" s="46">
        <v>0</v>
      </c>
      <c r="N1122" s="48" t="s">
        <v>23</v>
      </c>
      <c r="O1122" s="47" t="s">
        <v>40</v>
      </c>
    </row>
    <row r="1123" ht="14.25" customHeight="1" spans="1:15">
      <c r="A1123" s="43" t="s">
        <v>2197</v>
      </c>
      <c r="B1123" s="44">
        <v>46195</v>
      </c>
      <c r="C1123" s="45">
        <v>0.936805555555556</v>
      </c>
      <c r="D1123" s="46">
        <f t="shared" si="0"/>
        <v>22</v>
      </c>
      <c r="E1123" s="47" t="str">
        <f t="shared" si="7"/>
        <v>Monday</v>
      </c>
      <c r="F1123" s="47" t="s">
        <v>16</v>
      </c>
      <c r="G1123" s="43" t="s">
        <v>165</v>
      </c>
      <c r="H1123" s="43" t="s">
        <v>109</v>
      </c>
      <c r="I1123" s="48">
        <v>2</v>
      </c>
      <c r="J1123" s="49">
        <v>6000</v>
      </c>
      <c r="K1123" s="50">
        <v>10800</v>
      </c>
      <c r="L1123" s="47" t="s">
        <v>22</v>
      </c>
      <c r="M1123" s="51">
        <v>0.1</v>
      </c>
      <c r="N1123" s="48" t="s">
        <v>23</v>
      </c>
      <c r="O1123" s="47" t="s">
        <v>47</v>
      </c>
    </row>
    <row r="1124" ht="14.25" customHeight="1" spans="1:15">
      <c r="A1124" s="43" t="s">
        <v>2198</v>
      </c>
      <c r="B1124" s="44">
        <v>46195</v>
      </c>
      <c r="C1124" s="45">
        <v>0.943055555555556</v>
      </c>
      <c r="D1124" s="46">
        <f t="shared" si="0"/>
        <v>22</v>
      </c>
      <c r="E1124" s="47" t="str">
        <f t="shared" si="7"/>
        <v>Monday</v>
      </c>
      <c r="F1124" s="47" t="s">
        <v>43</v>
      </c>
      <c r="G1124" s="47" t="s">
        <v>81</v>
      </c>
      <c r="H1124" s="43" t="s">
        <v>37</v>
      </c>
      <c r="I1124" s="48">
        <v>1</v>
      </c>
      <c r="J1124" s="49">
        <v>6000</v>
      </c>
      <c r="K1124" s="49">
        <v>6000</v>
      </c>
      <c r="L1124" s="47" t="s">
        <v>22</v>
      </c>
      <c r="M1124" s="46">
        <v>0</v>
      </c>
      <c r="N1124" s="48" t="s">
        <v>23</v>
      </c>
      <c r="O1124" s="47" t="s">
        <v>33</v>
      </c>
    </row>
    <row r="1125" ht="14.25" customHeight="1" spans="1:15">
      <c r="A1125" s="43" t="s">
        <v>2199</v>
      </c>
      <c r="B1125" s="44">
        <v>46196</v>
      </c>
      <c r="C1125" s="45">
        <v>0.791666666666667</v>
      </c>
      <c r="D1125" s="46">
        <f t="shared" si="0"/>
        <v>19</v>
      </c>
      <c r="E1125" s="47" t="str">
        <f t="shared" si="7"/>
        <v>Tuesday</v>
      </c>
      <c r="F1125" s="47" t="s">
        <v>16</v>
      </c>
      <c r="G1125" s="47" t="s">
        <v>103</v>
      </c>
      <c r="H1125" s="43" t="s">
        <v>37</v>
      </c>
      <c r="I1125" s="48">
        <v>1</v>
      </c>
      <c r="J1125" s="49">
        <v>5000</v>
      </c>
      <c r="K1125" s="49">
        <v>5000</v>
      </c>
      <c r="L1125" s="47" t="s">
        <v>22</v>
      </c>
      <c r="M1125" s="46">
        <v>0</v>
      </c>
      <c r="N1125" s="48" t="s">
        <v>23</v>
      </c>
      <c r="O1125" s="47" t="s">
        <v>40</v>
      </c>
    </row>
    <row r="1126" ht="14.25" customHeight="1" spans="1:15">
      <c r="A1126" s="43" t="s">
        <v>2201</v>
      </c>
      <c r="B1126" s="44">
        <v>46196</v>
      </c>
      <c r="C1126" s="45">
        <v>0.800694444444444</v>
      </c>
      <c r="D1126" s="46">
        <f t="shared" si="0"/>
        <v>19</v>
      </c>
      <c r="E1126" s="47" t="str">
        <f t="shared" si="7"/>
        <v>Tuesday</v>
      </c>
      <c r="F1126" s="47" t="s">
        <v>16</v>
      </c>
      <c r="G1126" s="47" t="s">
        <v>17</v>
      </c>
      <c r="H1126" s="43" t="str">
        <f>VLOOKUP(G1126,'02_Menu_Lookup'!$A$2:$C$16,2,FALSE)</f>
        <v>Beverages</v>
      </c>
      <c r="I1126" s="48">
        <v>1</v>
      </c>
      <c r="J1126" s="49">
        <v>1000</v>
      </c>
      <c r="K1126" s="49">
        <v>1000</v>
      </c>
      <c r="L1126" s="47" t="s">
        <v>22</v>
      </c>
      <c r="M1126" s="46">
        <v>0</v>
      </c>
      <c r="N1126" s="48" t="s">
        <v>23</v>
      </c>
      <c r="O1126" s="47" t="s">
        <v>73</v>
      </c>
    </row>
    <row r="1127" ht="14.25" customHeight="1" spans="1:15">
      <c r="A1127" s="43" t="s">
        <v>2202</v>
      </c>
      <c r="B1127" s="44">
        <v>46196</v>
      </c>
      <c r="C1127" s="45">
        <v>0.820833333333333</v>
      </c>
      <c r="D1127" s="46">
        <f t="shared" si="0"/>
        <v>19</v>
      </c>
      <c r="E1127" s="47" t="str">
        <f t="shared" si="7"/>
        <v>Tuesday</v>
      </c>
      <c r="F1127" s="47" t="s">
        <v>16</v>
      </c>
      <c r="G1127" s="47" t="s">
        <v>63</v>
      </c>
      <c r="H1127" s="43" t="s">
        <v>18</v>
      </c>
      <c r="I1127" s="48">
        <v>1</v>
      </c>
      <c r="J1127" s="49">
        <v>1500</v>
      </c>
      <c r="K1127" s="49">
        <v>1500</v>
      </c>
      <c r="L1127" s="47" t="s">
        <v>32</v>
      </c>
      <c r="M1127" s="46">
        <v>0</v>
      </c>
      <c r="N1127" s="48">
        <v>5</v>
      </c>
      <c r="O1127" s="47" t="s">
        <v>73</v>
      </c>
    </row>
    <row r="1128" ht="14.25" customHeight="1" spans="1:15">
      <c r="A1128" s="43" t="s">
        <v>2203</v>
      </c>
      <c r="B1128" s="44">
        <v>46196</v>
      </c>
      <c r="C1128" s="45">
        <v>0.877083333333333</v>
      </c>
      <c r="D1128" s="46">
        <f t="shared" si="0"/>
        <v>21</v>
      </c>
      <c r="E1128" s="47" t="str">
        <f t="shared" si="7"/>
        <v>Tuesday</v>
      </c>
      <c r="F1128" s="47" t="s">
        <v>43</v>
      </c>
      <c r="G1128" s="47" t="s">
        <v>50</v>
      </c>
      <c r="H1128" s="43" t="s">
        <v>28</v>
      </c>
      <c r="I1128" s="48">
        <v>3</v>
      </c>
      <c r="J1128" s="49">
        <v>25000</v>
      </c>
      <c r="K1128" s="50">
        <v>60000</v>
      </c>
      <c r="L1128" s="47" t="s">
        <v>22</v>
      </c>
      <c r="M1128" s="51">
        <v>0.2</v>
      </c>
      <c r="N1128" s="48">
        <v>4</v>
      </c>
      <c r="O1128" s="47" t="s">
        <v>40</v>
      </c>
    </row>
    <row r="1129" ht="14.25" customHeight="1" spans="1:15">
      <c r="A1129" s="43" t="s">
        <v>2205</v>
      </c>
      <c r="B1129" s="44">
        <v>46196</v>
      </c>
      <c r="C1129" s="45">
        <v>0.877777777777778</v>
      </c>
      <c r="D1129" s="46">
        <f t="shared" si="0"/>
        <v>21</v>
      </c>
      <c r="E1129" s="47" t="str">
        <f t="shared" si="7"/>
        <v>Tuesday</v>
      </c>
      <c r="F1129" s="47" t="s">
        <v>16</v>
      </c>
      <c r="G1129" s="47" t="s">
        <v>27</v>
      </c>
      <c r="H1129" s="43" t="s">
        <v>28</v>
      </c>
      <c r="I1129" s="48">
        <v>1</v>
      </c>
      <c r="J1129" s="49">
        <v>15000</v>
      </c>
      <c r="K1129" s="49">
        <v>15000</v>
      </c>
      <c r="L1129" s="47" t="s">
        <v>22</v>
      </c>
      <c r="M1129" s="46">
        <v>0</v>
      </c>
      <c r="N1129" s="48" t="s">
        <v>23</v>
      </c>
      <c r="O1129" s="47" t="s">
        <v>73</v>
      </c>
    </row>
    <row r="1130" ht="14.25" customHeight="1" spans="1:15">
      <c r="A1130" s="43" t="s">
        <v>2206</v>
      </c>
      <c r="B1130" s="44">
        <v>46196</v>
      </c>
      <c r="C1130" s="45">
        <v>0.921527777777778</v>
      </c>
      <c r="D1130" s="46">
        <f t="shared" si="0"/>
        <v>22</v>
      </c>
      <c r="E1130" s="47" t="str">
        <f t="shared" si="7"/>
        <v>Tuesday</v>
      </c>
      <c r="F1130" s="47" t="s">
        <v>107</v>
      </c>
      <c r="G1130" s="47" t="s">
        <v>63</v>
      </c>
      <c r="H1130" s="43" t="s">
        <v>18</v>
      </c>
      <c r="I1130" s="48">
        <v>1</v>
      </c>
      <c r="J1130" s="49">
        <v>1500</v>
      </c>
      <c r="K1130" s="49">
        <v>1500</v>
      </c>
      <c r="L1130" s="47" t="s">
        <v>32</v>
      </c>
      <c r="M1130" s="46">
        <v>0</v>
      </c>
      <c r="N1130" s="48" t="s">
        <v>23</v>
      </c>
      <c r="O1130" s="47" t="s">
        <v>73</v>
      </c>
    </row>
    <row r="1131" ht="14.25" customHeight="1" spans="1:15">
      <c r="A1131" s="43" t="s">
        <v>2208</v>
      </c>
      <c r="B1131" s="44">
        <v>46196</v>
      </c>
      <c r="C1131" s="45">
        <v>0.924305555555556</v>
      </c>
      <c r="D1131" s="46">
        <f t="shared" si="0"/>
        <v>22</v>
      </c>
      <c r="E1131" s="47" t="str">
        <f t="shared" si="7"/>
        <v>Tuesday</v>
      </c>
      <c r="F1131" s="47" t="s">
        <v>16</v>
      </c>
      <c r="G1131" s="47" t="s">
        <v>199</v>
      </c>
      <c r="H1131" s="43" t="s">
        <v>18</v>
      </c>
      <c r="I1131" s="48">
        <v>2</v>
      </c>
      <c r="J1131" s="49">
        <v>3000</v>
      </c>
      <c r="K1131" s="49">
        <v>6000</v>
      </c>
      <c r="L1131" s="47" t="s">
        <v>22</v>
      </c>
      <c r="M1131" s="46">
        <v>0</v>
      </c>
      <c r="N1131" s="48" t="s">
        <v>23</v>
      </c>
      <c r="O1131" s="47" t="s">
        <v>47</v>
      </c>
    </row>
    <row r="1132" ht="14.25" customHeight="1" spans="1:15">
      <c r="A1132" s="43" t="s">
        <v>2210</v>
      </c>
      <c r="B1132" s="44">
        <v>46196</v>
      </c>
      <c r="C1132" s="45">
        <v>0.95</v>
      </c>
      <c r="D1132" s="46">
        <f t="shared" si="0"/>
        <v>22</v>
      </c>
      <c r="E1132" s="47" t="str">
        <f t="shared" si="7"/>
        <v>Tuesday</v>
      </c>
      <c r="F1132" s="47" t="s">
        <v>16</v>
      </c>
      <c r="G1132" s="47" t="s">
        <v>27</v>
      </c>
      <c r="H1132" s="43" t="s">
        <v>28</v>
      </c>
      <c r="I1132" s="48">
        <v>1</v>
      </c>
      <c r="J1132" s="49">
        <v>15000</v>
      </c>
      <c r="K1132" s="50">
        <v>13500</v>
      </c>
      <c r="L1132" s="47" t="s">
        <v>22</v>
      </c>
      <c r="M1132" s="51">
        <v>0.1</v>
      </c>
      <c r="N1132" s="48">
        <v>4</v>
      </c>
      <c r="O1132" s="47" t="s">
        <v>33</v>
      </c>
    </row>
    <row r="1133" ht="14.25" customHeight="1" spans="1:15">
      <c r="A1133" s="43" t="s">
        <v>2211</v>
      </c>
      <c r="B1133" s="44">
        <v>46198</v>
      </c>
      <c r="C1133" s="45">
        <v>0.927777777777778</v>
      </c>
      <c r="D1133" s="46">
        <f t="shared" si="0"/>
        <v>22</v>
      </c>
      <c r="E1133" s="47" t="str">
        <f t="shared" si="7"/>
        <v>Thursday</v>
      </c>
      <c r="F1133" s="47" t="s">
        <v>43</v>
      </c>
      <c r="G1133" s="47" t="s">
        <v>103</v>
      </c>
      <c r="H1133" s="43" t="s">
        <v>37</v>
      </c>
      <c r="I1133" s="48">
        <v>1</v>
      </c>
      <c r="J1133" s="49">
        <v>5000</v>
      </c>
      <c r="K1133" s="49">
        <v>5000</v>
      </c>
      <c r="L1133" s="47" t="s">
        <v>22</v>
      </c>
      <c r="M1133" s="46">
        <v>0</v>
      </c>
      <c r="N1133" s="48" t="s">
        <v>23</v>
      </c>
      <c r="O1133" s="47" t="s">
        <v>33</v>
      </c>
    </row>
    <row r="1134" ht="14.25" customHeight="1" spans="1:15">
      <c r="A1134" s="43" t="s">
        <v>2213</v>
      </c>
      <c r="B1134" s="44">
        <v>46197</v>
      </c>
      <c r="C1134" s="45">
        <v>0.813888888888889</v>
      </c>
      <c r="D1134" s="46">
        <f t="shared" si="0"/>
        <v>19</v>
      </c>
      <c r="E1134" s="47" t="str">
        <f t="shared" si="7"/>
        <v>Wednesday</v>
      </c>
      <c r="F1134" s="47" t="s">
        <v>107</v>
      </c>
      <c r="G1134" s="47" t="s">
        <v>81</v>
      </c>
      <c r="H1134" s="43" t="s">
        <v>37</v>
      </c>
      <c r="I1134" s="48">
        <v>1</v>
      </c>
      <c r="J1134" s="49">
        <v>6000</v>
      </c>
      <c r="K1134" s="49">
        <v>6000</v>
      </c>
      <c r="L1134" s="47" t="s">
        <v>22</v>
      </c>
      <c r="M1134" s="46">
        <v>0</v>
      </c>
      <c r="N1134" s="48" t="s">
        <v>23</v>
      </c>
      <c r="O1134" s="47" t="s">
        <v>40</v>
      </c>
    </row>
    <row r="1135" ht="14.25" customHeight="1" spans="1:15">
      <c r="A1135" s="43" t="s">
        <v>2216</v>
      </c>
      <c r="B1135" s="44">
        <v>46197</v>
      </c>
      <c r="C1135" s="45">
        <v>0.821527777777778</v>
      </c>
      <c r="D1135" s="46">
        <f t="shared" si="0"/>
        <v>19</v>
      </c>
      <c r="E1135" s="47" t="str">
        <f t="shared" si="7"/>
        <v>Wednesday</v>
      </c>
      <c r="F1135" s="47" t="s">
        <v>43</v>
      </c>
      <c r="G1135" s="47" t="s">
        <v>95</v>
      </c>
      <c r="H1135" s="43" t="s">
        <v>45</v>
      </c>
      <c r="I1135" s="48">
        <v>1</v>
      </c>
      <c r="J1135" s="49">
        <v>5000</v>
      </c>
      <c r="K1135" s="49">
        <v>5000</v>
      </c>
      <c r="L1135" s="47" t="s">
        <v>32</v>
      </c>
      <c r="M1135" s="46">
        <v>0</v>
      </c>
      <c r="N1135" s="48" t="s">
        <v>23</v>
      </c>
      <c r="O1135" s="47" t="s">
        <v>24</v>
      </c>
    </row>
    <row r="1136" ht="14.25" customHeight="1" spans="1:15">
      <c r="A1136" s="43" t="s">
        <v>2217</v>
      </c>
      <c r="B1136" s="44">
        <v>46197</v>
      </c>
      <c r="C1136" s="45">
        <v>0.823611111111111</v>
      </c>
      <c r="D1136" s="46">
        <f t="shared" si="0"/>
        <v>19</v>
      </c>
      <c r="E1136" s="47" t="str">
        <f t="shared" si="7"/>
        <v>Wednesday</v>
      </c>
      <c r="F1136" s="47" t="s">
        <v>16</v>
      </c>
      <c r="G1136" s="47" t="s">
        <v>146</v>
      </c>
      <c r="H1136" s="43" t="s">
        <v>28</v>
      </c>
      <c r="I1136" s="48">
        <v>1</v>
      </c>
      <c r="J1136" s="49">
        <v>16000</v>
      </c>
      <c r="K1136" s="49">
        <v>16000</v>
      </c>
      <c r="L1136" s="47" t="s">
        <v>32</v>
      </c>
      <c r="M1136" s="46">
        <v>0</v>
      </c>
      <c r="N1136" s="48" t="s">
        <v>23</v>
      </c>
      <c r="O1136" s="47" t="s">
        <v>40</v>
      </c>
    </row>
    <row r="1137" ht="14.25" customHeight="1" spans="1:15">
      <c r="A1137" s="43" t="s">
        <v>2218</v>
      </c>
      <c r="B1137" s="44">
        <v>46197</v>
      </c>
      <c r="C1137" s="45">
        <v>0.829166666666667</v>
      </c>
      <c r="D1137" s="46">
        <f t="shared" si="0"/>
        <v>19</v>
      </c>
      <c r="E1137" s="47" t="str">
        <f t="shared" si="7"/>
        <v>Wednesday</v>
      </c>
      <c r="F1137" s="47" t="s">
        <v>43</v>
      </c>
      <c r="G1137" s="47" t="s">
        <v>63</v>
      </c>
      <c r="H1137" s="43" t="s">
        <v>18</v>
      </c>
      <c r="I1137" s="48">
        <v>1</v>
      </c>
      <c r="J1137" s="49">
        <f>K1137/I1137</f>
        <v>1500</v>
      </c>
      <c r="K1137" s="49">
        <v>1500</v>
      </c>
      <c r="L1137" s="47" t="s">
        <v>32</v>
      </c>
      <c r="M1137" s="46">
        <v>0</v>
      </c>
      <c r="N1137" s="48" t="s">
        <v>23</v>
      </c>
      <c r="O1137" s="47" t="s">
        <v>47</v>
      </c>
    </row>
    <row r="1138" ht="14.25" customHeight="1" spans="1:15">
      <c r="A1138" s="43" t="s">
        <v>2219</v>
      </c>
      <c r="B1138" s="44">
        <v>46197</v>
      </c>
      <c r="C1138" s="45">
        <v>0.85</v>
      </c>
      <c r="D1138" s="46">
        <f t="shared" si="0"/>
        <v>20</v>
      </c>
      <c r="E1138" s="47" t="str">
        <f t="shared" si="7"/>
        <v>Wednesday</v>
      </c>
      <c r="F1138" s="47" t="s">
        <v>107</v>
      </c>
      <c r="G1138" s="43" t="s">
        <v>36</v>
      </c>
      <c r="H1138" s="43" t="s">
        <v>37</v>
      </c>
      <c r="I1138" s="48">
        <v>1</v>
      </c>
      <c r="J1138" s="49">
        <v>3000</v>
      </c>
      <c r="K1138" s="49">
        <v>3000</v>
      </c>
      <c r="L1138" s="47" t="s">
        <v>22</v>
      </c>
      <c r="M1138" s="46">
        <v>0</v>
      </c>
      <c r="N1138" s="48">
        <v>3</v>
      </c>
      <c r="O1138" s="47" t="s">
        <v>47</v>
      </c>
    </row>
    <row r="1139" ht="14.25" customHeight="1" spans="1:15">
      <c r="A1139" s="43" t="s">
        <v>2221</v>
      </c>
      <c r="B1139" s="44">
        <v>46197</v>
      </c>
      <c r="C1139" s="45">
        <v>0.89375</v>
      </c>
      <c r="D1139" s="46">
        <f t="shared" si="0"/>
        <v>21</v>
      </c>
      <c r="E1139" s="47" t="str">
        <f t="shared" si="7"/>
        <v>Wednesday</v>
      </c>
      <c r="F1139" s="47" t="s">
        <v>16</v>
      </c>
      <c r="G1139" s="47" t="s">
        <v>63</v>
      </c>
      <c r="H1139" s="43" t="s">
        <v>18</v>
      </c>
      <c r="I1139" s="48">
        <v>1</v>
      </c>
      <c r="J1139" s="49">
        <v>1500</v>
      </c>
      <c r="K1139" s="49">
        <v>1500</v>
      </c>
      <c r="L1139" s="47" t="s">
        <v>32</v>
      </c>
      <c r="M1139" s="46">
        <v>0</v>
      </c>
      <c r="N1139" s="48" t="s">
        <v>23</v>
      </c>
      <c r="O1139" s="47" t="s">
        <v>47</v>
      </c>
    </row>
    <row r="1140" ht="14.25" customHeight="1" spans="1:15">
      <c r="A1140" s="43" t="s">
        <v>2222</v>
      </c>
      <c r="B1140" s="44">
        <v>46197</v>
      </c>
      <c r="C1140" s="45">
        <v>0.945833333333333</v>
      </c>
      <c r="D1140" s="46">
        <f t="shared" si="0"/>
        <v>22</v>
      </c>
      <c r="E1140" s="47" t="str">
        <f t="shared" si="7"/>
        <v>Wednesday</v>
      </c>
      <c r="F1140" s="47" t="s">
        <v>43</v>
      </c>
      <c r="G1140" s="47" t="s">
        <v>57</v>
      </c>
      <c r="H1140" s="43" t="str">
        <f>VLOOKUP(G1140,'02_Menu_Lookup'!$A$2:$C$16,2,FALSE)</f>
        <v>Grills</v>
      </c>
      <c r="I1140" s="48">
        <v>1</v>
      </c>
      <c r="J1140" s="49">
        <v>18000</v>
      </c>
      <c r="K1140" s="49">
        <v>18000</v>
      </c>
      <c r="L1140" s="47" t="s">
        <v>22</v>
      </c>
      <c r="M1140" s="46">
        <v>0</v>
      </c>
      <c r="N1140" s="48" t="s">
        <v>23</v>
      </c>
      <c r="O1140" s="47" t="s">
        <v>73</v>
      </c>
    </row>
    <row r="1141" ht="14.25" customHeight="1" spans="1:15">
      <c r="A1141" s="43" t="s">
        <v>2224</v>
      </c>
      <c r="B1141" s="44">
        <v>46198</v>
      </c>
      <c r="C1141" s="45">
        <v>0.828472222222222</v>
      </c>
      <c r="D1141" s="46">
        <f t="shared" si="0"/>
        <v>19</v>
      </c>
      <c r="E1141" s="47" t="str">
        <f t="shared" si="7"/>
        <v>Thursday</v>
      </c>
      <c r="F1141" s="47" t="s">
        <v>16</v>
      </c>
      <c r="G1141" s="47" t="s">
        <v>81</v>
      </c>
      <c r="H1141" s="43" t="s">
        <v>37</v>
      </c>
      <c r="I1141" s="48">
        <v>2</v>
      </c>
      <c r="J1141" s="49">
        <v>6000</v>
      </c>
      <c r="K1141" s="49">
        <v>12000</v>
      </c>
      <c r="L1141" s="47" t="s">
        <v>32</v>
      </c>
      <c r="M1141" s="46">
        <v>0</v>
      </c>
      <c r="N1141" s="48">
        <v>4</v>
      </c>
      <c r="O1141" s="47" t="s">
        <v>33</v>
      </c>
    </row>
    <row r="1142" ht="14.25" customHeight="1" spans="1:15">
      <c r="A1142" s="43" t="s">
        <v>2225</v>
      </c>
      <c r="B1142" s="44">
        <v>46198</v>
      </c>
      <c r="C1142" s="45">
        <v>0.883333333333333</v>
      </c>
      <c r="D1142" s="46">
        <f t="shared" si="0"/>
        <v>21</v>
      </c>
      <c r="E1142" s="47" t="str">
        <f t="shared" si="7"/>
        <v>Thursday</v>
      </c>
      <c r="F1142" s="47" t="s">
        <v>16</v>
      </c>
      <c r="G1142" s="47" t="s">
        <v>17</v>
      </c>
      <c r="H1142" s="43" t="s">
        <v>18</v>
      </c>
      <c r="I1142" s="48">
        <v>2</v>
      </c>
      <c r="J1142" s="49">
        <v>1000</v>
      </c>
      <c r="K1142" s="49">
        <v>2000</v>
      </c>
      <c r="L1142" s="47" t="s">
        <v>32</v>
      </c>
      <c r="M1142" s="46">
        <v>0</v>
      </c>
      <c r="N1142" s="48">
        <v>4</v>
      </c>
      <c r="O1142" s="47" t="s">
        <v>47</v>
      </c>
    </row>
    <row r="1143" ht="14.25" customHeight="1" spans="1:15">
      <c r="A1143" s="43" t="s">
        <v>2226</v>
      </c>
      <c r="B1143" s="44">
        <v>46198</v>
      </c>
      <c r="C1143" s="45">
        <v>0.886111111111111</v>
      </c>
      <c r="D1143" s="46">
        <f t="shared" si="0"/>
        <v>21</v>
      </c>
      <c r="E1143" s="47" t="str">
        <f t="shared" si="7"/>
        <v>Thursday</v>
      </c>
      <c r="F1143" s="47" t="s">
        <v>16</v>
      </c>
      <c r="G1143" s="43" t="s">
        <v>36</v>
      </c>
      <c r="H1143" s="43" t="s">
        <v>37</v>
      </c>
      <c r="I1143" s="48">
        <v>1</v>
      </c>
      <c r="J1143" s="49">
        <v>3000</v>
      </c>
      <c r="K1143" s="49">
        <v>3000</v>
      </c>
      <c r="L1143" s="47" t="s">
        <v>32</v>
      </c>
      <c r="M1143" s="46">
        <v>0</v>
      </c>
      <c r="N1143" s="48" t="s">
        <v>23</v>
      </c>
      <c r="O1143" s="47" t="s">
        <v>40</v>
      </c>
    </row>
    <row r="1144" ht="14.25" customHeight="1" spans="1:15">
      <c r="A1144" s="43" t="s">
        <v>2227</v>
      </c>
      <c r="B1144" s="44">
        <v>46196</v>
      </c>
      <c r="C1144" s="45">
        <v>0.957638888888889</v>
      </c>
      <c r="D1144" s="46">
        <f t="shared" si="0"/>
        <v>22</v>
      </c>
      <c r="E1144" s="47" t="str">
        <f t="shared" si="7"/>
        <v>Tuesday</v>
      </c>
      <c r="F1144" s="47" t="s">
        <v>43</v>
      </c>
      <c r="G1144" s="47" t="s">
        <v>103</v>
      </c>
      <c r="H1144" s="43" t="s">
        <v>37</v>
      </c>
      <c r="I1144" s="48">
        <v>2</v>
      </c>
      <c r="J1144" s="49">
        <v>5000</v>
      </c>
      <c r="K1144" s="49">
        <v>10000</v>
      </c>
      <c r="L1144" s="47" t="s">
        <v>22</v>
      </c>
      <c r="M1144" s="46">
        <v>0</v>
      </c>
      <c r="N1144" s="48" t="s">
        <v>23</v>
      </c>
      <c r="O1144" s="47" t="s">
        <v>33</v>
      </c>
    </row>
    <row r="1145" ht="14.25" customHeight="1" spans="1:15">
      <c r="A1145" s="43" t="s">
        <v>2228</v>
      </c>
      <c r="B1145" s="44">
        <v>46199</v>
      </c>
      <c r="C1145" s="45">
        <v>0.524305555555556</v>
      </c>
      <c r="D1145" s="46">
        <f t="shared" si="0"/>
        <v>12</v>
      </c>
      <c r="E1145" s="47" t="str">
        <f t="shared" si="7"/>
        <v>Friday</v>
      </c>
      <c r="F1145" s="47" t="s">
        <v>107</v>
      </c>
      <c r="G1145" s="47" t="s">
        <v>81</v>
      </c>
      <c r="H1145" s="43" t="str">
        <f>VLOOKUP(G1145,'02_Menu_Lookup'!$A$2:$C$16,2,FALSE)</f>
        <v>Sandwiches</v>
      </c>
      <c r="I1145" s="48">
        <v>1</v>
      </c>
      <c r="J1145" s="49">
        <v>6000</v>
      </c>
      <c r="K1145" s="49">
        <v>6000</v>
      </c>
      <c r="L1145" s="47" t="s">
        <v>32</v>
      </c>
      <c r="M1145" s="46">
        <v>0</v>
      </c>
      <c r="N1145" s="48" t="s">
        <v>23</v>
      </c>
      <c r="O1145" s="47" t="s">
        <v>47</v>
      </c>
    </row>
    <row r="1146" ht="14.25" customHeight="1" spans="1:15">
      <c r="A1146" s="43" t="s">
        <v>2231</v>
      </c>
      <c r="B1146" s="44">
        <v>46199</v>
      </c>
      <c r="C1146" s="45">
        <v>0.532638888888889</v>
      </c>
      <c r="D1146" s="46">
        <f t="shared" si="0"/>
        <v>12</v>
      </c>
      <c r="E1146" s="47" t="str">
        <f t="shared" si="7"/>
        <v>Friday</v>
      </c>
      <c r="F1146" s="47" t="s">
        <v>16</v>
      </c>
      <c r="G1146" s="47" t="s">
        <v>103</v>
      </c>
      <c r="H1146" s="43" t="s">
        <v>37</v>
      </c>
      <c r="I1146" s="48">
        <v>1</v>
      </c>
      <c r="J1146" s="49">
        <v>5000</v>
      </c>
      <c r="K1146" s="49">
        <v>5000</v>
      </c>
      <c r="L1146" s="47" t="s">
        <v>22</v>
      </c>
      <c r="M1146" s="46">
        <v>0</v>
      </c>
      <c r="N1146" s="48" t="s">
        <v>23</v>
      </c>
      <c r="O1146" s="47" t="s">
        <v>40</v>
      </c>
    </row>
    <row r="1147" ht="14.25" customHeight="1" spans="1:15">
      <c r="A1147" s="43" t="s">
        <v>2234</v>
      </c>
      <c r="B1147" s="44">
        <v>46199</v>
      </c>
      <c r="C1147" s="45">
        <v>0.619444444444444</v>
      </c>
      <c r="D1147" s="46">
        <f t="shared" si="0"/>
        <v>14</v>
      </c>
      <c r="E1147" s="47" t="str">
        <f t="shared" si="7"/>
        <v>Friday</v>
      </c>
      <c r="F1147" s="47" t="s">
        <v>16</v>
      </c>
      <c r="G1147" s="47" t="s">
        <v>44</v>
      </c>
      <c r="H1147" s="43" t="s">
        <v>45</v>
      </c>
      <c r="I1147" s="48">
        <v>1</v>
      </c>
      <c r="J1147" s="49">
        <v>4000</v>
      </c>
      <c r="K1147" s="49">
        <v>4000</v>
      </c>
      <c r="L1147" s="47" t="s">
        <v>22</v>
      </c>
      <c r="M1147" s="46">
        <v>0</v>
      </c>
      <c r="N1147" s="48">
        <v>4</v>
      </c>
      <c r="O1147" s="47" t="s">
        <v>33</v>
      </c>
    </row>
    <row r="1148" ht="14.25" customHeight="1" spans="1:15">
      <c r="A1148" s="43" t="s">
        <v>2235</v>
      </c>
      <c r="B1148" s="44">
        <v>46199</v>
      </c>
      <c r="C1148" s="45">
        <v>0.801388888888889</v>
      </c>
      <c r="D1148" s="46">
        <f t="shared" si="0"/>
        <v>19</v>
      </c>
      <c r="E1148" s="47" t="str">
        <f t="shared" si="7"/>
        <v>Friday</v>
      </c>
      <c r="F1148" s="47" t="s">
        <v>16</v>
      </c>
      <c r="G1148" s="47" t="s">
        <v>44</v>
      </c>
      <c r="H1148" s="43" t="s">
        <v>45</v>
      </c>
      <c r="I1148" s="48">
        <v>1</v>
      </c>
      <c r="J1148" s="49">
        <v>4000</v>
      </c>
      <c r="K1148" s="49">
        <v>4000</v>
      </c>
      <c r="L1148" s="47" t="s">
        <v>22</v>
      </c>
      <c r="M1148" s="46">
        <v>0</v>
      </c>
      <c r="N1148" s="48">
        <v>3</v>
      </c>
      <c r="O1148" s="47" t="s">
        <v>33</v>
      </c>
    </row>
    <row r="1149" ht="14.25" customHeight="1" spans="1:15">
      <c r="A1149" s="43" t="s">
        <v>2236</v>
      </c>
      <c r="B1149" s="44">
        <v>46199</v>
      </c>
      <c r="C1149" s="45">
        <v>0.839583333333333</v>
      </c>
      <c r="D1149" s="46">
        <f t="shared" si="0"/>
        <v>20</v>
      </c>
      <c r="E1149" s="47" t="str">
        <f t="shared" si="7"/>
        <v>Friday</v>
      </c>
      <c r="F1149" s="47" t="s">
        <v>16</v>
      </c>
      <c r="G1149" s="47" t="s">
        <v>17</v>
      </c>
      <c r="H1149" s="43" t="s">
        <v>18</v>
      </c>
      <c r="I1149" s="48">
        <v>1</v>
      </c>
      <c r="J1149" s="49">
        <v>1000</v>
      </c>
      <c r="K1149" s="49">
        <v>1000</v>
      </c>
      <c r="L1149" s="47" t="s">
        <v>22</v>
      </c>
      <c r="M1149" s="46">
        <v>0</v>
      </c>
      <c r="N1149" s="48" t="s">
        <v>23</v>
      </c>
      <c r="O1149" s="47" t="s">
        <v>73</v>
      </c>
    </row>
    <row r="1150" ht="14.25" customHeight="1" spans="1:15">
      <c r="A1150" s="43" t="s">
        <v>2237</v>
      </c>
      <c r="B1150" s="44">
        <v>46199</v>
      </c>
      <c r="C1150" s="45">
        <v>0.8625</v>
      </c>
      <c r="D1150" s="46">
        <f t="shared" si="0"/>
        <v>20</v>
      </c>
      <c r="E1150" s="47" t="str">
        <f t="shared" si="7"/>
        <v>Friday</v>
      </c>
      <c r="F1150" s="47" t="s">
        <v>107</v>
      </c>
      <c r="G1150" s="47" t="s">
        <v>103</v>
      </c>
      <c r="H1150" s="43" t="s">
        <v>37</v>
      </c>
      <c r="I1150" s="48">
        <v>1</v>
      </c>
      <c r="J1150" s="49">
        <v>5000</v>
      </c>
      <c r="K1150" s="49">
        <v>5000</v>
      </c>
      <c r="L1150" s="47" t="s">
        <v>22</v>
      </c>
      <c r="M1150" s="46">
        <v>0</v>
      </c>
      <c r="N1150" s="48" t="s">
        <v>23</v>
      </c>
      <c r="O1150" s="47" t="s">
        <v>40</v>
      </c>
    </row>
    <row r="1151" ht="14.25" customHeight="1" spans="1:15">
      <c r="A1151" s="43" t="s">
        <v>2239</v>
      </c>
      <c r="B1151" s="44">
        <v>46199</v>
      </c>
      <c r="C1151" s="45">
        <v>0.877777777777778</v>
      </c>
      <c r="D1151" s="46">
        <f t="shared" si="0"/>
        <v>21</v>
      </c>
      <c r="E1151" s="47" t="str">
        <f t="shared" si="7"/>
        <v>Friday</v>
      </c>
      <c r="F1151" s="47" t="s">
        <v>16</v>
      </c>
      <c r="G1151" s="47" t="s">
        <v>17</v>
      </c>
      <c r="H1151" s="43" t="s">
        <v>18</v>
      </c>
      <c r="I1151" s="48">
        <v>2</v>
      </c>
      <c r="J1151" s="50">
        <v>1000</v>
      </c>
      <c r="K1151" s="49">
        <v>2000</v>
      </c>
      <c r="L1151" s="47" t="s">
        <v>32</v>
      </c>
      <c r="M1151" s="46">
        <v>0</v>
      </c>
      <c r="N1151" s="48" t="s">
        <v>23</v>
      </c>
      <c r="O1151" s="47" t="s">
        <v>47</v>
      </c>
    </row>
    <row r="1152" ht="14.25" customHeight="1" spans="1:15">
      <c r="A1152" s="43" t="s">
        <v>2240</v>
      </c>
      <c r="B1152" s="44">
        <v>46199</v>
      </c>
      <c r="C1152" s="45">
        <v>0.879861111111111</v>
      </c>
      <c r="D1152" s="46">
        <f t="shared" si="0"/>
        <v>21</v>
      </c>
      <c r="E1152" s="47" t="str">
        <f t="shared" si="7"/>
        <v>Friday</v>
      </c>
      <c r="F1152" s="47" t="s">
        <v>16</v>
      </c>
      <c r="G1152" s="47" t="s">
        <v>81</v>
      </c>
      <c r="H1152" s="43" t="s">
        <v>37</v>
      </c>
      <c r="I1152" s="48">
        <v>1</v>
      </c>
      <c r="J1152" s="49">
        <v>6000</v>
      </c>
      <c r="K1152" s="49">
        <v>6000</v>
      </c>
      <c r="L1152" s="47" t="s">
        <v>32</v>
      </c>
      <c r="M1152" s="46">
        <v>0</v>
      </c>
      <c r="N1152" s="48">
        <v>4</v>
      </c>
      <c r="O1152" s="47" t="s">
        <v>24</v>
      </c>
    </row>
    <row r="1153" ht="14.25" customHeight="1" spans="1:15">
      <c r="A1153" s="43" t="s">
        <v>2241</v>
      </c>
      <c r="B1153" s="44">
        <v>46199</v>
      </c>
      <c r="C1153" s="45">
        <v>0.893055555555556</v>
      </c>
      <c r="D1153" s="46">
        <f t="shared" si="0"/>
        <v>21</v>
      </c>
      <c r="E1153" s="47" t="str">
        <f t="shared" si="7"/>
        <v>Friday</v>
      </c>
      <c r="F1153" s="47" t="s">
        <v>43</v>
      </c>
      <c r="G1153" s="47" t="s">
        <v>57</v>
      </c>
      <c r="H1153" s="43" t="s">
        <v>28</v>
      </c>
      <c r="I1153" s="48">
        <v>1</v>
      </c>
      <c r="J1153" s="49">
        <v>18000</v>
      </c>
      <c r="K1153" s="49">
        <v>18000</v>
      </c>
      <c r="L1153" s="47" t="s">
        <v>22</v>
      </c>
      <c r="M1153" s="46">
        <v>0</v>
      </c>
      <c r="N1153" s="48">
        <v>4</v>
      </c>
      <c r="O1153" s="47" t="s">
        <v>40</v>
      </c>
    </row>
    <row r="1154" ht="14.25" customHeight="1" spans="1:15">
      <c r="A1154" s="43" t="s">
        <v>2242</v>
      </c>
      <c r="B1154" s="44">
        <v>46199</v>
      </c>
      <c r="C1154" s="45">
        <v>0.897222222222222</v>
      </c>
      <c r="D1154" s="46">
        <f t="shared" si="0"/>
        <v>21</v>
      </c>
      <c r="E1154" s="47" t="str">
        <f t="shared" si="7"/>
        <v>Friday</v>
      </c>
      <c r="F1154" s="47" t="s">
        <v>43</v>
      </c>
      <c r="G1154" s="47" t="s">
        <v>44</v>
      </c>
      <c r="H1154" s="43" t="s">
        <v>45</v>
      </c>
      <c r="I1154" s="48">
        <v>1</v>
      </c>
      <c r="J1154" s="49">
        <v>4000</v>
      </c>
      <c r="K1154" s="49">
        <v>4000</v>
      </c>
      <c r="L1154" s="47" t="s">
        <v>22</v>
      </c>
      <c r="M1154" s="46">
        <v>0</v>
      </c>
      <c r="N1154" s="48">
        <v>4</v>
      </c>
      <c r="O1154" s="47" t="s">
        <v>40</v>
      </c>
    </row>
    <row r="1155" ht="14.25" customHeight="1" spans="1:15">
      <c r="A1155" s="43" t="s">
        <v>2243</v>
      </c>
      <c r="B1155" s="44">
        <v>46199</v>
      </c>
      <c r="C1155" s="45">
        <v>0.908333333333333</v>
      </c>
      <c r="D1155" s="46">
        <f t="shared" si="0"/>
        <v>21</v>
      </c>
      <c r="E1155" s="47" t="str">
        <f t="shared" si="7"/>
        <v>Friday</v>
      </c>
      <c r="F1155" s="47" t="s">
        <v>43</v>
      </c>
      <c r="G1155" s="47" t="s">
        <v>44</v>
      </c>
      <c r="H1155" s="43" t="s">
        <v>45</v>
      </c>
      <c r="I1155" s="48">
        <f>K1155/J1155</f>
        <v>1</v>
      </c>
      <c r="J1155" s="49">
        <v>4000</v>
      </c>
      <c r="K1155" s="49">
        <v>4000</v>
      </c>
      <c r="L1155" s="47" t="s">
        <v>22</v>
      </c>
      <c r="M1155" s="46">
        <v>0</v>
      </c>
      <c r="N1155" s="48">
        <v>4</v>
      </c>
      <c r="O1155" s="47" t="s">
        <v>40</v>
      </c>
    </row>
    <row r="1156" ht="14.25" customHeight="1" spans="1:15">
      <c r="A1156" s="43" t="s">
        <v>2244</v>
      </c>
      <c r="B1156" s="44">
        <v>46199</v>
      </c>
      <c r="C1156" s="45">
        <v>0.908333333333333</v>
      </c>
      <c r="D1156" s="46">
        <f t="shared" si="0"/>
        <v>21</v>
      </c>
      <c r="E1156" s="47" t="str">
        <f t="shared" si="7"/>
        <v>Friday</v>
      </c>
      <c r="F1156" s="47" t="s">
        <v>16</v>
      </c>
      <c r="G1156" s="47" t="s">
        <v>367</v>
      </c>
      <c r="H1156" s="43" t="s">
        <v>109</v>
      </c>
      <c r="I1156" s="48">
        <v>1</v>
      </c>
      <c r="J1156" s="49">
        <v>7000</v>
      </c>
      <c r="K1156" s="49">
        <v>7000</v>
      </c>
      <c r="L1156" s="47" t="s">
        <v>22</v>
      </c>
      <c r="M1156" s="46">
        <v>0</v>
      </c>
      <c r="N1156" s="48">
        <v>4</v>
      </c>
      <c r="O1156" s="47" t="s">
        <v>73</v>
      </c>
    </row>
    <row r="1157" ht="14.25" customHeight="1" spans="1:15">
      <c r="A1157" s="43" t="s">
        <v>2245</v>
      </c>
      <c r="B1157" s="44">
        <v>46199</v>
      </c>
      <c r="C1157" s="45">
        <v>0.972916666666667</v>
      </c>
      <c r="D1157" s="46">
        <f t="shared" si="0"/>
        <v>23</v>
      </c>
      <c r="E1157" s="47" t="str">
        <f t="shared" si="7"/>
        <v>Friday</v>
      </c>
      <c r="F1157" s="47" t="s">
        <v>16</v>
      </c>
      <c r="G1157" s="47" t="s">
        <v>103</v>
      </c>
      <c r="H1157" s="43" t="s">
        <v>37</v>
      </c>
      <c r="I1157" s="48">
        <v>1</v>
      </c>
      <c r="J1157" s="49">
        <v>5000</v>
      </c>
      <c r="K1157" s="49">
        <v>5000</v>
      </c>
      <c r="L1157" s="47" t="s">
        <v>22</v>
      </c>
      <c r="M1157" s="46">
        <v>0</v>
      </c>
      <c r="N1157" s="48" t="s">
        <v>23</v>
      </c>
      <c r="O1157" s="47" t="s">
        <v>40</v>
      </c>
    </row>
    <row r="1158" ht="14.25" customHeight="1" spans="1:15">
      <c r="A1158" s="43" t="s">
        <v>2246</v>
      </c>
      <c r="B1158" s="44">
        <v>46199</v>
      </c>
      <c r="C1158" s="45">
        <v>0.975694444444444</v>
      </c>
      <c r="D1158" s="46">
        <f t="shared" si="0"/>
        <v>23</v>
      </c>
      <c r="E1158" s="47" t="str">
        <f t="shared" si="7"/>
        <v>Friday</v>
      </c>
      <c r="F1158" s="47" t="s">
        <v>43</v>
      </c>
      <c r="G1158" s="47" t="s">
        <v>146</v>
      </c>
      <c r="H1158" s="43" t="s">
        <v>28</v>
      </c>
      <c r="I1158" s="48">
        <v>1</v>
      </c>
      <c r="J1158" s="49">
        <f>K1158/I1158</f>
        <v>16000</v>
      </c>
      <c r="K1158" s="49">
        <v>16000</v>
      </c>
      <c r="L1158" s="47" t="s">
        <v>22</v>
      </c>
      <c r="M1158" s="46">
        <v>0</v>
      </c>
      <c r="N1158" s="48" t="s">
        <v>23</v>
      </c>
      <c r="O1158" s="47" t="s">
        <v>24</v>
      </c>
    </row>
    <row r="1159" ht="14.25" customHeight="1" spans="1:15">
      <c r="A1159" s="43" t="s">
        <v>2247</v>
      </c>
      <c r="B1159" s="44">
        <v>46200</v>
      </c>
      <c r="C1159" s="45">
        <v>0.502777777777778</v>
      </c>
      <c r="D1159" s="46">
        <f t="shared" si="0"/>
        <v>12</v>
      </c>
      <c r="E1159" s="47" t="str">
        <f t="shared" si="7"/>
        <v>Saturday</v>
      </c>
      <c r="F1159" s="47" t="s">
        <v>16</v>
      </c>
      <c r="G1159" s="47" t="s">
        <v>103</v>
      </c>
      <c r="H1159" s="43" t="s">
        <v>37</v>
      </c>
      <c r="I1159" s="48">
        <v>1</v>
      </c>
      <c r="J1159" s="49">
        <v>5000</v>
      </c>
      <c r="K1159" s="49">
        <v>5000</v>
      </c>
      <c r="L1159" s="47" t="s">
        <v>22</v>
      </c>
      <c r="M1159" s="46">
        <v>0</v>
      </c>
      <c r="N1159" s="48" t="s">
        <v>23</v>
      </c>
      <c r="O1159" s="47" t="s">
        <v>33</v>
      </c>
    </row>
    <row r="1160" ht="14.25" customHeight="1" spans="1:15">
      <c r="A1160" s="43" t="s">
        <v>2249</v>
      </c>
      <c r="B1160" s="44">
        <v>46200</v>
      </c>
      <c r="C1160" s="45">
        <v>0.565277777777778</v>
      </c>
      <c r="D1160" s="46">
        <f t="shared" si="0"/>
        <v>13</v>
      </c>
      <c r="E1160" s="47" t="str">
        <f t="shared" si="7"/>
        <v>Saturday</v>
      </c>
      <c r="F1160" s="47" t="s">
        <v>16</v>
      </c>
      <c r="G1160" s="47" t="s">
        <v>103</v>
      </c>
      <c r="H1160" s="43" t="s">
        <v>37</v>
      </c>
      <c r="I1160" s="48">
        <v>1</v>
      </c>
      <c r="J1160" s="49">
        <v>5000</v>
      </c>
      <c r="K1160" s="49">
        <v>5000</v>
      </c>
      <c r="L1160" s="47" t="s">
        <v>32</v>
      </c>
      <c r="M1160" s="46">
        <v>0</v>
      </c>
      <c r="N1160" s="48" t="s">
        <v>23</v>
      </c>
      <c r="O1160" s="47" t="s">
        <v>24</v>
      </c>
    </row>
    <row r="1161" ht="14.25" customHeight="1" spans="1:15">
      <c r="A1161" s="43" t="s">
        <v>2252</v>
      </c>
      <c r="B1161" s="44">
        <v>46200</v>
      </c>
      <c r="C1161" s="45">
        <v>0.658333333333333</v>
      </c>
      <c r="D1161" s="46">
        <f t="shared" si="0"/>
        <v>15</v>
      </c>
      <c r="E1161" s="47" t="str">
        <f t="shared" si="7"/>
        <v>Saturday</v>
      </c>
      <c r="F1161" s="47" t="s">
        <v>16</v>
      </c>
      <c r="G1161" s="47" t="s">
        <v>44</v>
      </c>
      <c r="H1161" s="43" t="s">
        <v>45</v>
      </c>
      <c r="I1161" s="48">
        <v>2</v>
      </c>
      <c r="J1161" s="49">
        <v>4000</v>
      </c>
      <c r="K1161" s="49">
        <v>8000</v>
      </c>
      <c r="L1161" s="47" t="s">
        <v>32</v>
      </c>
      <c r="M1161" s="46">
        <v>0</v>
      </c>
      <c r="N1161" s="48" t="s">
        <v>23</v>
      </c>
      <c r="O1161" s="47" t="s">
        <v>73</v>
      </c>
    </row>
    <row r="1162" ht="14.25" customHeight="1" spans="1:15">
      <c r="A1162" s="43" t="s">
        <v>2254</v>
      </c>
      <c r="B1162" s="44">
        <v>46200</v>
      </c>
      <c r="C1162" s="45">
        <v>0.685416666666667</v>
      </c>
      <c r="D1162" s="46">
        <f t="shared" si="0"/>
        <v>16</v>
      </c>
      <c r="E1162" s="47" t="str">
        <f t="shared" si="7"/>
        <v>Saturday</v>
      </c>
      <c r="F1162" s="47" t="s">
        <v>16</v>
      </c>
      <c r="G1162" s="43" t="s">
        <v>36</v>
      </c>
      <c r="H1162" s="43" t="s">
        <v>37</v>
      </c>
      <c r="I1162" s="48">
        <v>2</v>
      </c>
      <c r="J1162" s="49">
        <v>3000</v>
      </c>
      <c r="K1162" s="49">
        <v>6000</v>
      </c>
      <c r="L1162" s="47" t="s">
        <v>22</v>
      </c>
      <c r="M1162" s="46">
        <v>0</v>
      </c>
      <c r="N1162" s="48" t="s">
        <v>23</v>
      </c>
      <c r="O1162" s="47" t="s">
        <v>73</v>
      </c>
    </row>
    <row r="1163" ht="14.25" customHeight="1" spans="1:15">
      <c r="A1163" s="43" t="s">
        <v>2255</v>
      </c>
      <c r="B1163" s="44">
        <v>46200</v>
      </c>
      <c r="C1163" s="45">
        <v>0.695833333333333</v>
      </c>
      <c r="D1163" s="46">
        <f t="shared" si="0"/>
        <v>16</v>
      </c>
      <c r="E1163" s="47" t="str">
        <f t="shared" si="7"/>
        <v>Saturday</v>
      </c>
      <c r="F1163" s="47" t="s">
        <v>16</v>
      </c>
      <c r="G1163" s="47" t="s">
        <v>17</v>
      </c>
      <c r="H1163" s="43" t="s">
        <v>18</v>
      </c>
      <c r="I1163" s="48">
        <v>1</v>
      </c>
      <c r="J1163" s="49">
        <v>1000</v>
      </c>
      <c r="K1163" s="49">
        <v>1000</v>
      </c>
      <c r="L1163" s="47" t="s">
        <v>22</v>
      </c>
      <c r="M1163" s="46">
        <v>0</v>
      </c>
      <c r="N1163" s="48" t="s">
        <v>23</v>
      </c>
      <c r="O1163" s="47" t="s">
        <v>33</v>
      </c>
    </row>
    <row r="1164" ht="14.25" customHeight="1" spans="1:15">
      <c r="A1164" s="43" t="s">
        <v>2256</v>
      </c>
      <c r="B1164" s="44">
        <v>46200</v>
      </c>
      <c r="C1164" s="45">
        <v>0.739583333333333</v>
      </c>
      <c r="D1164" s="46">
        <f t="shared" si="0"/>
        <v>17</v>
      </c>
      <c r="E1164" s="47" t="str">
        <f t="shared" si="7"/>
        <v>Saturday</v>
      </c>
      <c r="F1164" s="47" t="s">
        <v>43</v>
      </c>
      <c r="G1164" s="47" t="s">
        <v>57</v>
      </c>
      <c r="H1164" s="43" t="s">
        <v>28</v>
      </c>
      <c r="I1164" s="48">
        <f>K1164/J1164</f>
        <v>1</v>
      </c>
      <c r="J1164" s="49">
        <v>18000</v>
      </c>
      <c r="K1164" s="49">
        <v>18000</v>
      </c>
      <c r="L1164" s="47" t="s">
        <v>22</v>
      </c>
      <c r="M1164" s="46">
        <v>0</v>
      </c>
      <c r="N1164" s="48" t="s">
        <v>23</v>
      </c>
      <c r="O1164" s="47" t="s">
        <v>24</v>
      </c>
    </row>
    <row r="1165" ht="14.25" customHeight="1" spans="1:15">
      <c r="A1165" s="43" t="s">
        <v>2258</v>
      </c>
      <c r="B1165" s="44">
        <v>46200</v>
      </c>
      <c r="C1165" s="45">
        <v>0.818055555555556</v>
      </c>
      <c r="D1165" s="46">
        <f t="shared" si="0"/>
        <v>19</v>
      </c>
      <c r="E1165" s="47" t="str">
        <f t="shared" si="7"/>
        <v>Saturday</v>
      </c>
      <c r="F1165" s="47" t="s">
        <v>16</v>
      </c>
      <c r="G1165" s="43" t="s">
        <v>36</v>
      </c>
      <c r="H1165" s="43" t="s">
        <v>37</v>
      </c>
      <c r="I1165" s="48">
        <v>1</v>
      </c>
      <c r="J1165" s="49">
        <v>3000</v>
      </c>
      <c r="K1165" s="49">
        <v>3000</v>
      </c>
      <c r="L1165" s="47" t="s">
        <v>22</v>
      </c>
      <c r="M1165" s="46">
        <v>0</v>
      </c>
      <c r="N1165" s="48" t="s">
        <v>23</v>
      </c>
      <c r="O1165" s="47" t="s">
        <v>24</v>
      </c>
    </row>
    <row r="1166" ht="14.25" customHeight="1" spans="1:15">
      <c r="A1166" s="43" t="s">
        <v>2259</v>
      </c>
      <c r="B1166" s="44">
        <v>46200</v>
      </c>
      <c r="C1166" s="45">
        <v>0.86875</v>
      </c>
      <c r="D1166" s="46">
        <f t="shared" si="0"/>
        <v>20</v>
      </c>
      <c r="E1166" s="47" t="str">
        <f t="shared" si="7"/>
        <v>Saturday</v>
      </c>
      <c r="F1166" s="47" t="s">
        <v>43</v>
      </c>
      <c r="G1166" s="47" t="s">
        <v>103</v>
      </c>
      <c r="H1166" s="43" t="s">
        <v>37</v>
      </c>
      <c r="I1166" s="48">
        <v>1</v>
      </c>
      <c r="J1166" s="49">
        <f>K1166/I1166</f>
        <v>5000</v>
      </c>
      <c r="K1166" s="49">
        <v>5000</v>
      </c>
      <c r="L1166" s="47" t="s">
        <v>32</v>
      </c>
      <c r="M1166" s="46">
        <v>0</v>
      </c>
      <c r="N1166" s="48">
        <v>4</v>
      </c>
      <c r="O1166" s="47" t="s">
        <v>47</v>
      </c>
    </row>
    <row r="1167" ht="14.25" customHeight="1" spans="1:15">
      <c r="A1167" s="43" t="s">
        <v>2260</v>
      </c>
      <c r="B1167" s="44">
        <v>46200</v>
      </c>
      <c r="C1167" s="45">
        <v>0.919444444444444</v>
      </c>
      <c r="D1167" s="46">
        <f t="shared" si="0"/>
        <v>22</v>
      </c>
      <c r="E1167" s="47" t="str">
        <f t="shared" si="7"/>
        <v>Saturday</v>
      </c>
      <c r="F1167" s="47" t="s">
        <v>16</v>
      </c>
      <c r="G1167" s="47" t="s">
        <v>81</v>
      </c>
      <c r="H1167" s="43" t="s">
        <v>37</v>
      </c>
      <c r="I1167" s="48">
        <v>1</v>
      </c>
      <c r="J1167" s="49">
        <v>6000</v>
      </c>
      <c r="K1167" s="49">
        <v>6000</v>
      </c>
      <c r="L1167" s="47" t="s">
        <v>22</v>
      </c>
      <c r="M1167" s="46">
        <v>0</v>
      </c>
      <c r="N1167" s="48" t="s">
        <v>23</v>
      </c>
      <c r="O1167" s="47" t="s">
        <v>33</v>
      </c>
    </row>
    <row r="1168" ht="14.25" customHeight="1" spans="1:15">
      <c r="A1168" s="43" t="s">
        <v>2261</v>
      </c>
      <c r="B1168" s="44">
        <v>46200</v>
      </c>
      <c r="C1168" s="45">
        <v>0.940972222222222</v>
      </c>
      <c r="D1168" s="46">
        <f t="shared" si="0"/>
        <v>22</v>
      </c>
      <c r="E1168" s="47" t="str">
        <f t="shared" si="7"/>
        <v>Saturday</v>
      </c>
      <c r="F1168" s="47" t="s">
        <v>16</v>
      </c>
      <c r="G1168" s="47" t="s">
        <v>63</v>
      </c>
      <c r="H1168" s="43" t="s">
        <v>18</v>
      </c>
      <c r="I1168" s="48">
        <v>1</v>
      </c>
      <c r="J1168" s="49">
        <v>1500</v>
      </c>
      <c r="K1168" s="50">
        <v>1350</v>
      </c>
      <c r="L1168" s="47" t="s">
        <v>32</v>
      </c>
      <c r="M1168" s="51">
        <v>0.1</v>
      </c>
      <c r="N1168" s="48" t="s">
        <v>23</v>
      </c>
      <c r="O1168" s="47" t="s">
        <v>47</v>
      </c>
    </row>
    <row r="1169" ht="14.25" customHeight="1" spans="1:15">
      <c r="A1169" s="43" t="s">
        <v>2262</v>
      </c>
      <c r="B1169" s="44">
        <v>46200</v>
      </c>
      <c r="C1169" s="45">
        <v>0.944444444444444</v>
      </c>
      <c r="D1169" s="46">
        <f t="shared" si="0"/>
        <v>22</v>
      </c>
      <c r="E1169" s="47" t="str">
        <f t="shared" si="7"/>
        <v>Saturday</v>
      </c>
      <c r="F1169" s="47" t="s">
        <v>107</v>
      </c>
      <c r="G1169" s="43" t="s">
        <v>36</v>
      </c>
      <c r="H1169" s="43" t="s">
        <v>37</v>
      </c>
      <c r="I1169" s="48">
        <v>2</v>
      </c>
      <c r="J1169" s="49">
        <v>3000</v>
      </c>
      <c r="K1169" s="50">
        <v>5400</v>
      </c>
      <c r="L1169" s="47" t="s">
        <v>32</v>
      </c>
      <c r="M1169" s="51">
        <v>0.1</v>
      </c>
      <c r="N1169" s="48" t="s">
        <v>23</v>
      </c>
      <c r="O1169" s="47" t="s">
        <v>47</v>
      </c>
    </row>
    <row r="1170" ht="14.25" customHeight="1" spans="1:15">
      <c r="A1170" s="43" t="s">
        <v>2263</v>
      </c>
      <c r="B1170" s="44">
        <v>46200</v>
      </c>
      <c r="C1170" s="45">
        <v>0.966666666666667</v>
      </c>
      <c r="D1170" s="46">
        <f t="shared" si="0"/>
        <v>23</v>
      </c>
      <c r="E1170" s="47" t="str">
        <f t="shared" si="7"/>
        <v>Saturday</v>
      </c>
      <c r="F1170" s="47" t="s">
        <v>43</v>
      </c>
      <c r="G1170" s="47" t="s">
        <v>44</v>
      </c>
      <c r="H1170" s="43" t="s">
        <v>45</v>
      </c>
      <c r="I1170" s="48">
        <v>1</v>
      </c>
      <c r="J1170" s="49">
        <v>4000</v>
      </c>
      <c r="K1170" s="50">
        <v>3400</v>
      </c>
      <c r="L1170" s="47" t="s">
        <v>32</v>
      </c>
      <c r="M1170" s="51">
        <v>0.15</v>
      </c>
      <c r="N1170" s="48">
        <v>4</v>
      </c>
      <c r="O1170" s="47" t="s">
        <v>73</v>
      </c>
    </row>
    <row r="1171" ht="14.25" customHeight="1" spans="1:15">
      <c r="A1171" s="43" t="s">
        <v>2264</v>
      </c>
      <c r="B1171" s="44">
        <v>46201</v>
      </c>
      <c r="C1171" s="45">
        <v>0.720138888888889</v>
      </c>
      <c r="D1171" s="46">
        <f t="shared" si="0"/>
        <v>17</v>
      </c>
      <c r="E1171" s="47" t="str">
        <f t="shared" si="7"/>
        <v>Sunday</v>
      </c>
      <c r="F1171" s="47" t="s">
        <v>107</v>
      </c>
      <c r="G1171" s="47" t="s">
        <v>17</v>
      </c>
      <c r="H1171" s="43" t="s">
        <v>18</v>
      </c>
      <c r="I1171" s="48">
        <v>2</v>
      </c>
      <c r="J1171" s="50">
        <v>1000</v>
      </c>
      <c r="K1171" s="49">
        <v>2000</v>
      </c>
      <c r="L1171" s="47" t="s">
        <v>22</v>
      </c>
      <c r="M1171" s="46">
        <v>0</v>
      </c>
      <c r="N1171" s="48">
        <v>4</v>
      </c>
      <c r="O1171" s="47" t="s">
        <v>40</v>
      </c>
    </row>
    <row r="1172" ht="14.25" customHeight="1" spans="1:15">
      <c r="A1172" s="43" t="s">
        <v>2267</v>
      </c>
      <c r="B1172" s="44">
        <v>46201</v>
      </c>
      <c r="C1172" s="45">
        <v>0.807638888888889</v>
      </c>
      <c r="D1172" s="46">
        <f t="shared" si="0"/>
        <v>19</v>
      </c>
      <c r="E1172" s="47" t="str">
        <f t="shared" si="7"/>
        <v>Sunday</v>
      </c>
      <c r="F1172" s="47" t="s">
        <v>43</v>
      </c>
      <c r="G1172" s="47" t="s">
        <v>146</v>
      </c>
      <c r="H1172" s="43" t="s">
        <v>28</v>
      </c>
      <c r="I1172" s="48">
        <v>1</v>
      </c>
      <c r="J1172" s="49">
        <v>16000</v>
      </c>
      <c r="K1172" s="50">
        <v>14400</v>
      </c>
      <c r="L1172" s="47" t="s">
        <v>32</v>
      </c>
      <c r="M1172" s="51">
        <v>0.1</v>
      </c>
      <c r="N1172" s="48" t="s">
        <v>23</v>
      </c>
      <c r="O1172" s="47" t="s">
        <v>73</v>
      </c>
    </row>
    <row r="1173" ht="14.25" customHeight="1" spans="1:15">
      <c r="A1173" s="43" t="s">
        <v>2269</v>
      </c>
      <c r="B1173" s="44">
        <v>46201</v>
      </c>
      <c r="C1173" s="45">
        <v>0.822222222222222</v>
      </c>
      <c r="D1173" s="46">
        <f t="shared" si="0"/>
        <v>19</v>
      </c>
      <c r="E1173" s="47" t="str">
        <f t="shared" si="7"/>
        <v>Sunday</v>
      </c>
      <c r="F1173" s="47" t="s">
        <v>43</v>
      </c>
      <c r="G1173" s="47" t="s">
        <v>27</v>
      </c>
      <c r="H1173" s="43" t="s">
        <v>28</v>
      </c>
      <c r="I1173" s="48">
        <v>1</v>
      </c>
      <c r="J1173" s="49">
        <v>15000</v>
      </c>
      <c r="K1173" s="49">
        <v>15000</v>
      </c>
      <c r="L1173" s="47" t="s">
        <v>32</v>
      </c>
      <c r="M1173" s="46">
        <v>0</v>
      </c>
      <c r="N1173" s="48">
        <v>4</v>
      </c>
      <c r="O1173" s="47" t="s">
        <v>73</v>
      </c>
    </row>
    <row r="1174" ht="14.25" customHeight="1" spans="1:15">
      <c r="A1174" s="43" t="s">
        <v>2270</v>
      </c>
      <c r="B1174" s="44">
        <v>46201</v>
      </c>
      <c r="C1174" s="45">
        <v>0.848611111111111</v>
      </c>
      <c r="D1174" s="46">
        <f t="shared" si="0"/>
        <v>20</v>
      </c>
      <c r="E1174" s="47" t="str">
        <f t="shared" si="7"/>
        <v>Sunday</v>
      </c>
      <c r="F1174" s="47" t="s">
        <v>16</v>
      </c>
      <c r="G1174" s="47" t="s">
        <v>63</v>
      </c>
      <c r="H1174" s="43" t="s">
        <v>18</v>
      </c>
      <c r="I1174" s="48">
        <v>1</v>
      </c>
      <c r="J1174" s="49">
        <v>1500</v>
      </c>
      <c r="K1174" s="49">
        <v>1500</v>
      </c>
      <c r="L1174" s="47" t="s">
        <v>32</v>
      </c>
      <c r="M1174" s="46">
        <v>0</v>
      </c>
      <c r="N1174" s="48" t="s">
        <v>23</v>
      </c>
      <c r="O1174" s="47" t="s">
        <v>47</v>
      </c>
    </row>
    <row r="1175" ht="14.25" customHeight="1" spans="1:15">
      <c r="A1175" s="43" t="s">
        <v>2272</v>
      </c>
      <c r="B1175" s="44">
        <v>46201</v>
      </c>
      <c r="C1175" s="45">
        <v>0.870833333333333</v>
      </c>
      <c r="D1175" s="46">
        <f t="shared" si="0"/>
        <v>20</v>
      </c>
      <c r="E1175" s="47" t="str">
        <f t="shared" si="7"/>
        <v>Sunday</v>
      </c>
      <c r="F1175" s="47" t="s">
        <v>16</v>
      </c>
      <c r="G1175" s="47" t="s">
        <v>27</v>
      </c>
      <c r="H1175" s="43" t="s">
        <v>28</v>
      </c>
      <c r="I1175" s="48">
        <v>1</v>
      </c>
      <c r="J1175" s="49">
        <v>15000</v>
      </c>
      <c r="K1175" s="49">
        <v>15000</v>
      </c>
      <c r="L1175" s="47" t="s">
        <v>22</v>
      </c>
      <c r="M1175" s="46">
        <v>0</v>
      </c>
      <c r="N1175" s="48" t="s">
        <v>23</v>
      </c>
      <c r="O1175" s="47" t="s">
        <v>40</v>
      </c>
    </row>
    <row r="1176" ht="14.25" customHeight="1" spans="1:15">
      <c r="A1176" s="43" t="s">
        <v>2273</v>
      </c>
      <c r="B1176" s="44">
        <v>46201</v>
      </c>
      <c r="C1176" s="45">
        <v>0.886111111111111</v>
      </c>
      <c r="D1176" s="46">
        <f t="shared" si="0"/>
        <v>21</v>
      </c>
      <c r="E1176" s="47" t="str">
        <f t="shared" si="7"/>
        <v>Sunday</v>
      </c>
      <c r="F1176" s="47" t="s">
        <v>16</v>
      </c>
      <c r="G1176" s="47" t="s">
        <v>81</v>
      </c>
      <c r="H1176" s="43" t="s">
        <v>37</v>
      </c>
      <c r="I1176" s="48">
        <v>1</v>
      </c>
      <c r="J1176" s="49">
        <v>6000</v>
      </c>
      <c r="K1176" s="49">
        <v>6000</v>
      </c>
      <c r="L1176" s="47" t="s">
        <v>22</v>
      </c>
      <c r="M1176" s="46">
        <v>0</v>
      </c>
      <c r="N1176" s="48" t="s">
        <v>23</v>
      </c>
      <c r="O1176" s="47" t="s">
        <v>73</v>
      </c>
    </row>
    <row r="1177" ht="14.25" customHeight="1" spans="1:15">
      <c r="A1177" s="43" t="s">
        <v>2274</v>
      </c>
      <c r="B1177" s="44">
        <v>46201</v>
      </c>
      <c r="C1177" s="45">
        <v>0.925</v>
      </c>
      <c r="D1177" s="46">
        <f t="shared" si="0"/>
        <v>22</v>
      </c>
      <c r="E1177" s="47" t="str">
        <f t="shared" si="7"/>
        <v>Sunday</v>
      </c>
      <c r="F1177" s="47" t="s">
        <v>43</v>
      </c>
      <c r="G1177" s="47" t="s">
        <v>50</v>
      </c>
      <c r="H1177" s="43" t="s">
        <v>28</v>
      </c>
      <c r="I1177" s="48">
        <v>1</v>
      </c>
      <c r="J1177" s="49">
        <v>25000</v>
      </c>
      <c r="K1177" s="49">
        <f>I1177*J1177</f>
        <v>25000</v>
      </c>
      <c r="L1177" s="47" t="s">
        <v>32</v>
      </c>
      <c r="M1177" s="46">
        <v>0</v>
      </c>
      <c r="N1177" s="48" t="s">
        <v>23</v>
      </c>
      <c r="O1177" s="47" t="s">
        <v>24</v>
      </c>
    </row>
    <row r="1178" ht="14.25" customHeight="1" spans="1:15">
      <c r="A1178" s="43" t="s">
        <v>2276</v>
      </c>
      <c r="B1178" s="44">
        <v>46201</v>
      </c>
      <c r="C1178" s="45">
        <v>0.939583333333333</v>
      </c>
      <c r="D1178" s="46">
        <f t="shared" si="0"/>
        <v>22</v>
      </c>
      <c r="E1178" s="47" t="str">
        <f t="shared" si="7"/>
        <v>Sunday</v>
      </c>
      <c r="F1178" s="47" t="s">
        <v>16</v>
      </c>
      <c r="G1178" s="47" t="s">
        <v>146</v>
      </c>
      <c r="H1178" s="43" t="s">
        <v>28</v>
      </c>
      <c r="I1178" s="48">
        <v>1</v>
      </c>
      <c r="J1178" s="49">
        <v>16000</v>
      </c>
      <c r="K1178" s="50">
        <v>14400</v>
      </c>
      <c r="L1178" s="47" t="s">
        <v>22</v>
      </c>
      <c r="M1178" s="51">
        <v>0.1</v>
      </c>
      <c r="N1178" s="48" t="s">
        <v>23</v>
      </c>
      <c r="O1178" s="47" t="s">
        <v>33</v>
      </c>
    </row>
    <row r="1179" ht="14.25" customHeight="1" spans="1:15">
      <c r="A1179" s="43" t="s">
        <v>2277</v>
      </c>
      <c r="B1179" s="44">
        <v>46201</v>
      </c>
      <c r="C1179" s="45">
        <v>0.96875</v>
      </c>
      <c r="D1179" s="46">
        <f t="shared" si="0"/>
        <v>23</v>
      </c>
      <c r="E1179" s="47" t="str">
        <f t="shared" si="7"/>
        <v>Sunday</v>
      </c>
      <c r="F1179" s="47" t="s">
        <v>43</v>
      </c>
      <c r="G1179" s="43" t="s">
        <v>165</v>
      </c>
      <c r="H1179" s="43" t="s">
        <v>109</v>
      </c>
      <c r="I1179" s="48">
        <v>1</v>
      </c>
      <c r="J1179" s="49">
        <v>6000</v>
      </c>
      <c r="K1179" s="49">
        <v>6000</v>
      </c>
      <c r="L1179" s="47" t="s">
        <v>22</v>
      </c>
      <c r="M1179" s="46">
        <v>0</v>
      </c>
      <c r="N1179" s="48" t="s">
        <v>23</v>
      </c>
      <c r="O1179" s="47" t="s">
        <v>24</v>
      </c>
    </row>
    <row r="1180" ht="14.25" customHeight="1" spans="1:15">
      <c r="A1180" s="43" t="s">
        <v>2279</v>
      </c>
      <c r="B1180" s="44">
        <v>46201</v>
      </c>
      <c r="C1180" s="45">
        <v>0.977083333333333</v>
      </c>
      <c r="D1180" s="46">
        <f t="shared" si="0"/>
        <v>23</v>
      </c>
      <c r="E1180" s="47" t="str">
        <f t="shared" si="7"/>
        <v>Sunday</v>
      </c>
      <c r="F1180" s="47" t="s">
        <v>43</v>
      </c>
      <c r="G1180" s="47" t="s">
        <v>44</v>
      </c>
      <c r="H1180" s="43" t="s">
        <v>45</v>
      </c>
      <c r="I1180" s="48">
        <v>1</v>
      </c>
      <c r="J1180" s="49">
        <v>4000</v>
      </c>
      <c r="K1180" s="49">
        <v>4000</v>
      </c>
      <c r="L1180" s="47" t="s">
        <v>32</v>
      </c>
      <c r="M1180" s="46">
        <v>0</v>
      </c>
      <c r="N1180" s="48">
        <v>4</v>
      </c>
      <c r="O1180" s="47" t="s">
        <v>33</v>
      </c>
    </row>
    <row r="1181" ht="14.25" customHeight="1" spans="1:15">
      <c r="A1181" s="43" t="s">
        <v>2280</v>
      </c>
      <c r="B1181" s="44">
        <v>46202</v>
      </c>
      <c r="C1181" s="45">
        <v>0.725</v>
      </c>
      <c r="D1181" s="46">
        <f t="shared" si="0"/>
        <v>17</v>
      </c>
      <c r="E1181" s="47" t="str">
        <f t="shared" si="7"/>
        <v>Monday</v>
      </c>
      <c r="F1181" s="47" t="s">
        <v>107</v>
      </c>
      <c r="G1181" s="47" t="s">
        <v>146</v>
      </c>
      <c r="H1181" s="43" t="s">
        <v>28</v>
      </c>
      <c r="I1181" s="48">
        <v>2</v>
      </c>
      <c r="J1181" s="50">
        <v>16000</v>
      </c>
      <c r="K1181" s="49">
        <f>I1181*J1181</f>
        <v>32000</v>
      </c>
      <c r="L1181" s="47" t="s">
        <v>32</v>
      </c>
      <c r="M1181" s="46">
        <v>0</v>
      </c>
      <c r="N1181" s="48">
        <v>5</v>
      </c>
      <c r="O1181" s="47" t="s">
        <v>47</v>
      </c>
    </row>
    <row r="1182" ht="14.25" customHeight="1" spans="1:15">
      <c r="A1182" s="43" t="s">
        <v>2282</v>
      </c>
      <c r="B1182" s="44">
        <v>46202</v>
      </c>
      <c r="C1182" s="45">
        <v>0.79375</v>
      </c>
      <c r="D1182" s="46">
        <f t="shared" si="0"/>
        <v>19</v>
      </c>
      <c r="E1182" s="47" t="str">
        <f t="shared" si="7"/>
        <v>Monday</v>
      </c>
      <c r="F1182" s="47" t="s">
        <v>16</v>
      </c>
      <c r="G1182" s="47" t="s">
        <v>103</v>
      </c>
      <c r="H1182" s="43" t="s">
        <v>37</v>
      </c>
      <c r="I1182" s="48">
        <v>1</v>
      </c>
      <c r="J1182" s="49">
        <v>5000</v>
      </c>
      <c r="K1182" s="49">
        <v>5000</v>
      </c>
      <c r="L1182" s="47" t="s">
        <v>22</v>
      </c>
      <c r="M1182" s="46">
        <v>0</v>
      </c>
      <c r="N1182" s="48" t="s">
        <v>23</v>
      </c>
      <c r="O1182" s="47" t="s">
        <v>47</v>
      </c>
    </row>
    <row r="1183" ht="14.25" customHeight="1" spans="1:15">
      <c r="A1183" s="43" t="s">
        <v>2284</v>
      </c>
      <c r="B1183" s="44">
        <v>46202</v>
      </c>
      <c r="C1183" s="45">
        <v>0.825694444444444</v>
      </c>
      <c r="D1183" s="46">
        <f t="shared" si="0"/>
        <v>19</v>
      </c>
      <c r="E1183" s="47" t="str">
        <f t="shared" si="7"/>
        <v>Monday</v>
      </c>
      <c r="F1183" s="47" t="s">
        <v>16</v>
      </c>
      <c r="G1183" s="47" t="s">
        <v>50</v>
      </c>
      <c r="H1183" s="43" t="s">
        <v>28</v>
      </c>
      <c r="I1183" s="48">
        <v>1</v>
      </c>
      <c r="J1183" s="49">
        <v>25000</v>
      </c>
      <c r="K1183" s="49">
        <v>25000</v>
      </c>
      <c r="L1183" s="47" t="s">
        <v>22</v>
      </c>
      <c r="M1183" s="46">
        <v>0</v>
      </c>
      <c r="N1183" s="48">
        <v>4</v>
      </c>
      <c r="O1183" s="47" t="s">
        <v>33</v>
      </c>
    </row>
    <row r="1184" ht="14.25" customHeight="1" spans="1:15">
      <c r="A1184" s="43" t="s">
        <v>2285</v>
      </c>
      <c r="B1184" s="44">
        <v>46202</v>
      </c>
      <c r="C1184" s="45">
        <v>0.83125</v>
      </c>
      <c r="D1184" s="46">
        <f t="shared" si="0"/>
        <v>19</v>
      </c>
      <c r="E1184" s="47" t="str">
        <f t="shared" si="7"/>
        <v>Monday</v>
      </c>
      <c r="F1184" s="47" t="s">
        <v>43</v>
      </c>
      <c r="G1184" s="43" t="s">
        <v>165</v>
      </c>
      <c r="H1184" s="43" t="s">
        <v>109</v>
      </c>
      <c r="I1184" s="48">
        <v>1</v>
      </c>
      <c r="J1184" s="49">
        <v>6000</v>
      </c>
      <c r="K1184" s="49">
        <v>6000</v>
      </c>
      <c r="L1184" s="47" t="s">
        <v>22</v>
      </c>
      <c r="M1184" s="46">
        <v>0</v>
      </c>
      <c r="N1184" s="48">
        <v>3</v>
      </c>
      <c r="O1184" s="47" t="s">
        <v>73</v>
      </c>
    </row>
    <row r="1185" ht="14.25" customHeight="1" spans="1:15">
      <c r="A1185" s="43" t="s">
        <v>2286</v>
      </c>
      <c r="B1185" s="44">
        <v>46202</v>
      </c>
      <c r="C1185" s="45">
        <v>0.845138888888889</v>
      </c>
      <c r="D1185" s="46">
        <f t="shared" si="0"/>
        <v>20</v>
      </c>
      <c r="E1185" s="47" t="str">
        <f t="shared" si="7"/>
        <v>Monday</v>
      </c>
      <c r="F1185" s="47" t="s">
        <v>43</v>
      </c>
      <c r="G1185" s="47" t="s">
        <v>17</v>
      </c>
      <c r="H1185" s="43" t="s">
        <v>18</v>
      </c>
      <c r="I1185" s="48">
        <v>1</v>
      </c>
      <c r="J1185" s="49">
        <v>1000</v>
      </c>
      <c r="K1185" s="49">
        <v>1000</v>
      </c>
      <c r="L1185" s="47" t="s">
        <v>32</v>
      </c>
      <c r="M1185" s="46">
        <v>0</v>
      </c>
      <c r="N1185" s="48" t="s">
        <v>23</v>
      </c>
      <c r="O1185" s="47" t="s">
        <v>33</v>
      </c>
    </row>
    <row r="1186" ht="14.25" customHeight="1" spans="1:15">
      <c r="A1186" s="43" t="s">
        <v>2287</v>
      </c>
      <c r="B1186" s="44">
        <v>46202</v>
      </c>
      <c r="C1186" s="45">
        <v>0.884722222222222</v>
      </c>
      <c r="D1186" s="46">
        <f t="shared" si="0"/>
        <v>21</v>
      </c>
      <c r="E1186" s="47" t="str">
        <f t="shared" si="7"/>
        <v>Monday</v>
      </c>
      <c r="F1186" s="47" t="s">
        <v>43</v>
      </c>
      <c r="G1186" s="47" t="s">
        <v>63</v>
      </c>
      <c r="H1186" s="43" t="s">
        <v>18</v>
      </c>
      <c r="I1186" s="48">
        <v>2</v>
      </c>
      <c r="J1186" s="49">
        <v>1500</v>
      </c>
      <c r="K1186" s="49">
        <v>3000</v>
      </c>
      <c r="L1186" s="47" t="s">
        <v>22</v>
      </c>
      <c r="M1186" s="46">
        <v>0</v>
      </c>
      <c r="N1186" s="48">
        <v>4</v>
      </c>
      <c r="O1186" s="47" t="s">
        <v>33</v>
      </c>
    </row>
    <row r="1187" ht="14.25" customHeight="1" spans="1:15">
      <c r="A1187" s="43" t="s">
        <v>2288</v>
      </c>
      <c r="B1187" s="44">
        <v>46202</v>
      </c>
      <c r="C1187" s="45">
        <v>0.949305555555556</v>
      </c>
      <c r="D1187" s="46">
        <f t="shared" si="0"/>
        <v>22</v>
      </c>
      <c r="E1187" s="47" t="str">
        <f t="shared" si="7"/>
        <v>Monday</v>
      </c>
      <c r="F1187" s="47" t="s">
        <v>43</v>
      </c>
      <c r="G1187" s="47" t="s">
        <v>63</v>
      </c>
      <c r="H1187" s="43" t="s">
        <v>18</v>
      </c>
      <c r="I1187" s="48">
        <v>2</v>
      </c>
      <c r="J1187" s="49">
        <v>1500</v>
      </c>
      <c r="K1187" s="49">
        <v>3000</v>
      </c>
      <c r="L1187" s="47" t="s">
        <v>22</v>
      </c>
      <c r="M1187" s="46">
        <v>0</v>
      </c>
      <c r="N1187" s="48" t="s">
        <v>23</v>
      </c>
      <c r="O1187" s="47" t="s">
        <v>40</v>
      </c>
    </row>
    <row r="1188" ht="14.25" customHeight="1" spans="1:15">
      <c r="A1188" s="43" t="s">
        <v>2290</v>
      </c>
      <c r="B1188" s="44">
        <v>46203</v>
      </c>
      <c r="C1188" s="45">
        <v>0.459027777777778</v>
      </c>
      <c r="D1188" s="46">
        <f t="shared" si="0"/>
        <v>11</v>
      </c>
      <c r="E1188" s="47" t="str">
        <f t="shared" si="7"/>
        <v>Tuesday</v>
      </c>
      <c r="F1188" s="47" t="s">
        <v>16</v>
      </c>
      <c r="G1188" s="47" t="s">
        <v>146</v>
      </c>
      <c r="H1188" s="43" t="s">
        <v>28</v>
      </c>
      <c r="I1188" s="48">
        <v>1</v>
      </c>
      <c r="J1188" s="49">
        <v>16000</v>
      </c>
      <c r="K1188" s="49">
        <v>16000</v>
      </c>
      <c r="L1188" s="47" t="s">
        <v>32</v>
      </c>
      <c r="M1188" s="46">
        <v>0</v>
      </c>
      <c r="N1188" s="48" t="s">
        <v>23</v>
      </c>
      <c r="O1188" s="47" t="s">
        <v>24</v>
      </c>
    </row>
    <row r="1189" ht="14.25" customHeight="1" spans="1:15">
      <c r="A1189" s="43" t="s">
        <v>2293</v>
      </c>
      <c r="B1189" s="44">
        <v>46203</v>
      </c>
      <c r="C1189" s="45">
        <v>0.561805555555556</v>
      </c>
      <c r="D1189" s="46">
        <f t="shared" si="0"/>
        <v>13</v>
      </c>
      <c r="E1189" s="47" t="str">
        <f t="shared" si="7"/>
        <v>Tuesday</v>
      </c>
      <c r="F1189" s="47" t="s">
        <v>107</v>
      </c>
      <c r="G1189" s="47" t="s">
        <v>17</v>
      </c>
      <c r="H1189" s="43" t="s">
        <v>18</v>
      </c>
      <c r="I1189" s="48">
        <v>2</v>
      </c>
      <c r="J1189" s="49">
        <v>1000</v>
      </c>
      <c r="K1189" s="49">
        <v>2000</v>
      </c>
      <c r="L1189" s="47" t="s">
        <v>22</v>
      </c>
      <c r="M1189" s="46">
        <v>0</v>
      </c>
      <c r="N1189" s="48">
        <v>4</v>
      </c>
      <c r="O1189" s="47" t="s">
        <v>47</v>
      </c>
    </row>
    <row r="1190" ht="14.25" customHeight="1" spans="1:15">
      <c r="A1190" s="43" t="s">
        <v>2296</v>
      </c>
      <c r="B1190" s="44">
        <v>46203</v>
      </c>
      <c r="C1190" s="45">
        <v>0.581944444444444</v>
      </c>
      <c r="D1190" s="46">
        <f t="shared" si="0"/>
        <v>13</v>
      </c>
      <c r="E1190" s="47" t="str">
        <f t="shared" si="7"/>
        <v>Tuesday</v>
      </c>
      <c r="F1190" s="47" t="s">
        <v>16</v>
      </c>
      <c r="G1190" s="43" t="s">
        <v>647</v>
      </c>
      <c r="H1190" s="43" t="s">
        <v>45</v>
      </c>
      <c r="I1190" s="48">
        <v>1</v>
      </c>
      <c r="J1190" s="49">
        <v>4500</v>
      </c>
      <c r="K1190" s="49">
        <v>4500</v>
      </c>
      <c r="L1190" s="47" t="s">
        <v>32</v>
      </c>
      <c r="M1190" s="46">
        <v>0</v>
      </c>
      <c r="N1190" s="48">
        <v>3</v>
      </c>
      <c r="O1190" s="47" t="s">
        <v>33</v>
      </c>
    </row>
    <row r="1191" ht="14.25" customHeight="1" spans="1:15">
      <c r="A1191" s="43" t="s">
        <v>2298</v>
      </c>
      <c r="B1191" s="44">
        <v>46203</v>
      </c>
      <c r="C1191" s="45">
        <v>0.90625</v>
      </c>
      <c r="D1191" s="46">
        <f t="shared" si="0"/>
        <v>21</v>
      </c>
      <c r="E1191" s="47" t="str">
        <f t="shared" si="7"/>
        <v>Tuesday</v>
      </c>
      <c r="F1191" s="47" t="s">
        <v>16</v>
      </c>
      <c r="G1191" s="47" t="s">
        <v>63</v>
      </c>
      <c r="H1191" s="43" t="s">
        <v>18</v>
      </c>
      <c r="I1191" s="48">
        <v>1</v>
      </c>
      <c r="J1191" s="49">
        <v>1500</v>
      </c>
      <c r="K1191" s="49">
        <v>1500</v>
      </c>
      <c r="L1191" s="47" t="s">
        <v>22</v>
      </c>
      <c r="M1191" s="46">
        <v>0</v>
      </c>
      <c r="N1191" s="48" t="s">
        <v>23</v>
      </c>
      <c r="O1191" s="47" t="s">
        <v>24</v>
      </c>
    </row>
    <row r="1192" ht="14.25" customHeight="1" spans="1:15">
      <c r="A1192" s="43" t="s">
        <v>2299</v>
      </c>
      <c r="B1192" s="44">
        <v>46204</v>
      </c>
      <c r="C1192" s="45">
        <v>0.6125</v>
      </c>
      <c r="D1192" s="46">
        <f t="shared" si="0"/>
        <v>14</v>
      </c>
      <c r="E1192" s="47" t="str">
        <f t="shared" si="7"/>
        <v>Wednesday</v>
      </c>
      <c r="F1192" s="47" t="s">
        <v>16</v>
      </c>
      <c r="G1192" s="43" t="s">
        <v>199</v>
      </c>
      <c r="H1192" s="43" t="s">
        <v>18</v>
      </c>
      <c r="I1192" s="48">
        <v>1</v>
      </c>
      <c r="J1192" s="49">
        <v>3000</v>
      </c>
      <c r="K1192" s="49">
        <v>3000</v>
      </c>
      <c r="L1192" s="47" t="s">
        <v>32</v>
      </c>
      <c r="M1192" s="46">
        <v>0</v>
      </c>
      <c r="N1192" s="48" t="s">
        <v>23</v>
      </c>
      <c r="O1192" s="47" t="s">
        <v>40</v>
      </c>
    </row>
    <row r="1193" ht="14.25" customHeight="1" spans="1:15">
      <c r="A1193" s="43" t="s">
        <v>2301</v>
      </c>
      <c r="B1193" s="44">
        <v>46204</v>
      </c>
      <c r="C1193" s="45">
        <v>0.788194444444444</v>
      </c>
      <c r="D1193" s="46">
        <f t="shared" si="0"/>
        <v>18</v>
      </c>
      <c r="E1193" s="47" t="str">
        <f t="shared" si="7"/>
        <v>Wednesday</v>
      </c>
      <c r="F1193" s="47" t="s">
        <v>16</v>
      </c>
      <c r="G1193" s="47" t="s">
        <v>81</v>
      </c>
      <c r="H1193" s="43" t="s">
        <v>37</v>
      </c>
      <c r="I1193" s="48">
        <v>1</v>
      </c>
      <c r="J1193" s="49">
        <v>6000</v>
      </c>
      <c r="K1193" s="49">
        <v>6000</v>
      </c>
      <c r="L1193" s="47" t="s">
        <v>32</v>
      </c>
      <c r="M1193" s="46">
        <v>0</v>
      </c>
      <c r="N1193" s="48">
        <v>3</v>
      </c>
      <c r="O1193" s="47" t="s">
        <v>40</v>
      </c>
    </row>
    <row r="1194" ht="14.25" customHeight="1" spans="1:15">
      <c r="A1194" s="43" t="s">
        <v>2303</v>
      </c>
      <c r="B1194" s="44">
        <v>46207</v>
      </c>
      <c r="C1194" s="45">
        <v>0.828472222222222</v>
      </c>
      <c r="D1194" s="46">
        <f t="shared" si="0"/>
        <v>19</v>
      </c>
      <c r="E1194" s="47" t="str">
        <f t="shared" si="7"/>
        <v>Saturday</v>
      </c>
      <c r="F1194" s="47" t="s">
        <v>16</v>
      </c>
      <c r="G1194" s="47" t="s">
        <v>50</v>
      </c>
      <c r="H1194" s="43" t="s">
        <v>28</v>
      </c>
      <c r="I1194" s="48">
        <v>1</v>
      </c>
      <c r="J1194" s="49">
        <v>25000</v>
      </c>
      <c r="K1194" s="49">
        <v>25000</v>
      </c>
      <c r="L1194" s="47" t="s">
        <v>22</v>
      </c>
      <c r="M1194" s="46">
        <v>0</v>
      </c>
      <c r="N1194" s="48" t="s">
        <v>23</v>
      </c>
      <c r="O1194" s="47" t="s">
        <v>73</v>
      </c>
    </row>
    <row r="1195" ht="14.25" customHeight="1" spans="1:15">
      <c r="A1195" s="43" t="s">
        <v>2305</v>
      </c>
      <c r="B1195" s="44">
        <v>46204</v>
      </c>
      <c r="C1195" s="45">
        <v>0.845138888888889</v>
      </c>
      <c r="D1195" s="46">
        <f t="shared" si="0"/>
        <v>20</v>
      </c>
      <c r="E1195" s="47" t="str">
        <f t="shared" si="7"/>
        <v>Wednesday</v>
      </c>
      <c r="F1195" s="47" t="s">
        <v>16</v>
      </c>
      <c r="G1195" s="47" t="s">
        <v>44</v>
      </c>
      <c r="H1195" s="43" t="s">
        <v>45</v>
      </c>
      <c r="I1195" s="48">
        <v>1</v>
      </c>
      <c r="J1195" s="49">
        <v>4000</v>
      </c>
      <c r="K1195" s="49">
        <v>4000</v>
      </c>
      <c r="L1195" s="47" t="s">
        <v>22</v>
      </c>
      <c r="M1195" s="46">
        <v>0</v>
      </c>
      <c r="N1195" s="48">
        <v>5</v>
      </c>
      <c r="O1195" s="47" t="s">
        <v>24</v>
      </c>
    </row>
    <row r="1196" ht="14.25" customHeight="1" spans="1:15">
      <c r="A1196" s="43" t="s">
        <v>2306</v>
      </c>
      <c r="B1196" s="44">
        <v>46204</v>
      </c>
      <c r="C1196" s="45">
        <v>0.845833333333333</v>
      </c>
      <c r="D1196" s="46">
        <f t="shared" si="0"/>
        <v>20</v>
      </c>
      <c r="E1196" s="47" t="str">
        <f t="shared" si="7"/>
        <v>Wednesday</v>
      </c>
      <c r="F1196" s="47" t="s">
        <v>107</v>
      </c>
      <c r="G1196" s="47" t="s">
        <v>103</v>
      </c>
      <c r="H1196" s="43" t="s">
        <v>37</v>
      </c>
      <c r="I1196" s="48">
        <v>3</v>
      </c>
      <c r="J1196" s="49">
        <v>5000</v>
      </c>
      <c r="K1196" s="49">
        <v>15000</v>
      </c>
      <c r="L1196" s="47" t="s">
        <v>22</v>
      </c>
      <c r="M1196" s="46">
        <v>0</v>
      </c>
      <c r="N1196" s="48" t="s">
        <v>23</v>
      </c>
      <c r="O1196" s="47" t="s">
        <v>73</v>
      </c>
    </row>
    <row r="1197" ht="14.25" customHeight="1" spans="1:15">
      <c r="A1197" s="43" t="s">
        <v>2307</v>
      </c>
      <c r="B1197" s="44">
        <v>46204</v>
      </c>
      <c r="C1197" s="45">
        <v>0.857638888888889</v>
      </c>
      <c r="D1197" s="46">
        <f t="shared" si="0"/>
        <v>20</v>
      </c>
      <c r="E1197" s="47" t="str">
        <f t="shared" si="7"/>
        <v>Wednesday</v>
      </c>
      <c r="F1197" s="47" t="s">
        <v>16</v>
      </c>
      <c r="G1197" s="47" t="s">
        <v>27</v>
      </c>
      <c r="H1197" s="43" t="str">
        <f>VLOOKUP(G1197,'02_Menu_Lookup'!$A$2:$C$16,2,FALSE)</f>
        <v>Grills</v>
      </c>
      <c r="I1197" s="48">
        <v>1</v>
      </c>
      <c r="J1197" s="49">
        <v>15000</v>
      </c>
      <c r="K1197" s="50">
        <v>12000</v>
      </c>
      <c r="L1197" s="47" t="s">
        <v>22</v>
      </c>
      <c r="M1197" s="51">
        <v>0.2</v>
      </c>
      <c r="N1197" s="48" t="s">
        <v>23</v>
      </c>
      <c r="O1197" s="47" t="s">
        <v>47</v>
      </c>
    </row>
    <row r="1198" ht="14.25" customHeight="1" spans="1:15">
      <c r="A1198" s="43" t="s">
        <v>2308</v>
      </c>
      <c r="B1198" s="44">
        <v>46204</v>
      </c>
      <c r="C1198" s="45">
        <v>0.873611111111111</v>
      </c>
      <c r="D1198" s="46">
        <f t="shared" si="0"/>
        <v>20</v>
      </c>
      <c r="E1198" s="47" t="str">
        <f t="shared" si="7"/>
        <v>Wednesday</v>
      </c>
      <c r="F1198" s="47" t="s">
        <v>43</v>
      </c>
      <c r="G1198" s="47" t="s">
        <v>81</v>
      </c>
      <c r="H1198" s="43" t="s">
        <v>37</v>
      </c>
      <c r="I1198" s="48">
        <v>1</v>
      </c>
      <c r="J1198" s="49">
        <v>6000</v>
      </c>
      <c r="K1198" s="50">
        <v>5400</v>
      </c>
      <c r="L1198" s="47" t="s">
        <v>22</v>
      </c>
      <c r="M1198" s="51">
        <v>0.1</v>
      </c>
      <c r="N1198" s="48">
        <v>4</v>
      </c>
      <c r="O1198" s="47" t="s">
        <v>40</v>
      </c>
    </row>
    <row r="1199" ht="14.25" customHeight="1" spans="1:15">
      <c r="A1199" s="43" t="s">
        <v>2309</v>
      </c>
      <c r="B1199" s="44">
        <v>46204</v>
      </c>
      <c r="C1199" s="45">
        <v>0.881944444444444</v>
      </c>
      <c r="D1199" s="46">
        <f t="shared" si="0"/>
        <v>21</v>
      </c>
      <c r="E1199" s="47" t="str">
        <f t="shared" si="7"/>
        <v>Wednesday</v>
      </c>
      <c r="F1199" s="47" t="s">
        <v>43</v>
      </c>
      <c r="G1199" s="43" t="s">
        <v>199</v>
      </c>
      <c r="H1199" s="43" t="s">
        <v>18</v>
      </c>
      <c r="I1199" s="48">
        <v>1</v>
      </c>
      <c r="J1199" s="49">
        <v>3000</v>
      </c>
      <c r="K1199" s="49">
        <v>3000</v>
      </c>
      <c r="L1199" s="47" t="s">
        <v>22</v>
      </c>
      <c r="M1199" s="46">
        <v>0</v>
      </c>
      <c r="N1199" s="48">
        <v>5</v>
      </c>
      <c r="O1199" s="47" t="s">
        <v>47</v>
      </c>
    </row>
    <row r="1200" ht="14.25" customHeight="1" spans="1:15">
      <c r="A1200" s="43" t="s">
        <v>2310</v>
      </c>
      <c r="B1200" s="44">
        <v>46204</v>
      </c>
      <c r="C1200" s="45">
        <v>0.897916666666667</v>
      </c>
      <c r="D1200" s="46">
        <f t="shared" si="0"/>
        <v>21</v>
      </c>
      <c r="E1200" s="47" t="str">
        <f t="shared" si="7"/>
        <v>Wednesday</v>
      </c>
      <c r="F1200" s="47" t="s">
        <v>107</v>
      </c>
      <c r="G1200" s="47" t="s">
        <v>95</v>
      </c>
      <c r="H1200" s="43" t="s">
        <v>45</v>
      </c>
      <c r="I1200" s="48">
        <v>1</v>
      </c>
      <c r="J1200" s="49">
        <v>5000</v>
      </c>
      <c r="K1200" s="49">
        <v>5000</v>
      </c>
      <c r="L1200" s="47" t="s">
        <v>22</v>
      </c>
      <c r="M1200" s="46">
        <v>0</v>
      </c>
      <c r="N1200" s="48" t="s">
        <v>23</v>
      </c>
      <c r="O1200" s="47" t="s">
        <v>24</v>
      </c>
    </row>
    <row r="1201" ht="14.25" customHeight="1" spans="1:15">
      <c r="A1201" s="43" t="s">
        <v>2311</v>
      </c>
      <c r="B1201" s="44">
        <v>46204</v>
      </c>
      <c r="C1201" s="45">
        <v>0.938194444444444</v>
      </c>
      <c r="D1201" s="46">
        <f t="shared" si="0"/>
        <v>22</v>
      </c>
      <c r="E1201" s="47" t="str">
        <f t="shared" si="7"/>
        <v>Wednesday</v>
      </c>
      <c r="F1201" s="47" t="s">
        <v>43</v>
      </c>
      <c r="G1201" s="47" t="s">
        <v>367</v>
      </c>
      <c r="H1201" s="43" t="s">
        <v>109</v>
      </c>
      <c r="I1201" s="48">
        <v>2</v>
      </c>
      <c r="J1201" s="49">
        <f>K1201/I1201</f>
        <v>7000</v>
      </c>
      <c r="K1201" s="49">
        <v>14000</v>
      </c>
      <c r="L1201" s="47" t="s">
        <v>22</v>
      </c>
      <c r="M1201" s="46">
        <v>0</v>
      </c>
      <c r="N1201" s="48" t="s">
        <v>23</v>
      </c>
      <c r="O1201" s="47" t="s">
        <v>33</v>
      </c>
    </row>
    <row r="1202" ht="14.25" customHeight="1" spans="1:15">
      <c r="A1202" s="43" t="s">
        <v>2312</v>
      </c>
      <c r="B1202" s="44">
        <v>46204</v>
      </c>
      <c r="C1202" s="45">
        <v>0.965972222222222</v>
      </c>
      <c r="D1202" s="46">
        <f t="shared" si="0"/>
        <v>23</v>
      </c>
      <c r="E1202" s="47" t="str">
        <f t="shared" si="7"/>
        <v>Wednesday</v>
      </c>
      <c r="F1202" s="47" t="s">
        <v>43</v>
      </c>
      <c r="G1202" s="47" t="s">
        <v>146</v>
      </c>
      <c r="H1202" s="43" t="s">
        <v>28</v>
      </c>
      <c r="I1202" s="48">
        <v>1</v>
      </c>
      <c r="J1202" s="49">
        <v>16000</v>
      </c>
      <c r="K1202" s="49">
        <v>16000</v>
      </c>
      <c r="L1202" s="47" t="s">
        <v>32</v>
      </c>
      <c r="M1202" s="46">
        <v>0</v>
      </c>
      <c r="N1202" s="48" t="s">
        <v>23</v>
      </c>
      <c r="O1202" s="47" t="s">
        <v>40</v>
      </c>
    </row>
    <row r="1203" ht="14.25" customHeight="1" spans="1:15">
      <c r="A1203" s="43" t="s">
        <v>2314</v>
      </c>
      <c r="B1203" s="44">
        <v>46029</v>
      </c>
      <c r="C1203" s="45">
        <v>0.970833333333333</v>
      </c>
      <c r="D1203" s="46">
        <f t="shared" si="0"/>
        <v>23</v>
      </c>
      <c r="E1203" s="47" t="str">
        <f t="shared" si="7"/>
        <v>Wednesday</v>
      </c>
      <c r="F1203" s="47" t="s">
        <v>43</v>
      </c>
      <c r="G1203" s="47" t="s">
        <v>63</v>
      </c>
      <c r="H1203" s="43" t="s">
        <v>18</v>
      </c>
      <c r="I1203" s="48">
        <v>2</v>
      </c>
      <c r="J1203" s="49">
        <v>1500</v>
      </c>
      <c r="K1203" s="49">
        <v>3000</v>
      </c>
      <c r="L1203" s="47" t="s">
        <v>22</v>
      </c>
      <c r="M1203" s="46">
        <v>0</v>
      </c>
      <c r="N1203" s="48" t="s">
        <v>23</v>
      </c>
      <c r="O1203" s="47" t="s">
        <v>47</v>
      </c>
    </row>
    <row r="1204" ht="14.25" customHeight="1" spans="1:15">
      <c r="A1204" s="43" t="s">
        <v>2316</v>
      </c>
      <c r="B1204" s="44">
        <v>46205</v>
      </c>
      <c r="C1204" s="45">
        <v>0.567361111111111</v>
      </c>
      <c r="D1204" s="46">
        <f t="shared" si="0"/>
        <v>13</v>
      </c>
      <c r="E1204" s="47" t="str">
        <f t="shared" si="7"/>
        <v>Thursday</v>
      </c>
      <c r="F1204" s="47" t="s">
        <v>16</v>
      </c>
      <c r="G1204" s="47" t="s">
        <v>103</v>
      </c>
      <c r="H1204" s="43" t="str">
        <f>VLOOKUP(G1204,'02_Menu_Lookup'!$A$2:$C$16,2,FALSE)</f>
        <v>Sandwiches</v>
      </c>
      <c r="I1204" s="48">
        <v>2</v>
      </c>
      <c r="J1204" s="49">
        <v>5000</v>
      </c>
      <c r="K1204" s="49">
        <v>10000</v>
      </c>
      <c r="L1204" s="47" t="s">
        <v>32</v>
      </c>
      <c r="M1204" s="46">
        <v>0</v>
      </c>
      <c r="N1204" s="48">
        <v>4</v>
      </c>
      <c r="O1204" s="47" t="s">
        <v>40</v>
      </c>
    </row>
    <row r="1205" ht="14.25" customHeight="1" spans="1:15">
      <c r="A1205" s="43" t="s">
        <v>2318</v>
      </c>
      <c r="B1205" s="44">
        <v>46205</v>
      </c>
      <c r="C1205" s="45">
        <v>0.591666666666667</v>
      </c>
      <c r="D1205" s="46">
        <f t="shared" si="0"/>
        <v>14</v>
      </c>
      <c r="E1205" s="47" t="str">
        <f t="shared" si="7"/>
        <v>Thursday</v>
      </c>
      <c r="F1205" s="47" t="s">
        <v>16</v>
      </c>
      <c r="G1205" s="47" t="s">
        <v>27</v>
      </c>
      <c r="H1205" s="43" t="s">
        <v>28</v>
      </c>
      <c r="I1205" s="48">
        <v>1</v>
      </c>
      <c r="J1205" s="49">
        <v>15000</v>
      </c>
      <c r="K1205" s="49">
        <v>15000</v>
      </c>
      <c r="L1205" s="47" t="s">
        <v>32</v>
      </c>
      <c r="M1205" s="46">
        <v>0</v>
      </c>
      <c r="N1205" s="48" t="s">
        <v>23</v>
      </c>
      <c r="O1205" s="47" t="s">
        <v>33</v>
      </c>
    </row>
    <row r="1206" ht="14.25" customHeight="1" spans="1:15">
      <c r="A1206" s="43" t="s">
        <v>2320</v>
      </c>
      <c r="B1206" s="44">
        <v>46205</v>
      </c>
      <c r="C1206" s="45">
        <v>0.748611111111111</v>
      </c>
      <c r="D1206" s="46">
        <f t="shared" si="0"/>
        <v>17</v>
      </c>
      <c r="E1206" s="47" t="str">
        <f t="shared" si="7"/>
        <v>Thursday</v>
      </c>
      <c r="F1206" s="47" t="s">
        <v>16</v>
      </c>
      <c r="G1206" s="43" t="s">
        <v>36</v>
      </c>
      <c r="H1206" s="43" t="s">
        <v>37</v>
      </c>
      <c r="I1206" s="48">
        <v>1</v>
      </c>
      <c r="J1206" s="49">
        <v>3000</v>
      </c>
      <c r="K1206" s="49">
        <v>3000</v>
      </c>
      <c r="L1206" s="47" t="s">
        <v>22</v>
      </c>
      <c r="M1206" s="46">
        <v>0</v>
      </c>
      <c r="N1206" s="48" t="s">
        <v>23</v>
      </c>
      <c r="O1206" s="47" t="s">
        <v>33</v>
      </c>
    </row>
    <row r="1207" ht="14.25" customHeight="1" spans="1:15">
      <c r="A1207" s="43" t="s">
        <v>2321</v>
      </c>
      <c r="B1207" s="44">
        <v>46205</v>
      </c>
      <c r="C1207" s="45">
        <v>0.756944444444444</v>
      </c>
      <c r="D1207" s="46">
        <f t="shared" si="0"/>
        <v>18</v>
      </c>
      <c r="E1207" s="47" t="str">
        <f t="shared" si="7"/>
        <v>Thursday</v>
      </c>
      <c r="F1207" s="47" t="s">
        <v>16</v>
      </c>
      <c r="G1207" s="47" t="s">
        <v>63</v>
      </c>
      <c r="H1207" s="43" t="s">
        <v>18</v>
      </c>
      <c r="I1207" s="48">
        <v>1</v>
      </c>
      <c r="J1207" s="49">
        <v>1500</v>
      </c>
      <c r="K1207" s="49">
        <v>1500</v>
      </c>
      <c r="L1207" s="47" t="s">
        <v>32</v>
      </c>
      <c r="M1207" s="46">
        <v>0</v>
      </c>
      <c r="N1207" s="48">
        <v>4</v>
      </c>
      <c r="O1207" s="47" t="s">
        <v>47</v>
      </c>
    </row>
    <row r="1208" ht="14.25" customHeight="1" spans="1:15">
      <c r="A1208" s="43" t="s">
        <v>2323</v>
      </c>
      <c r="B1208" s="44">
        <v>46205</v>
      </c>
      <c r="C1208" s="45">
        <v>0.860416666666667</v>
      </c>
      <c r="D1208" s="46">
        <f t="shared" si="0"/>
        <v>20</v>
      </c>
      <c r="E1208" s="47" t="str">
        <f t="shared" si="7"/>
        <v>Thursday</v>
      </c>
      <c r="F1208" s="47" t="s">
        <v>16</v>
      </c>
      <c r="G1208" s="47" t="s">
        <v>17</v>
      </c>
      <c r="H1208" s="43" t="s">
        <v>18</v>
      </c>
      <c r="I1208" s="48">
        <f>K1208/J1208</f>
        <v>1</v>
      </c>
      <c r="J1208" s="49">
        <v>1000</v>
      </c>
      <c r="K1208" s="49">
        <v>1000</v>
      </c>
      <c r="L1208" s="47" t="s">
        <v>22</v>
      </c>
      <c r="M1208" s="46">
        <v>0</v>
      </c>
      <c r="N1208" s="48" t="s">
        <v>23</v>
      </c>
      <c r="O1208" s="47" t="s">
        <v>33</v>
      </c>
    </row>
    <row r="1209" ht="14.25" customHeight="1" spans="1:15">
      <c r="A1209" s="43" t="s">
        <v>2324</v>
      </c>
      <c r="B1209" s="44">
        <v>46205</v>
      </c>
      <c r="C1209" s="45">
        <v>0.876388888888889</v>
      </c>
      <c r="D1209" s="46">
        <f t="shared" si="0"/>
        <v>21</v>
      </c>
      <c r="E1209" s="47" t="str">
        <f t="shared" si="7"/>
        <v>Thursday</v>
      </c>
      <c r="F1209" s="47" t="s">
        <v>43</v>
      </c>
      <c r="G1209" s="47" t="s">
        <v>27</v>
      </c>
      <c r="H1209" s="43" t="s">
        <v>28</v>
      </c>
      <c r="I1209" s="48">
        <v>1</v>
      </c>
      <c r="J1209" s="49">
        <v>15000</v>
      </c>
      <c r="K1209" s="49">
        <v>15000</v>
      </c>
      <c r="L1209" s="47" t="s">
        <v>32</v>
      </c>
      <c r="M1209" s="46">
        <v>0</v>
      </c>
      <c r="N1209" s="48" t="s">
        <v>23</v>
      </c>
      <c r="O1209" s="47" t="s">
        <v>73</v>
      </c>
    </row>
    <row r="1210" ht="14.25" customHeight="1" spans="1:15">
      <c r="A1210" s="43" t="s">
        <v>2325</v>
      </c>
      <c r="B1210" s="44">
        <v>46205</v>
      </c>
      <c r="C1210" s="45">
        <v>0.877083333333333</v>
      </c>
      <c r="D1210" s="46">
        <f t="shared" si="0"/>
        <v>21</v>
      </c>
      <c r="E1210" s="47" t="str">
        <f t="shared" si="7"/>
        <v>Thursday</v>
      </c>
      <c r="F1210" s="47" t="s">
        <v>43</v>
      </c>
      <c r="G1210" s="47" t="s">
        <v>27</v>
      </c>
      <c r="H1210" s="43" t="s">
        <v>28</v>
      </c>
      <c r="I1210" s="48">
        <v>1</v>
      </c>
      <c r="J1210" s="49">
        <v>15000</v>
      </c>
      <c r="K1210" s="49">
        <v>15000</v>
      </c>
      <c r="L1210" s="47" t="s">
        <v>32</v>
      </c>
      <c r="M1210" s="46">
        <v>0</v>
      </c>
      <c r="N1210" s="48" t="s">
        <v>23</v>
      </c>
      <c r="O1210" s="47" t="s">
        <v>24</v>
      </c>
    </row>
    <row r="1211" ht="14.25" customHeight="1" spans="1:15">
      <c r="A1211" s="43" t="s">
        <v>2326</v>
      </c>
      <c r="B1211" s="44">
        <v>46205</v>
      </c>
      <c r="C1211" s="45">
        <v>0.886805555555556</v>
      </c>
      <c r="D1211" s="46">
        <f t="shared" si="0"/>
        <v>21</v>
      </c>
      <c r="E1211" s="47" t="str">
        <f t="shared" si="7"/>
        <v>Thursday</v>
      </c>
      <c r="F1211" s="47" t="s">
        <v>43</v>
      </c>
      <c r="G1211" s="47" t="s">
        <v>103</v>
      </c>
      <c r="H1211" s="43" t="s">
        <v>37</v>
      </c>
      <c r="I1211" s="48">
        <v>1</v>
      </c>
      <c r="J1211" s="49">
        <v>5000</v>
      </c>
      <c r="K1211" s="49">
        <v>5000</v>
      </c>
      <c r="L1211" s="47" t="s">
        <v>22</v>
      </c>
      <c r="M1211" s="46">
        <v>0</v>
      </c>
      <c r="N1211" s="48" t="s">
        <v>23</v>
      </c>
      <c r="O1211" s="47" t="s">
        <v>73</v>
      </c>
    </row>
    <row r="1212" ht="14.25" customHeight="1" spans="1:15">
      <c r="A1212" s="43" t="s">
        <v>2327</v>
      </c>
      <c r="B1212" s="44">
        <v>46205</v>
      </c>
      <c r="C1212" s="45">
        <v>0.911805555555556</v>
      </c>
      <c r="D1212" s="46">
        <f t="shared" si="0"/>
        <v>21</v>
      </c>
      <c r="E1212" s="47" t="str">
        <f t="shared" si="7"/>
        <v>Thursday</v>
      </c>
      <c r="F1212" s="47" t="s">
        <v>107</v>
      </c>
      <c r="G1212" s="47" t="s">
        <v>95</v>
      </c>
      <c r="H1212" s="43" t="s">
        <v>45</v>
      </c>
      <c r="I1212" s="48">
        <v>1</v>
      </c>
      <c r="J1212" s="49">
        <v>5000</v>
      </c>
      <c r="K1212" s="50">
        <v>5000</v>
      </c>
      <c r="L1212" s="47" t="s">
        <v>22</v>
      </c>
      <c r="M1212" s="46">
        <v>0</v>
      </c>
      <c r="N1212" s="48">
        <v>4</v>
      </c>
      <c r="O1212" s="47" t="s">
        <v>40</v>
      </c>
    </row>
    <row r="1213" ht="14.25" customHeight="1" spans="1:15">
      <c r="A1213" s="43" t="s">
        <v>2328</v>
      </c>
      <c r="B1213" s="44">
        <v>46205</v>
      </c>
      <c r="C1213" s="45">
        <v>0.919444444444444</v>
      </c>
      <c r="D1213" s="46">
        <f t="shared" si="0"/>
        <v>22</v>
      </c>
      <c r="E1213" s="47" t="str">
        <f t="shared" si="7"/>
        <v>Thursday</v>
      </c>
      <c r="F1213" s="47" t="s">
        <v>43</v>
      </c>
      <c r="G1213" s="47" t="s">
        <v>367</v>
      </c>
      <c r="H1213" s="43" t="s">
        <v>109</v>
      </c>
      <c r="I1213" s="48">
        <v>1</v>
      </c>
      <c r="J1213" s="49">
        <v>7000</v>
      </c>
      <c r="K1213" s="49">
        <v>7000</v>
      </c>
      <c r="L1213" s="47" t="s">
        <v>22</v>
      </c>
      <c r="M1213" s="46">
        <v>0</v>
      </c>
      <c r="N1213" s="48" t="s">
        <v>23</v>
      </c>
      <c r="O1213" s="47" t="s">
        <v>47</v>
      </c>
    </row>
    <row r="1214" ht="14.25" customHeight="1" spans="1:15">
      <c r="A1214" s="43" t="s">
        <v>2329</v>
      </c>
      <c r="B1214" s="44">
        <v>46088</v>
      </c>
      <c r="C1214" s="45">
        <v>0.559722222222222</v>
      </c>
      <c r="D1214" s="46">
        <f t="shared" si="0"/>
        <v>13</v>
      </c>
      <c r="E1214" s="47" t="str">
        <f t="shared" si="7"/>
        <v>Saturday</v>
      </c>
      <c r="F1214" s="47" t="s">
        <v>16</v>
      </c>
      <c r="G1214" s="47" t="s">
        <v>17</v>
      </c>
      <c r="H1214" s="43" t="s">
        <v>18</v>
      </c>
      <c r="I1214" s="48">
        <v>1</v>
      </c>
      <c r="J1214" s="49">
        <v>1000</v>
      </c>
      <c r="K1214" s="49">
        <v>1000</v>
      </c>
      <c r="L1214" s="47" t="s">
        <v>32</v>
      </c>
      <c r="M1214" s="46">
        <v>0</v>
      </c>
      <c r="N1214" s="48">
        <v>4</v>
      </c>
      <c r="O1214" s="47" t="s">
        <v>73</v>
      </c>
    </row>
    <row r="1215" ht="14.25" customHeight="1" spans="1:15">
      <c r="A1215" s="43" t="s">
        <v>2332</v>
      </c>
      <c r="B1215" s="44">
        <v>46206</v>
      </c>
      <c r="C1215" s="45">
        <v>0.565972222222222</v>
      </c>
      <c r="D1215" s="46">
        <f t="shared" si="0"/>
        <v>13</v>
      </c>
      <c r="E1215" s="47" t="str">
        <f t="shared" si="7"/>
        <v>Friday</v>
      </c>
      <c r="F1215" s="47" t="s">
        <v>16</v>
      </c>
      <c r="G1215" s="47" t="s">
        <v>146</v>
      </c>
      <c r="H1215" s="43" t="s">
        <v>28</v>
      </c>
      <c r="I1215" s="48">
        <v>1</v>
      </c>
      <c r="J1215" s="49">
        <v>16000</v>
      </c>
      <c r="K1215" s="50">
        <v>13600</v>
      </c>
      <c r="L1215" s="47" t="s">
        <v>22</v>
      </c>
      <c r="M1215" s="51">
        <v>0.15</v>
      </c>
      <c r="N1215" s="48">
        <v>5</v>
      </c>
      <c r="O1215" s="47" t="s">
        <v>24</v>
      </c>
    </row>
    <row r="1216" ht="14.25" customHeight="1" spans="1:15">
      <c r="A1216" s="43" t="s">
        <v>2336</v>
      </c>
      <c r="B1216" s="44">
        <v>46206</v>
      </c>
      <c r="C1216" s="45">
        <v>0.732638888888889</v>
      </c>
      <c r="D1216" s="46">
        <f t="shared" si="0"/>
        <v>17</v>
      </c>
      <c r="E1216" s="47" t="str">
        <f t="shared" si="7"/>
        <v>Friday</v>
      </c>
      <c r="F1216" s="47" t="s">
        <v>107</v>
      </c>
      <c r="G1216" s="47" t="s">
        <v>57</v>
      </c>
      <c r="H1216" s="43" t="s">
        <v>28</v>
      </c>
      <c r="I1216" s="48"/>
      <c r="J1216" s="49">
        <v>18000</v>
      </c>
      <c r="K1216" s="50">
        <v>0</v>
      </c>
      <c r="L1216" s="47" t="s">
        <v>22</v>
      </c>
      <c r="M1216" s="51">
        <v>0.15</v>
      </c>
      <c r="N1216" s="48" t="s">
        <v>23</v>
      </c>
      <c r="O1216" s="47" t="s">
        <v>47</v>
      </c>
    </row>
    <row r="1217" ht="14.25" customHeight="1" spans="1:15">
      <c r="A1217" s="43" t="s">
        <v>2337</v>
      </c>
      <c r="B1217" s="44">
        <v>46206</v>
      </c>
      <c r="C1217" s="45">
        <v>0.771527777777778</v>
      </c>
      <c r="D1217" s="46">
        <f t="shared" si="0"/>
        <v>18</v>
      </c>
      <c r="E1217" s="47" t="str">
        <f t="shared" si="7"/>
        <v>Friday</v>
      </c>
      <c r="F1217" s="47" t="s">
        <v>107</v>
      </c>
      <c r="G1217" s="47" t="s">
        <v>57</v>
      </c>
      <c r="H1217" s="43" t="s">
        <v>28</v>
      </c>
      <c r="I1217" s="48">
        <v>1</v>
      </c>
      <c r="J1217" s="50">
        <v>18000</v>
      </c>
      <c r="K1217" s="49">
        <v>18000</v>
      </c>
      <c r="L1217" s="47" t="s">
        <v>22</v>
      </c>
      <c r="M1217" s="46">
        <v>0</v>
      </c>
      <c r="N1217" s="48" t="s">
        <v>23</v>
      </c>
      <c r="O1217" s="47" t="s">
        <v>33</v>
      </c>
    </row>
    <row r="1218" ht="14.25" customHeight="1" spans="1:15">
      <c r="A1218" s="43" t="s">
        <v>2339</v>
      </c>
      <c r="B1218" s="44">
        <v>46206</v>
      </c>
      <c r="C1218" s="45">
        <v>0.808333333333333</v>
      </c>
      <c r="D1218" s="46">
        <f t="shared" si="0"/>
        <v>19</v>
      </c>
      <c r="E1218" s="47" t="str">
        <f t="shared" si="7"/>
        <v>Friday</v>
      </c>
      <c r="F1218" s="47" t="s">
        <v>16</v>
      </c>
      <c r="G1218" s="47" t="s">
        <v>57</v>
      </c>
      <c r="H1218" s="43" t="s">
        <v>28</v>
      </c>
      <c r="I1218" s="48">
        <v>1</v>
      </c>
      <c r="J1218" s="49">
        <v>18000</v>
      </c>
      <c r="K1218" s="49">
        <v>18000</v>
      </c>
      <c r="L1218" s="47" t="s">
        <v>32</v>
      </c>
      <c r="M1218" s="46">
        <v>0</v>
      </c>
      <c r="N1218" s="48">
        <v>4</v>
      </c>
      <c r="O1218" s="47" t="s">
        <v>47</v>
      </c>
    </row>
    <row r="1219" ht="14.25" customHeight="1" spans="1:15">
      <c r="A1219" s="43" t="s">
        <v>2342</v>
      </c>
      <c r="B1219" s="44">
        <v>46206</v>
      </c>
      <c r="C1219" s="45">
        <v>0.815972222222222</v>
      </c>
      <c r="D1219" s="46">
        <f t="shared" si="0"/>
        <v>19</v>
      </c>
      <c r="E1219" s="47" t="str">
        <f t="shared" si="7"/>
        <v>Friday</v>
      </c>
      <c r="F1219" s="47" t="s">
        <v>43</v>
      </c>
      <c r="G1219" s="47" t="s">
        <v>44</v>
      </c>
      <c r="H1219" s="43" t="s">
        <v>45</v>
      </c>
      <c r="I1219" s="48">
        <v>1</v>
      </c>
      <c r="J1219" s="49">
        <v>4000</v>
      </c>
      <c r="K1219" s="49">
        <v>4000</v>
      </c>
      <c r="L1219" s="47" t="s">
        <v>22</v>
      </c>
      <c r="M1219" s="46">
        <v>0</v>
      </c>
      <c r="N1219" s="48">
        <v>5</v>
      </c>
      <c r="O1219" s="47" t="s">
        <v>24</v>
      </c>
    </row>
    <row r="1220" ht="14.25" customHeight="1" spans="1:15">
      <c r="A1220" s="43" t="s">
        <v>2344</v>
      </c>
      <c r="B1220" s="44">
        <v>46088</v>
      </c>
      <c r="C1220" s="45">
        <v>0.831944444444444</v>
      </c>
      <c r="D1220" s="46">
        <f t="shared" si="0"/>
        <v>19</v>
      </c>
      <c r="E1220" s="47" t="str">
        <f t="shared" si="7"/>
        <v>Saturday</v>
      </c>
      <c r="F1220" s="47" t="s">
        <v>107</v>
      </c>
      <c r="G1220" s="47" t="s">
        <v>44</v>
      </c>
      <c r="H1220" s="43" t="s">
        <v>45</v>
      </c>
      <c r="I1220" s="48">
        <v>1</v>
      </c>
      <c r="J1220" s="49">
        <v>4000</v>
      </c>
      <c r="K1220" s="49">
        <v>4000</v>
      </c>
      <c r="L1220" s="47" t="s">
        <v>32</v>
      </c>
      <c r="M1220" s="46">
        <v>0</v>
      </c>
      <c r="N1220" s="48" t="s">
        <v>23</v>
      </c>
      <c r="O1220" s="47" t="s">
        <v>40</v>
      </c>
    </row>
    <row r="1221" ht="14.25" customHeight="1" spans="1:15">
      <c r="A1221" s="43" t="s">
        <v>2345</v>
      </c>
      <c r="B1221" s="44">
        <v>46206</v>
      </c>
      <c r="C1221" s="45">
        <v>0.839583333333333</v>
      </c>
      <c r="D1221" s="46">
        <f t="shared" si="0"/>
        <v>20</v>
      </c>
      <c r="E1221" s="47" t="str">
        <f t="shared" si="7"/>
        <v>Friday</v>
      </c>
      <c r="F1221" s="47" t="s">
        <v>107</v>
      </c>
      <c r="G1221" s="47" t="s">
        <v>103</v>
      </c>
      <c r="H1221" s="43" t="s">
        <v>37</v>
      </c>
      <c r="I1221" s="48">
        <v>1</v>
      </c>
      <c r="J1221" s="49">
        <v>5000</v>
      </c>
      <c r="K1221" s="49">
        <v>5000</v>
      </c>
      <c r="L1221" s="47" t="s">
        <v>32</v>
      </c>
      <c r="M1221" s="46">
        <v>0</v>
      </c>
      <c r="N1221" s="48">
        <v>3</v>
      </c>
      <c r="O1221" s="47" t="s">
        <v>24</v>
      </c>
    </row>
    <row r="1222" ht="14.25" customHeight="1" spans="1:15">
      <c r="A1222" s="43" t="s">
        <v>2346</v>
      </c>
      <c r="B1222" s="44">
        <v>46206</v>
      </c>
      <c r="C1222" s="45">
        <v>0.863888888888889</v>
      </c>
      <c r="D1222" s="46">
        <f t="shared" si="0"/>
        <v>20</v>
      </c>
      <c r="E1222" s="47" t="str">
        <f t="shared" si="7"/>
        <v>Friday</v>
      </c>
      <c r="F1222" s="47" t="s">
        <v>107</v>
      </c>
      <c r="G1222" s="47" t="s">
        <v>44</v>
      </c>
      <c r="H1222" s="43" t="s">
        <v>45</v>
      </c>
      <c r="I1222" s="48">
        <v>1</v>
      </c>
      <c r="J1222" s="49">
        <v>3400</v>
      </c>
      <c r="K1222" s="50">
        <v>2890</v>
      </c>
      <c r="L1222" s="47" t="s">
        <v>32</v>
      </c>
      <c r="M1222" s="51">
        <v>0.15</v>
      </c>
      <c r="N1222" s="48" t="s">
        <v>23</v>
      </c>
      <c r="O1222" s="47" t="s">
        <v>40</v>
      </c>
    </row>
    <row r="1223" ht="14.25" customHeight="1" spans="1:15">
      <c r="A1223" s="43" t="s">
        <v>2347</v>
      </c>
      <c r="B1223" s="44">
        <v>46206</v>
      </c>
      <c r="C1223" s="45">
        <v>0.886111111111111</v>
      </c>
      <c r="D1223" s="46">
        <f t="shared" si="0"/>
        <v>21</v>
      </c>
      <c r="E1223" s="47" t="str">
        <f t="shared" si="7"/>
        <v>Friday</v>
      </c>
      <c r="F1223" s="47" t="s">
        <v>43</v>
      </c>
      <c r="G1223" s="47" t="s">
        <v>57</v>
      </c>
      <c r="H1223" s="43" t="s">
        <v>28</v>
      </c>
      <c r="I1223" s="48">
        <v>1</v>
      </c>
      <c r="J1223" s="49">
        <v>18000</v>
      </c>
      <c r="K1223" s="49">
        <v>18000</v>
      </c>
      <c r="L1223" s="47" t="s">
        <v>32</v>
      </c>
      <c r="M1223" s="46">
        <v>0</v>
      </c>
      <c r="N1223" s="48" t="s">
        <v>23</v>
      </c>
      <c r="O1223" s="47" t="s">
        <v>24</v>
      </c>
    </row>
    <row r="1224" ht="14.25" customHeight="1" spans="1:15">
      <c r="A1224" s="43" t="s">
        <v>2348</v>
      </c>
      <c r="B1224" s="44">
        <v>46206</v>
      </c>
      <c r="C1224" s="45">
        <v>0.961805555555556</v>
      </c>
      <c r="D1224" s="46">
        <f t="shared" si="0"/>
        <v>23</v>
      </c>
      <c r="E1224" s="47" t="str">
        <f t="shared" si="7"/>
        <v>Friday</v>
      </c>
      <c r="F1224" s="47" t="s">
        <v>43</v>
      </c>
      <c r="G1224" s="47" t="s">
        <v>17</v>
      </c>
      <c r="H1224" s="43" t="s">
        <v>18</v>
      </c>
      <c r="I1224" s="48">
        <v>1</v>
      </c>
      <c r="J1224" s="49">
        <v>1000</v>
      </c>
      <c r="K1224" s="49">
        <v>1000</v>
      </c>
      <c r="L1224" s="47" t="s">
        <v>32</v>
      </c>
      <c r="M1224" s="46">
        <v>0</v>
      </c>
      <c r="N1224" s="48" t="s">
        <v>23</v>
      </c>
      <c r="O1224" s="47" t="s">
        <v>33</v>
      </c>
    </row>
    <row r="1225" ht="14.25" customHeight="1" spans="1:15">
      <c r="A1225" s="43" t="s">
        <v>2349</v>
      </c>
      <c r="B1225" s="44">
        <v>46207</v>
      </c>
      <c r="C1225" s="45">
        <v>0.55</v>
      </c>
      <c r="D1225" s="46">
        <f t="shared" si="0"/>
        <v>13</v>
      </c>
      <c r="E1225" s="47" t="str">
        <f t="shared" si="7"/>
        <v>Saturday</v>
      </c>
      <c r="F1225" s="47" t="s">
        <v>16</v>
      </c>
      <c r="G1225" s="47" t="s">
        <v>95</v>
      </c>
      <c r="H1225" s="43" t="s">
        <v>45</v>
      </c>
      <c r="I1225" s="48">
        <v>1</v>
      </c>
      <c r="J1225" s="49">
        <v>5000</v>
      </c>
      <c r="K1225" s="49">
        <v>5000</v>
      </c>
      <c r="L1225" s="47" t="s">
        <v>32</v>
      </c>
      <c r="M1225" s="46">
        <v>0</v>
      </c>
      <c r="N1225" s="48">
        <v>4</v>
      </c>
      <c r="O1225" s="47" t="s">
        <v>40</v>
      </c>
    </row>
    <row r="1226" ht="14.25" customHeight="1" spans="1:15">
      <c r="A1226" s="43" t="s">
        <v>2351</v>
      </c>
      <c r="B1226" s="44">
        <v>46207</v>
      </c>
      <c r="C1226" s="45">
        <v>0.559027777777778</v>
      </c>
      <c r="D1226" s="46">
        <f t="shared" si="0"/>
        <v>13</v>
      </c>
      <c r="E1226" s="47" t="str">
        <f t="shared" si="7"/>
        <v>Saturday</v>
      </c>
      <c r="F1226" s="47" t="s">
        <v>107</v>
      </c>
      <c r="G1226" s="47" t="s">
        <v>17</v>
      </c>
      <c r="H1226" s="43" t="s">
        <v>18</v>
      </c>
      <c r="I1226" s="48">
        <v>1</v>
      </c>
      <c r="J1226" s="49">
        <v>1000</v>
      </c>
      <c r="K1226" s="50">
        <v>900</v>
      </c>
      <c r="L1226" s="47" t="s">
        <v>22</v>
      </c>
      <c r="M1226" s="51">
        <v>0.1</v>
      </c>
      <c r="N1226" s="48" t="s">
        <v>23</v>
      </c>
      <c r="O1226" s="47" t="s">
        <v>47</v>
      </c>
    </row>
    <row r="1227" ht="14.25" customHeight="1" spans="1:15">
      <c r="A1227" s="43" t="s">
        <v>2353</v>
      </c>
      <c r="B1227" s="44">
        <v>46207</v>
      </c>
      <c r="C1227" s="45">
        <v>0.598611111111111</v>
      </c>
      <c r="D1227" s="46">
        <f t="shared" si="0"/>
        <v>14</v>
      </c>
      <c r="E1227" s="47" t="str">
        <f t="shared" si="7"/>
        <v>Saturday</v>
      </c>
      <c r="F1227" s="47" t="s">
        <v>16</v>
      </c>
      <c r="G1227" s="47" t="s">
        <v>50</v>
      </c>
      <c r="H1227" s="43" t="s">
        <v>28</v>
      </c>
      <c r="I1227" s="48">
        <v>3</v>
      </c>
      <c r="J1227" s="49">
        <v>25000</v>
      </c>
      <c r="K1227" s="49">
        <v>75000</v>
      </c>
      <c r="L1227" s="47" t="s">
        <v>22</v>
      </c>
      <c r="M1227" s="46">
        <v>0</v>
      </c>
      <c r="N1227" s="48">
        <v>5</v>
      </c>
      <c r="O1227" s="47" t="s">
        <v>33</v>
      </c>
    </row>
    <row r="1228" ht="14.25" customHeight="1" spans="1:15">
      <c r="A1228" s="43" t="s">
        <v>2355</v>
      </c>
      <c r="B1228" s="44">
        <v>46207</v>
      </c>
      <c r="C1228" s="45">
        <v>0.652777777777778</v>
      </c>
      <c r="D1228" s="46">
        <f t="shared" si="0"/>
        <v>15</v>
      </c>
      <c r="E1228" s="47" t="str">
        <f t="shared" si="7"/>
        <v>Saturday</v>
      </c>
      <c r="F1228" s="47" t="s">
        <v>16</v>
      </c>
      <c r="G1228" s="47" t="s">
        <v>81</v>
      </c>
      <c r="H1228" s="43" t="s">
        <v>37</v>
      </c>
      <c r="I1228" s="48">
        <v>2</v>
      </c>
      <c r="J1228" s="49">
        <v>6000</v>
      </c>
      <c r="K1228" s="49">
        <v>12000</v>
      </c>
      <c r="L1228" s="47" t="s">
        <v>22</v>
      </c>
      <c r="M1228" s="46">
        <v>0</v>
      </c>
      <c r="N1228" s="48" t="s">
        <v>23</v>
      </c>
      <c r="O1228" s="47" t="s">
        <v>40</v>
      </c>
    </row>
    <row r="1229" ht="14.25" customHeight="1" spans="1:15">
      <c r="A1229" s="43" t="s">
        <v>2356</v>
      </c>
      <c r="B1229" s="44">
        <v>46207</v>
      </c>
      <c r="C1229" s="45">
        <v>0.795138888888889</v>
      </c>
      <c r="D1229" s="46">
        <f t="shared" si="0"/>
        <v>19</v>
      </c>
      <c r="E1229" s="47" t="str">
        <f t="shared" si="7"/>
        <v>Saturday</v>
      </c>
      <c r="F1229" s="47" t="s">
        <v>43</v>
      </c>
      <c r="G1229" s="47" t="s">
        <v>44</v>
      </c>
      <c r="H1229" s="43" t="str">
        <f>VLOOKUP(G1229,'02_Menu_Lookup'!$A$2:$C$16,2,FALSE)</f>
        <v>Appetizers</v>
      </c>
      <c r="I1229" s="48">
        <v>1</v>
      </c>
      <c r="J1229" s="49">
        <v>4000</v>
      </c>
      <c r="K1229" s="49">
        <f>I1229*J1229</f>
        <v>4000</v>
      </c>
      <c r="L1229" s="47" t="s">
        <v>32</v>
      </c>
      <c r="M1229" s="46">
        <v>0</v>
      </c>
      <c r="N1229" s="48" t="s">
        <v>23</v>
      </c>
      <c r="O1229" s="47" t="s">
        <v>33</v>
      </c>
    </row>
    <row r="1230" ht="14.25" customHeight="1" spans="1:15">
      <c r="A1230" s="43" t="s">
        <v>2357</v>
      </c>
      <c r="B1230" s="44">
        <v>46207</v>
      </c>
      <c r="C1230" s="45">
        <v>0.813888888888889</v>
      </c>
      <c r="D1230" s="46">
        <f t="shared" si="0"/>
        <v>19</v>
      </c>
      <c r="E1230" s="47" t="str">
        <f t="shared" si="7"/>
        <v>Saturday</v>
      </c>
      <c r="F1230" s="47" t="s">
        <v>107</v>
      </c>
      <c r="G1230" s="47" t="s">
        <v>63</v>
      </c>
      <c r="H1230" s="43" t="s">
        <v>18</v>
      </c>
      <c r="I1230" s="48">
        <v>1</v>
      </c>
      <c r="J1230" s="49">
        <v>1500</v>
      </c>
      <c r="K1230" s="49">
        <v>1500</v>
      </c>
      <c r="L1230" s="47" t="s">
        <v>32</v>
      </c>
      <c r="M1230" s="46">
        <v>0</v>
      </c>
      <c r="N1230" s="48">
        <v>4</v>
      </c>
      <c r="O1230" s="47" t="s">
        <v>33</v>
      </c>
    </row>
    <row r="1231" ht="14.25" customHeight="1" spans="1:15">
      <c r="A1231" s="43" t="s">
        <v>2358</v>
      </c>
      <c r="B1231" s="44">
        <v>46029</v>
      </c>
      <c r="C1231" s="45">
        <v>0.825</v>
      </c>
      <c r="D1231" s="46">
        <f t="shared" si="0"/>
        <v>19</v>
      </c>
      <c r="E1231" s="47" t="str">
        <f t="shared" si="7"/>
        <v>Wednesday</v>
      </c>
      <c r="F1231" s="47" t="s">
        <v>43</v>
      </c>
      <c r="G1231" s="47" t="s">
        <v>81</v>
      </c>
      <c r="H1231" s="43" t="s">
        <v>37</v>
      </c>
      <c r="I1231" s="48">
        <v>2</v>
      </c>
      <c r="J1231" s="49">
        <v>6000</v>
      </c>
      <c r="K1231" s="49">
        <v>12000</v>
      </c>
      <c r="L1231" s="47" t="s">
        <v>22</v>
      </c>
      <c r="M1231" s="46">
        <v>0</v>
      </c>
      <c r="N1231" s="48" t="s">
        <v>23</v>
      </c>
      <c r="O1231" s="47" t="s">
        <v>73</v>
      </c>
    </row>
    <row r="1232" ht="14.25" customHeight="1" spans="1:15">
      <c r="A1232" s="43" t="s">
        <v>2359</v>
      </c>
      <c r="B1232" s="44">
        <v>46207</v>
      </c>
      <c r="C1232" s="45">
        <v>0.852777777777778</v>
      </c>
      <c r="D1232" s="46">
        <f t="shared" si="0"/>
        <v>20</v>
      </c>
      <c r="E1232" s="47" t="str">
        <f t="shared" si="7"/>
        <v>Saturday</v>
      </c>
      <c r="F1232" s="47" t="s">
        <v>16</v>
      </c>
      <c r="G1232" s="47" t="s">
        <v>44</v>
      </c>
      <c r="H1232" s="43" t="s">
        <v>45</v>
      </c>
      <c r="I1232" s="48">
        <v>1</v>
      </c>
      <c r="J1232" s="49">
        <v>4000</v>
      </c>
      <c r="K1232" s="49">
        <v>4000</v>
      </c>
      <c r="L1232" s="47" t="s">
        <v>32</v>
      </c>
      <c r="M1232" s="46">
        <v>0</v>
      </c>
      <c r="N1232" s="48" t="s">
        <v>23</v>
      </c>
      <c r="O1232" s="47" t="s">
        <v>73</v>
      </c>
    </row>
    <row r="1233" ht="14.25" customHeight="1" spans="1:15">
      <c r="A1233" s="43" t="s">
        <v>2360</v>
      </c>
      <c r="B1233" s="44">
        <v>46207</v>
      </c>
      <c r="C1233" s="45">
        <v>0.864583333333333</v>
      </c>
      <c r="D1233" s="46">
        <f t="shared" si="0"/>
        <v>20</v>
      </c>
      <c r="E1233" s="47" t="str">
        <f t="shared" si="7"/>
        <v>Saturday</v>
      </c>
      <c r="F1233" s="47" t="s">
        <v>107</v>
      </c>
      <c r="G1233" s="47" t="s">
        <v>27</v>
      </c>
      <c r="H1233" s="43" t="s">
        <v>28</v>
      </c>
      <c r="I1233" s="48">
        <v>1</v>
      </c>
      <c r="J1233" s="49">
        <v>15000</v>
      </c>
      <c r="K1233" s="49">
        <f>I1233*J1233</f>
        <v>15000</v>
      </c>
      <c r="L1233" s="47" t="s">
        <v>22</v>
      </c>
      <c r="M1233" s="46">
        <v>0</v>
      </c>
      <c r="N1233" s="48" t="s">
        <v>23</v>
      </c>
      <c r="O1233" s="47" t="s">
        <v>33</v>
      </c>
    </row>
    <row r="1234" ht="14.25" customHeight="1" spans="1:15">
      <c r="A1234" s="43" t="s">
        <v>2361</v>
      </c>
      <c r="B1234" s="44">
        <v>46207</v>
      </c>
      <c r="C1234" s="45">
        <v>0.949305555555556</v>
      </c>
      <c r="D1234" s="46">
        <f t="shared" si="0"/>
        <v>22</v>
      </c>
      <c r="E1234" s="47" t="str">
        <f t="shared" si="7"/>
        <v>Saturday</v>
      </c>
      <c r="F1234" s="47" t="s">
        <v>43</v>
      </c>
      <c r="G1234" s="47" t="s">
        <v>81</v>
      </c>
      <c r="H1234" s="43" t="s">
        <v>37</v>
      </c>
      <c r="I1234" s="48">
        <v>1</v>
      </c>
      <c r="J1234" s="50">
        <v>6000</v>
      </c>
      <c r="K1234" s="49">
        <v>6000</v>
      </c>
      <c r="L1234" s="47" t="s">
        <v>22</v>
      </c>
      <c r="M1234" s="46">
        <v>0</v>
      </c>
      <c r="N1234" s="48" t="s">
        <v>23</v>
      </c>
      <c r="O1234" s="47" t="s">
        <v>73</v>
      </c>
    </row>
    <row r="1235" ht="14.25" customHeight="1" spans="1:15">
      <c r="A1235" s="43" t="s">
        <v>2362</v>
      </c>
      <c r="B1235" s="44">
        <v>46207</v>
      </c>
      <c r="C1235" s="45">
        <v>0.9625</v>
      </c>
      <c r="D1235" s="46">
        <f t="shared" si="0"/>
        <v>23</v>
      </c>
      <c r="E1235" s="47" t="str">
        <f t="shared" si="7"/>
        <v>Saturday</v>
      </c>
      <c r="F1235" s="47" t="s">
        <v>43</v>
      </c>
      <c r="G1235" s="43" t="s">
        <v>36</v>
      </c>
      <c r="H1235" s="43" t="s">
        <v>37</v>
      </c>
      <c r="I1235" s="48">
        <f>K1235/J1235</f>
        <v>1</v>
      </c>
      <c r="J1235" s="49">
        <v>3000</v>
      </c>
      <c r="K1235" s="49">
        <v>3000</v>
      </c>
      <c r="L1235" s="47" t="s">
        <v>22</v>
      </c>
      <c r="M1235" s="46">
        <v>0</v>
      </c>
      <c r="N1235" s="48" t="s">
        <v>23</v>
      </c>
      <c r="O1235" s="47" t="s">
        <v>47</v>
      </c>
    </row>
    <row r="1236" ht="14.25" customHeight="1" spans="1:15">
      <c r="A1236" s="43" t="s">
        <v>2364</v>
      </c>
      <c r="B1236" s="44">
        <v>46208</v>
      </c>
      <c r="C1236" s="45">
        <v>0.665277777777778</v>
      </c>
      <c r="D1236" s="46">
        <f t="shared" si="0"/>
        <v>15</v>
      </c>
      <c r="E1236" s="47" t="str">
        <f t="shared" si="7"/>
        <v>Sunday</v>
      </c>
      <c r="F1236" s="47" t="s">
        <v>16</v>
      </c>
      <c r="G1236" s="47" t="s">
        <v>17</v>
      </c>
      <c r="H1236" s="43" t="s">
        <v>18</v>
      </c>
      <c r="I1236" s="48">
        <v>3</v>
      </c>
      <c r="J1236" s="49">
        <v>1000</v>
      </c>
      <c r="K1236" s="49">
        <v>3000</v>
      </c>
      <c r="L1236" s="47" t="s">
        <v>32</v>
      </c>
      <c r="M1236" s="46">
        <v>0</v>
      </c>
      <c r="N1236" s="48" t="s">
        <v>23</v>
      </c>
      <c r="O1236" s="47" t="s">
        <v>73</v>
      </c>
    </row>
    <row r="1237" ht="14.25" customHeight="1" spans="1:15">
      <c r="A1237" s="43" t="s">
        <v>2366</v>
      </c>
      <c r="B1237" s="44">
        <v>46208</v>
      </c>
      <c r="C1237" s="45">
        <v>0.827777777777778</v>
      </c>
      <c r="D1237" s="46">
        <f t="shared" si="0"/>
        <v>19</v>
      </c>
      <c r="E1237" s="47" t="str">
        <f t="shared" si="7"/>
        <v>Sunday</v>
      </c>
      <c r="F1237" s="47" t="s">
        <v>16</v>
      </c>
      <c r="G1237" s="47" t="s">
        <v>63</v>
      </c>
      <c r="H1237" s="43" t="s">
        <v>18</v>
      </c>
      <c r="I1237" s="48">
        <v>1</v>
      </c>
      <c r="J1237" s="49">
        <v>1500</v>
      </c>
      <c r="K1237" s="49">
        <v>1500</v>
      </c>
      <c r="L1237" s="47" t="s">
        <v>22</v>
      </c>
      <c r="M1237" s="46">
        <v>0</v>
      </c>
      <c r="N1237" s="48" t="s">
        <v>23</v>
      </c>
      <c r="O1237" s="47" t="s">
        <v>24</v>
      </c>
    </row>
    <row r="1238" ht="14.25" customHeight="1" spans="1:15">
      <c r="A1238" s="43" t="s">
        <v>2367</v>
      </c>
      <c r="B1238" s="44">
        <v>46149</v>
      </c>
      <c r="C1238" s="45">
        <v>0.934027777777778</v>
      </c>
      <c r="D1238" s="46">
        <f t="shared" si="0"/>
        <v>22</v>
      </c>
      <c r="E1238" s="47" t="str">
        <f t="shared" si="7"/>
        <v>Thursday</v>
      </c>
      <c r="F1238" s="47" t="s">
        <v>16</v>
      </c>
      <c r="G1238" s="47" t="s">
        <v>95</v>
      </c>
      <c r="H1238" s="47" t="s">
        <v>45</v>
      </c>
      <c r="I1238" s="48">
        <v>3</v>
      </c>
      <c r="J1238" s="49">
        <v>5000</v>
      </c>
      <c r="K1238" s="49">
        <v>15000</v>
      </c>
      <c r="L1238" s="47" t="s">
        <v>32</v>
      </c>
      <c r="M1238" s="46">
        <v>0</v>
      </c>
      <c r="N1238" s="48" t="s">
        <v>23</v>
      </c>
      <c r="O1238" s="47" t="s">
        <v>24</v>
      </c>
    </row>
    <row r="1239" ht="14.25" customHeight="1" spans="1:15">
      <c r="A1239" s="43" t="s">
        <v>2370</v>
      </c>
      <c r="B1239" s="44">
        <v>46209</v>
      </c>
      <c r="C1239" s="45">
        <v>0.565277777777778</v>
      </c>
      <c r="D1239" s="46">
        <f t="shared" si="0"/>
        <v>13</v>
      </c>
      <c r="E1239" s="47" t="str">
        <f t="shared" si="7"/>
        <v>Monday</v>
      </c>
      <c r="F1239" s="47" t="s">
        <v>107</v>
      </c>
      <c r="G1239" s="47" t="s">
        <v>63</v>
      </c>
      <c r="H1239" s="43" t="s">
        <v>18</v>
      </c>
      <c r="I1239" s="48">
        <v>1</v>
      </c>
      <c r="J1239" s="49">
        <v>1500</v>
      </c>
      <c r="K1239" s="49">
        <v>1500</v>
      </c>
      <c r="L1239" s="47" t="s">
        <v>22</v>
      </c>
      <c r="M1239" s="46">
        <v>0</v>
      </c>
      <c r="N1239" s="48">
        <v>3</v>
      </c>
      <c r="O1239" s="47" t="s">
        <v>73</v>
      </c>
    </row>
    <row r="1240" ht="14.25" customHeight="1" spans="1:15">
      <c r="A1240" s="43" t="s">
        <v>2373</v>
      </c>
      <c r="B1240" s="44">
        <v>46209</v>
      </c>
      <c r="C1240" s="45">
        <v>0.567361111111111</v>
      </c>
      <c r="D1240" s="46">
        <f t="shared" si="0"/>
        <v>13</v>
      </c>
      <c r="E1240" s="47" t="str">
        <f t="shared" si="7"/>
        <v>Monday</v>
      </c>
      <c r="F1240" s="47" t="s">
        <v>16</v>
      </c>
      <c r="G1240" s="47" t="s">
        <v>17</v>
      </c>
      <c r="H1240" s="43" t="s">
        <v>18</v>
      </c>
      <c r="I1240" s="48">
        <v>1</v>
      </c>
      <c r="J1240" s="49">
        <v>1000</v>
      </c>
      <c r="K1240" s="49">
        <v>1000</v>
      </c>
      <c r="L1240" s="47" t="s">
        <v>22</v>
      </c>
      <c r="M1240" s="46">
        <v>0</v>
      </c>
      <c r="N1240" s="48" t="s">
        <v>23</v>
      </c>
      <c r="O1240" s="47" t="s">
        <v>33</v>
      </c>
    </row>
    <row r="1241" ht="14.25" customHeight="1" spans="1:15">
      <c r="A1241" s="43" t="s">
        <v>2374</v>
      </c>
      <c r="B1241" s="44">
        <v>46209</v>
      </c>
      <c r="C1241" s="45">
        <v>0.598611111111111</v>
      </c>
      <c r="D1241" s="46">
        <f t="shared" si="0"/>
        <v>14</v>
      </c>
      <c r="E1241" s="47" t="str">
        <f t="shared" si="7"/>
        <v>Monday</v>
      </c>
      <c r="F1241" s="47" t="s">
        <v>43</v>
      </c>
      <c r="G1241" s="43" t="s">
        <v>36</v>
      </c>
      <c r="H1241" s="43" t="s">
        <v>37</v>
      </c>
      <c r="I1241" s="48">
        <v>2</v>
      </c>
      <c r="J1241" s="49">
        <v>3000</v>
      </c>
      <c r="K1241" s="50">
        <v>5400</v>
      </c>
      <c r="L1241" s="47" t="s">
        <v>22</v>
      </c>
      <c r="M1241" s="51">
        <v>0.1</v>
      </c>
      <c r="N1241" s="48" t="s">
        <v>23</v>
      </c>
      <c r="O1241" s="47" t="s">
        <v>24</v>
      </c>
    </row>
    <row r="1242" ht="14.25" customHeight="1" spans="1:15">
      <c r="A1242" s="43" t="s">
        <v>2375</v>
      </c>
      <c r="B1242" s="44">
        <v>46209</v>
      </c>
      <c r="C1242" s="45">
        <v>0.661111111111111</v>
      </c>
      <c r="D1242" s="46">
        <f t="shared" si="0"/>
        <v>15</v>
      </c>
      <c r="E1242" s="47" t="str">
        <f t="shared" si="7"/>
        <v>Monday</v>
      </c>
      <c r="F1242" s="47" t="s">
        <v>43</v>
      </c>
      <c r="G1242" s="43" t="s">
        <v>36</v>
      </c>
      <c r="H1242" s="43" t="s">
        <v>37</v>
      </c>
      <c r="I1242" s="48">
        <v>2</v>
      </c>
      <c r="J1242" s="49">
        <v>3000</v>
      </c>
      <c r="K1242" s="50">
        <v>5400</v>
      </c>
      <c r="L1242" s="47" t="s">
        <v>22</v>
      </c>
      <c r="M1242" s="51">
        <v>0.1</v>
      </c>
      <c r="N1242" s="48" t="s">
        <v>23</v>
      </c>
      <c r="O1242" s="47" t="s">
        <v>47</v>
      </c>
    </row>
    <row r="1243" ht="14.25" customHeight="1" spans="1:15">
      <c r="A1243" s="43" t="s">
        <v>2376</v>
      </c>
      <c r="B1243" s="44">
        <v>46209</v>
      </c>
      <c r="C1243" s="45">
        <v>0.883333333333333</v>
      </c>
      <c r="D1243" s="46">
        <f t="shared" si="0"/>
        <v>21</v>
      </c>
      <c r="E1243" s="47" t="str">
        <f t="shared" si="7"/>
        <v>Monday</v>
      </c>
      <c r="F1243" s="47" t="s">
        <v>107</v>
      </c>
      <c r="G1243" s="47" t="s">
        <v>57</v>
      </c>
      <c r="H1243" s="43" t="s">
        <v>28</v>
      </c>
      <c r="I1243" s="48">
        <v>1</v>
      </c>
      <c r="J1243" s="49">
        <v>18000</v>
      </c>
      <c r="K1243" s="49">
        <f>I1243*J1243</f>
        <v>18000</v>
      </c>
      <c r="L1243" s="47" t="s">
        <v>32</v>
      </c>
      <c r="M1243" s="46">
        <v>0</v>
      </c>
      <c r="N1243" s="48" t="s">
        <v>23</v>
      </c>
      <c r="O1243" s="47" t="s">
        <v>33</v>
      </c>
    </row>
    <row r="1244" ht="14.25" customHeight="1" spans="1:15">
      <c r="A1244" s="43" t="s">
        <v>2377</v>
      </c>
      <c r="B1244" s="44">
        <v>46209</v>
      </c>
      <c r="C1244" s="45">
        <v>0.888194444444444</v>
      </c>
      <c r="D1244" s="46">
        <f t="shared" si="0"/>
        <v>21</v>
      </c>
      <c r="E1244" s="47" t="str">
        <f t="shared" si="7"/>
        <v>Monday</v>
      </c>
      <c r="F1244" s="47" t="s">
        <v>16</v>
      </c>
      <c r="G1244" s="43" t="s">
        <v>36</v>
      </c>
      <c r="H1244" s="43" t="s">
        <v>37</v>
      </c>
      <c r="I1244" s="48">
        <v>1</v>
      </c>
      <c r="J1244" s="49">
        <v>3000</v>
      </c>
      <c r="K1244" s="49">
        <v>3000</v>
      </c>
      <c r="L1244" s="47" t="s">
        <v>22</v>
      </c>
      <c r="M1244" s="46">
        <v>0</v>
      </c>
      <c r="N1244" s="48">
        <v>3</v>
      </c>
      <c r="O1244" s="47" t="s">
        <v>73</v>
      </c>
    </row>
    <row r="1245" ht="14.25" customHeight="1" spans="1:15">
      <c r="A1245" s="43" t="s">
        <v>2378</v>
      </c>
      <c r="B1245" s="44">
        <v>46209</v>
      </c>
      <c r="C1245" s="45">
        <v>0.901388888888889</v>
      </c>
      <c r="D1245" s="46">
        <f t="shared" si="0"/>
        <v>21</v>
      </c>
      <c r="E1245" s="47" t="str">
        <f t="shared" si="7"/>
        <v>Monday</v>
      </c>
      <c r="F1245" s="47" t="s">
        <v>16</v>
      </c>
      <c r="G1245" s="47" t="s">
        <v>17</v>
      </c>
      <c r="H1245" s="43" t="s">
        <v>18</v>
      </c>
      <c r="I1245" s="48">
        <v>1</v>
      </c>
      <c r="J1245" s="50">
        <v>1000</v>
      </c>
      <c r="K1245" s="49">
        <v>1000</v>
      </c>
      <c r="L1245" s="47" t="s">
        <v>22</v>
      </c>
      <c r="M1245" s="46">
        <v>0</v>
      </c>
      <c r="N1245" s="48" t="s">
        <v>23</v>
      </c>
      <c r="O1245" s="47" t="s">
        <v>24</v>
      </c>
    </row>
    <row r="1246" ht="14.25" customHeight="1" spans="1:15">
      <c r="A1246" s="43" t="s">
        <v>2379</v>
      </c>
      <c r="B1246" s="44">
        <v>46209</v>
      </c>
      <c r="C1246" s="45">
        <v>0.946527777777778</v>
      </c>
      <c r="D1246" s="46">
        <f t="shared" si="0"/>
        <v>22</v>
      </c>
      <c r="E1246" s="47" t="str">
        <f t="shared" si="7"/>
        <v>Monday</v>
      </c>
      <c r="F1246" s="47" t="s">
        <v>43</v>
      </c>
      <c r="G1246" s="47" t="s">
        <v>63</v>
      </c>
      <c r="H1246" s="43" t="s">
        <v>18</v>
      </c>
      <c r="I1246" s="48">
        <v>1</v>
      </c>
      <c r="J1246" s="49">
        <v>1500</v>
      </c>
      <c r="K1246" s="50">
        <v>1350</v>
      </c>
      <c r="L1246" s="47" t="s">
        <v>22</v>
      </c>
      <c r="M1246" s="51">
        <v>0.1</v>
      </c>
      <c r="N1246" s="48" t="s">
        <v>23</v>
      </c>
      <c r="O1246" s="47" t="s">
        <v>47</v>
      </c>
    </row>
    <row r="1247" ht="14.25" customHeight="1" spans="1:15">
      <c r="A1247" s="43" t="s">
        <v>2380</v>
      </c>
      <c r="B1247" s="44">
        <v>46210</v>
      </c>
      <c r="C1247" s="45">
        <v>0.782638888888889</v>
      </c>
      <c r="D1247" s="46">
        <f t="shared" si="0"/>
        <v>18</v>
      </c>
      <c r="E1247" s="47" t="str">
        <f t="shared" si="7"/>
        <v>Tuesday</v>
      </c>
      <c r="F1247" s="47" t="s">
        <v>107</v>
      </c>
      <c r="G1247" s="47" t="s">
        <v>17</v>
      </c>
      <c r="H1247" s="43" t="s">
        <v>18</v>
      </c>
      <c r="I1247" s="48">
        <v>2</v>
      </c>
      <c r="J1247" s="49">
        <v>1000</v>
      </c>
      <c r="K1247" s="49">
        <v>2000</v>
      </c>
      <c r="L1247" s="47" t="s">
        <v>32</v>
      </c>
      <c r="M1247" s="46">
        <v>0</v>
      </c>
      <c r="N1247" s="48">
        <v>3</v>
      </c>
      <c r="O1247" s="47" t="s">
        <v>40</v>
      </c>
    </row>
    <row r="1248" ht="14.25" customHeight="1" spans="1:15">
      <c r="A1248" s="43" t="s">
        <v>2382</v>
      </c>
      <c r="B1248" s="44">
        <v>46211</v>
      </c>
      <c r="C1248" s="45">
        <v>0.728472222222222</v>
      </c>
      <c r="D1248" s="46">
        <f t="shared" si="0"/>
        <v>17</v>
      </c>
      <c r="E1248" s="47" t="str">
        <f t="shared" si="7"/>
        <v>Wednesday</v>
      </c>
      <c r="F1248" s="47" t="s">
        <v>16</v>
      </c>
      <c r="G1248" s="47" t="s">
        <v>146</v>
      </c>
      <c r="H1248" s="43" t="s">
        <v>28</v>
      </c>
      <c r="I1248" s="48">
        <v>2</v>
      </c>
      <c r="J1248" s="49">
        <f>K1248/I1248</f>
        <v>16000</v>
      </c>
      <c r="K1248" s="49">
        <v>32000</v>
      </c>
      <c r="L1248" s="47" t="s">
        <v>22</v>
      </c>
      <c r="M1248" s="46">
        <v>0</v>
      </c>
      <c r="N1248" s="48" t="s">
        <v>23</v>
      </c>
      <c r="O1248" s="47" t="s">
        <v>24</v>
      </c>
    </row>
    <row r="1249" ht="14.25" customHeight="1" spans="1:15">
      <c r="A1249" s="43" t="s">
        <v>2385</v>
      </c>
      <c r="B1249" s="44">
        <v>46241</v>
      </c>
      <c r="C1249" s="45">
        <v>0.793055555555556</v>
      </c>
      <c r="D1249" s="46">
        <f t="shared" si="0"/>
        <v>19</v>
      </c>
      <c r="E1249" s="47" t="str">
        <f t="shared" si="7"/>
        <v>Friday</v>
      </c>
      <c r="F1249" s="47" t="s">
        <v>16</v>
      </c>
      <c r="G1249" s="43" t="s">
        <v>36</v>
      </c>
      <c r="H1249" s="43" t="str">
        <f>VLOOKUP(G1249,'02_Menu_Lookup'!$A$2:$C$16,2,FALSE)</f>
        <v>Sandwiches</v>
      </c>
      <c r="I1249" s="48">
        <v>1</v>
      </c>
      <c r="J1249" s="49">
        <v>3000</v>
      </c>
      <c r="K1249" s="50">
        <v>2700</v>
      </c>
      <c r="L1249" s="47" t="s">
        <v>32</v>
      </c>
      <c r="M1249" s="51">
        <v>0.1</v>
      </c>
      <c r="N1249" s="48">
        <v>3</v>
      </c>
      <c r="O1249" s="47" t="s">
        <v>40</v>
      </c>
    </row>
    <row r="1250" ht="14.25" customHeight="1" spans="1:15">
      <c r="A1250" s="43" t="s">
        <v>2387</v>
      </c>
      <c r="B1250" s="44">
        <v>46211</v>
      </c>
      <c r="C1250" s="45">
        <v>0.8875</v>
      </c>
      <c r="D1250" s="46">
        <f t="shared" si="0"/>
        <v>21</v>
      </c>
      <c r="E1250" s="47" t="str">
        <f t="shared" si="7"/>
        <v>Wednesday</v>
      </c>
      <c r="F1250" s="47" t="s">
        <v>16</v>
      </c>
      <c r="G1250" s="43" t="s">
        <v>199</v>
      </c>
      <c r="H1250" s="43" t="s">
        <v>18</v>
      </c>
      <c r="I1250" s="48">
        <v>1</v>
      </c>
      <c r="J1250" s="49">
        <v>3000</v>
      </c>
      <c r="K1250" s="50">
        <v>3000</v>
      </c>
      <c r="L1250" s="47" t="s">
        <v>32</v>
      </c>
      <c r="M1250" s="46">
        <v>0</v>
      </c>
      <c r="N1250" s="48" t="s">
        <v>23</v>
      </c>
      <c r="O1250" s="47" t="s">
        <v>33</v>
      </c>
    </row>
    <row r="1251" ht="14.25" customHeight="1" spans="1:15">
      <c r="A1251" s="43" t="s">
        <v>2389</v>
      </c>
      <c r="B1251" s="44">
        <v>46211</v>
      </c>
      <c r="C1251" s="45">
        <v>0.965277777777778</v>
      </c>
      <c r="D1251" s="46">
        <f t="shared" si="0"/>
        <v>23</v>
      </c>
      <c r="E1251" s="47" t="str">
        <f t="shared" si="7"/>
        <v>Wednesday</v>
      </c>
      <c r="F1251" s="47" t="s">
        <v>43</v>
      </c>
      <c r="G1251" s="47" t="s">
        <v>103</v>
      </c>
      <c r="H1251" s="43" t="s">
        <v>37</v>
      </c>
      <c r="I1251" s="48">
        <v>1</v>
      </c>
      <c r="J1251" s="49">
        <v>5000</v>
      </c>
      <c r="K1251" s="49">
        <v>5000</v>
      </c>
      <c r="L1251" s="47" t="s">
        <v>22</v>
      </c>
      <c r="M1251" s="46">
        <v>0</v>
      </c>
      <c r="N1251" s="48">
        <v>4</v>
      </c>
      <c r="O1251" s="47" t="s">
        <v>73</v>
      </c>
    </row>
    <row r="1252" ht="14.25" customHeight="1" spans="1:15">
      <c r="A1252" s="43" t="s">
        <v>2391</v>
      </c>
      <c r="B1252" s="44">
        <v>46211</v>
      </c>
      <c r="C1252" s="45">
        <v>0.911111111111111</v>
      </c>
      <c r="D1252" s="46">
        <f t="shared" si="0"/>
        <v>21</v>
      </c>
      <c r="E1252" s="47" t="str">
        <f t="shared" si="7"/>
        <v>Wednesday</v>
      </c>
      <c r="F1252" s="47" t="s">
        <v>16</v>
      </c>
      <c r="G1252" s="47" t="s">
        <v>81</v>
      </c>
      <c r="H1252" s="43" t="s">
        <v>37</v>
      </c>
      <c r="I1252" s="48">
        <v>1</v>
      </c>
      <c r="J1252" s="49">
        <v>6000</v>
      </c>
      <c r="K1252" s="49">
        <v>6000</v>
      </c>
      <c r="L1252" s="47" t="s">
        <v>32</v>
      </c>
      <c r="M1252" s="46">
        <v>0</v>
      </c>
      <c r="N1252" s="48">
        <v>4</v>
      </c>
      <c r="O1252" s="47" t="s">
        <v>33</v>
      </c>
    </row>
    <row r="1253" ht="14.25" customHeight="1" spans="1:15">
      <c r="A1253" s="43" t="s">
        <v>2392</v>
      </c>
      <c r="B1253" s="44">
        <v>46212</v>
      </c>
      <c r="C1253" s="45">
        <v>0.654861111111111</v>
      </c>
      <c r="D1253" s="46">
        <f t="shared" si="0"/>
        <v>15</v>
      </c>
      <c r="E1253" s="47" t="str">
        <f t="shared" si="7"/>
        <v>Thursday</v>
      </c>
      <c r="F1253" s="47" t="s">
        <v>16</v>
      </c>
      <c r="G1253" s="47" t="s">
        <v>63</v>
      </c>
      <c r="H1253" s="43" t="s">
        <v>18</v>
      </c>
      <c r="I1253" s="48">
        <v>1</v>
      </c>
      <c r="J1253" s="49">
        <v>1500</v>
      </c>
      <c r="K1253" s="49">
        <v>1500</v>
      </c>
      <c r="L1253" s="47" t="s">
        <v>22</v>
      </c>
      <c r="M1253" s="46">
        <v>0</v>
      </c>
      <c r="N1253" s="48" t="s">
        <v>23</v>
      </c>
      <c r="O1253" s="47" t="s">
        <v>24</v>
      </c>
    </row>
    <row r="1254" ht="14.25" customHeight="1" spans="1:15">
      <c r="A1254" s="43" t="s">
        <v>2395</v>
      </c>
      <c r="B1254" s="44">
        <v>46212</v>
      </c>
      <c r="C1254" s="45">
        <v>0.79375</v>
      </c>
      <c r="D1254" s="46">
        <f t="shared" si="0"/>
        <v>19</v>
      </c>
      <c r="E1254" s="47" t="str">
        <f t="shared" si="7"/>
        <v>Thursday</v>
      </c>
      <c r="F1254" s="47" t="s">
        <v>43</v>
      </c>
      <c r="G1254" s="43" t="s">
        <v>36</v>
      </c>
      <c r="H1254" s="43" t="s">
        <v>37</v>
      </c>
      <c r="I1254" s="48">
        <v>2</v>
      </c>
      <c r="J1254" s="49">
        <v>3000</v>
      </c>
      <c r="K1254" s="49">
        <v>6000</v>
      </c>
      <c r="L1254" s="47" t="s">
        <v>22</v>
      </c>
      <c r="M1254" s="46">
        <v>0</v>
      </c>
      <c r="N1254" s="48" t="s">
        <v>23</v>
      </c>
      <c r="O1254" s="47" t="s">
        <v>24</v>
      </c>
    </row>
    <row r="1255" ht="14.25" customHeight="1" spans="1:15">
      <c r="A1255" s="43" t="s">
        <v>2397</v>
      </c>
      <c r="B1255" s="44">
        <v>46212</v>
      </c>
      <c r="C1255" s="45">
        <v>0.820833333333333</v>
      </c>
      <c r="D1255" s="46">
        <f t="shared" si="0"/>
        <v>19</v>
      </c>
      <c r="E1255" s="47" t="str">
        <f t="shared" si="7"/>
        <v>Thursday</v>
      </c>
      <c r="F1255" s="47" t="s">
        <v>43</v>
      </c>
      <c r="G1255" s="47" t="s">
        <v>199</v>
      </c>
      <c r="H1255" s="43" t="s">
        <v>18</v>
      </c>
      <c r="I1255" s="48">
        <v>3</v>
      </c>
      <c r="J1255" s="49">
        <v>3000</v>
      </c>
      <c r="K1255" s="49">
        <v>9000</v>
      </c>
      <c r="L1255" s="47" t="s">
        <v>32</v>
      </c>
      <c r="M1255" s="46">
        <v>0</v>
      </c>
      <c r="N1255" s="48" t="s">
        <v>23</v>
      </c>
      <c r="O1255" s="47" t="s">
        <v>33</v>
      </c>
    </row>
    <row r="1256" ht="14.25" customHeight="1" spans="1:15">
      <c r="A1256" s="43" t="s">
        <v>2399</v>
      </c>
      <c r="B1256" s="44">
        <v>46212</v>
      </c>
      <c r="C1256" s="45">
        <v>0.827777777777778</v>
      </c>
      <c r="D1256" s="46">
        <f t="shared" si="0"/>
        <v>19</v>
      </c>
      <c r="E1256" s="47" t="str">
        <f t="shared" si="7"/>
        <v>Thursday</v>
      </c>
      <c r="F1256" s="47" t="s">
        <v>16</v>
      </c>
      <c r="G1256" s="47" t="s">
        <v>17</v>
      </c>
      <c r="H1256" s="43" t="s">
        <v>18</v>
      </c>
      <c r="I1256" s="48">
        <v>2</v>
      </c>
      <c r="J1256" s="49">
        <v>1000</v>
      </c>
      <c r="K1256" s="49">
        <v>2000</v>
      </c>
      <c r="L1256" s="47" t="s">
        <v>22</v>
      </c>
      <c r="M1256" s="46">
        <v>0</v>
      </c>
      <c r="N1256" s="48">
        <v>4</v>
      </c>
      <c r="O1256" s="47" t="s">
        <v>47</v>
      </c>
    </row>
    <row r="1257" ht="14.25" customHeight="1" spans="1:15">
      <c r="A1257" s="43" t="s">
        <v>2400</v>
      </c>
      <c r="B1257" s="44">
        <v>46212</v>
      </c>
      <c r="C1257" s="45">
        <v>0.842361111111111</v>
      </c>
      <c r="D1257" s="46">
        <f t="shared" si="0"/>
        <v>20</v>
      </c>
      <c r="E1257" s="47" t="str">
        <f t="shared" si="7"/>
        <v>Thursday</v>
      </c>
      <c r="F1257" s="47" t="s">
        <v>107</v>
      </c>
      <c r="G1257" s="47" t="s">
        <v>146</v>
      </c>
      <c r="H1257" s="43" t="s">
        <v>28</v>
      </c>
      <c r="I1257" s="48">
        <v>1</v>
      </c>
      <c r="J1257" s="49">
        <v>16000</v>
      </c>
      <c r="K1257" s="49">
        <v>16000</v>
      </c>
      <c r="L1257" s="47" t="s">
        <v>22</v>
      </c>
      <c r="M1257" s="46">
        <v>0</v>
      </c>
      <c r="N1257" s="48" t="s">
        <v>23</v>
      </c>
      <c r="O1257" s="47" t="s">
        <v>33</v>
      </c>
    </row>
    <row r="1258" ht="14.25" customHeight="1" spans="1:15">
      <c r="A1258" s="43" t="s">
        <v>2401</v>
      </c>
      <c r="B1258" s="44">
        <v>46212</v>
      </c>
      <c r="C1258" s="45">
        <v>0.878472222222222</v>
      </c>
      <c r="D1258" s="46">
        <f t="shared" si="0"/>
        <v>21</v>
      </c>
      <c r="E1258" s="47" t="str">
        <f t="shared" si="7"/>
        <v>Thursday</v>
      </c>
      <c r="F1258" s="47" t="s">
        <v>43</v>
      </c>
      <c r="G1258" s="43" t="s">
        <v>36</v>
      </c>
      <c r="H1258" s="43" t="s">
        <v>37</v>
      </c>
      <c r="I1258" s="48">
        <v>1</v>
      </c>
      <c r="J1258" s="49">
        <v>3000</v>
      </c>
      <c r="K1258" s="50">
        <v>2400</v>
      </c>
      <c r="L1258" s="47" t="s">
        <v>22</v>
      </c>
      <c r="M1258" s="51">
        <v>0.2</v>
      </c>
      <c r="N1258" s="48" t="s">
        <v>23</v>
      </c>
      <c r="O1258" s="47" t="s">
        <v>73</v>
      </c>
    </row>
    <row r="1259" ht="14.25" customHeight="1" spans="1:15">
      <c r="A1259" s="43" t="s">
        <v>2402</v>
      </c>
      <c r="B1259" s="44">
        <v>46212</v>
      </c>
      <c r="C1259" s="45">
        <v>0.885416666666667</v>
      </c>
      <c r="D1259" s="46">
        <f t="shared" si="0"/>
        <v>21</v>
      </c>
      <c r="E1259" s="47" t="str">
        <f t="shared" si="7"/>
        <v>Thursday</v>
      </c>
      <c r="F1259" s="47" t="s">
        <v>16</v>
      </c>
      <c r="G1259" s="47" t="s">
        <v>367</v>
      </c>
      <c r="H1259" s="43" t="s">
        <v>109</v>
      </c>
      <c r="I1259" s="48">
        <v>1</v>
      </c>
      <c r="J1259" s="49">
        <v>7000</v>
      </c>
      <c r="K1259" s="49">
        <v>7000</v>
      </c>
      <c r="L1259" s="47" t="s">
        <v>32</v>
      </c>
      <c r="M1259" s="46">
        <v>0</v>
      </c>
      <c r="N1259" s="48" t="s">
        <v>23</v>
      </c>
      <c r="O1259" s="47" t="s">
        <v>33</v>
      </c>
    </row>
    <row r="1260" ht="14.25" customHeight="1" spans="1:15">
      <c r="A1260" s="43" t="s">
        <v>2403</v>
      </c>
      <c r="B1260" s="44">
        <v>46212</v>
      </c>
      <c r="C1260" s="45">
        <v>0.939583333333333</v>
      </c>
      <c r="D1260" s="46">
        <f t="shared" si="0"/>
        <v>22</v>
      </c>
      <c r="E1260" s="47" t="str">
        <f t="shared" si="7"/>
        <v>Thursday</v>
      </c>
      <c r="F1260" s="47" t="s">
        <v>16</v>
      </c>
      <c r="G1260" s="43" t="s">
        <v>647</v>
      </c>
      <c r="H1260" s="43" t="s">
        <v>45</v>
      </c>
      <c r="I1260" s="48">
        <v>1</v>
      </c>
      <c r="J1260" s="49">
        <v>4500</v>
      </c>
      <c r="K1260" s="49">
        <v>4500</v>
      </c>
      <c r="L1260" s="47" t="s">
        <v>22</v>
      </c>
      <c r="M1260" s="46">
        <v>0</v>
      </c>
      <c r="N1260" s="48" t="s">
        <v>23</v>
      </c>
      <c r="O1260" s="47" t="s">
        <v>47</v>
      </c>
    </row>
    <row r="1261" ht="14.25" customHeight="1" spans="1:15">
      <c r="A1261" s="43" t="s">
        <v>2404</v>
      </c>
      <c r="B1261" s="44">
        <v>46212</v>
      </c>
      <c r="C1261" s="45">
        <v>0.941666666666667</v>
      </c>
      <c r="D1261" s="46">
        <f t="shared" si="0"/>
        <v>22</v>
      </c>
      <c r="E1261" s="47" t="str">
        <f t="shared" si="7"/>
        <v>Thursday</v>
      </c>
      <c r="F1261" s="47" t="s">
        <v>16</v>
      </c>
      <c r="G1261" s="43" t="s">
        <v>647</v>
      </c>
      <c r="H1261" s="43" t="s">
        <v>45</v>
      </c>
      <c r="I1261" s="48">
        <v>1</v>
      </c>
      <c r="J1261" s="49">
        <v>4500</v>
      </c>
      <c r="K1261" s="49">
        <v>4500</v>
      </c>
      <c r="L1261" s="47" t="s">
        <v>22</v>
      </c>
      <c r="M1261" s="46">
        <v>0</v>
      </c>
      <c r="N1261" s="48">
        <v>3</v>
      </c>
      <c r="O1261" s="47" t="s">
        <v>40</v>
      </c>
    </row>
    <row r="1262" ht="14.25" customHeight="1" spans="1:15">
      <c r="A1262" s="43" t="s">
        <v>2405</v>
      </c>
      <c r="B1262" s="44">
        <v>46212</v>
      </c>
      <c r="C1262" s="45">
        <v>0.972916666666667</v>
      </c>
      <c r="D1262" s="46">
        <f t="shared" si="0"/>
        <v>23</v>
      </c>
      <c r="E1262" s="47" t="str">
        <f t="shared" si="7"/>
        <v>Thursday</v>
      </c>
      <c r="F1262" s="47" t="s">
        <v>43</v>
      </c>
      <c r="G1262" s="43" t="s">
        <v>647</v>
      </c>
      <c r="H1262" s="43" t="s">
        <v>45</v>
      </c>
      <c r="I1262" s="48">
        <v>1</v>
      </c>
      <c r="J1262" s="49">
        <v>4500</v>
      </c>
      <c r="K1262" s="49">
        <v>4500</v>
      </c>
      <c r="L1262" s="47" t="s">
        <v>22</v>
      </c>
      <c r="M1262" s="46">
        <v>0</v>
      </c>
      <c r="N1262" s="48">
        <v>2</v>
      </c>
      <c r="O1262" s="47" t="s">
        <v>47</v>
      </c>
    </row>
    <row r="1263" ht="14.25" customHeight="1" spans="1:15">
      <c r="A1263" s="43" t="s">
        <v>2406</v>
      </c>
      <c r="B1263" s="44">
        <v>46272</v>
      </c>
      <c r="C1263" s="45">
        <v>0.982638888888889</v>
      </c>
      <c r="D1263" s="46">
        <f t="shared" si="0"/>
        <v>23</v>
      </c>
      <c r="E1263" s="47" t="str">
        <f t="shared" si="7"/>
        <v>Monday</v>
      </c>
      <c r="F1263" s="47" t="s">
        <v>43</v>
      </c>
      <c r="G1263" s="47" t="s">
        <v>50</v>
      </c>
      <c r="H1263" s="43" t="s">
        <v>28</v>
      </c>
      <c r="I1263" s="48">
        <v>1</v>
      </c>
      <c r="J1263" s="49">
        <f>K1263/I1263</f>
        <v>25000</v>
      </c>
      <c r="K1263" s="49">
        <v>25000</v>
      </c>
      <c r="L1263" s="47" t="s">
        <v>22</v>
      </c>
      <c r="M1263" s="46">
        <v>0</v>
      </c>
      <c r="N1263" s="48">
        <v>4</v>
      </c>
      <c r="O1263" s="47" t="s">
        <v>40</v>
      </c>
    </row>
    <row r="1264" ht="14.25" customHeight="1" spans="1:15">
      <c r="A1264" s="43" t="s">
        <v>2408</v>
      </c>
      <c r="B1264" s="44">
        <v>46302</v>
      </c>
      <c r="C1264" s="45">
        <v>0.585416666666667</v>
      </c>
      <c r="D1264" s="46">
        <f t="shared" si="0"/>
        <v>14</v>
      </c>
      <c r="E1264" s="47" t="str">
        <f t="shared" si="7"/>
        <v>Wednesday</v>
      </c>
      <c r="F1264" s="47" t="s">
        <v>43</v>
      </c>
      <c r="G1264" s="43" t="s">
        <v>199</v>
      </c>
      <c r="H1264" s="43" t="s">
        <v>18</v>
      </c>
      <c r="I1264" s="48">
        <v>1</v>
      </c>
      <c r="J1264" s="49">
        <v>3000</v>
      </c>
      <c r="K1264" s="49">
        <v>3000</v>
      </c>
      <c r="L1264" s="47" t="s">
        <v>32</v>
      </c>
      <c r="M1264" s="46">
        <v>0</v>
      </c>
      <c r="N1264" s="48" t="s">
        <v>23</v>
      </c>
      <c r="O1264" s="47" t="s">
        <v>33</v>
      </c>
    </row>
    <row r="1265" ht="14.25" customHeight="1" spans="1:15">
      <c r="A1265" s="43" t="s">
        <v>2410</v>
      </c>
      <c r="B1265" s="44">
        <v>46213</v>
      </c>
      <c r="C1265" s="45">
        <v>0.635416666666667</v>
      </c>
      <c r="D1265" s="46">
        <f t="shared" si="0"/>
        <v>15</v>
      </c>
      <c r="E1265" s="47" t="str">
        <f t="shared" si="7"/>
        <v>Friday</v>
      </c>
      <c r="F1265" s="47" t="s">
        <v>16</v>
      </c>
      <c r="G1265" s="43" t="s">
        <v>647</v>
      </c>
      <c r="H1265" s="43" t="s">
        <v>45</v>
      </c>
      <c r="I1265" s="48">
        <v>1</v>
      </c>
      <c r="J1265" s="49">
        <v>4500</v>
      </c>
      <c r="K1265" s="50">
        <v>4050</v>
      </c>
      <c r="L1265" s="47" t="s">
        <v>22</v>
      </c>
      <c r="M1265" s="51">
        <v>0.1</v>
      </c>
      <c r="N1265" s="48">
        <v>3</v>
      </c>
      <c r="O1265" s="47" t="s">
        <v>24</v>
      </c>
    </row>
    <row r="1266" ht="14.25" customHeight="1" spans="1:15">
      <c r="A1266" s="43" t="s">
        <v>2413</v>
      </c>
      <c r="B1266" s="44">
        <v>46213</v>
      </c>
      <c r="C1266" s="45">
        <v>0.725694444444444</v>
      </c>
      <c r="D1266" s="46">
        <f t="shared" si="0"/>
        <v>17</v>
      </c>
      <c r="E1266" s="47" t="str">
        <f t="shared" si="7"/>
        <v>Friday</v>
      </c>
      <c r="F1266" s="47" t="s">
        <v>43</v>
      </c>
      <c r="G1266" s="47" t="s">
        <v>81</v>
      </c>
      <c r="H1266" s="43" t="s">
        <v>37</v>
      </c>
      <c r="I1266" s="48">
        <v>1</v>
      </c>
      <c r="J1266" s="49">
        <v>6000</v>
      </c>
      <c r="K1266" s="49">
        <v>6000</v>
      </c>
      <c r="L1266" s="47" t="s">
        <v>22</v>
      </c>
      <c r="M1266" s="46">
        <v>0</v>
      </c>
      <c r="N1266" s="48">
        <v>4</v>
      </c>
      <c r="O1266" s="47" t="s">
        <v>47</v>
      </c>
    </row>
    <row r="1267" ht="14.25" customHeight="1" spans="1:15">
      <c r="A1267" s="43" t="s">
        <v>2415</v>
      </c>
      <c r="B1267" s="44">
        <v>46213</v>
      </c>
      <c r="C1267" s="45">
        <v>0.807638888888889</v>
      </c>
      <c r="D1267" s="46">
        <f t="shared" si="0"/>
        <v>19</v>
      </c>
      <c r="E1267" s="47" t="str">
        <f t="shared" si="7"/>
        <v>Friday</v>
      </c>
      <c r="F1267" s="47" t="s">
        <v>43</v>
      </c>
      <c r="G1267" s="47" t="s">
        <v>44</v>
      </c>
      <c r="H1267" s="43" t="s">
        <v>45</v>
      </c>
      <c r="I1267" s="48">
        <v>1</v>
      </c>
      <c r="J1267" s="49">
        <v>4000</v>
      </c>
      <c r="K1267" s="49">
        <v>4000</v>
      </c>
      <c r="L1267" s="47" t="s">
        <v>22</v>
      </c>
      <c r="M1267" s="46">
        <v>0</v>
      </c>
      <c r="N1267" s="48" t="s">
        <v>23</v>
      </c>
      <c r="O1267" s="47" t="s">
        <v>24</v>
      </c>
    </row>
    <row r="1268" ht="14.25" customHeight="1" spans="1:15">
      <c r="A1268" s="43" t="s">
        <v>2416</v>
      </c>
      <c r="B1268" s="44">
        <v>46213</v>
      </c>
      <c r="C1268" s="45">
        <v>0.832638888888889</v>
      </c>
      <c r="D1268" s="46">
        <f t="shared" si="0"/>
        <v>19</v>
      </c>
      <c r="E1268" s="47" t="str">
        <f t="shared" si="7"/>
        <v>Friday</v>
      </c>
      <c r="F1268" s="47" t="s">
        <v>107</v>
      </c>
      <c r="G1268" s="47" t="s">
        <v>17</v>
      </c>
      <c r="H1268" s="43" t="s">
        <v>18</v>
      </c>
      <c r="I1268" s="48">
        <v>3</v>
      </c>
      <c r="J1268" s="49">
        <v>1000</v>
      </c>
      <c r="K1268" s="49">
        <v>3000</v>
      </c>
      <c r="L1268" s="47" t="s">
        <v>32</v>
      </c>
      <c r="M1268" s="46">
        <v>0</v>
      </c>
      <c r="N1268" s="48" t="s">
        <v>23</v>
      </c>
      <c r="O1268" s="47" t="s">
        <v>40</v>
      </c>
    </row>
    <row r="1269" ht="14.25" customHeight="1" spans="1:15">
      <c r="A1269" s="43" t="s">
        <v>2417</v>
      </c>
      <c r="B1269" s="44">
        <v>46213</v>
      </c>
      <c r="C1269" s="45">
        <v>0.832638888888889</v>
      </c>
      <c r="D1269" s="46">
        <f t="shared" si="0"/>
        <v>19</v>
      </c>
      <c r="E1269" s="47" t="str">
        <f t="shared" si="7"/>
        <v>Friday</v>
      </c>
      <c r="F1269" s="47" t="s">
        <v>43</v>
      </c>
      <c r="G1269" s="47" t="s">
        <v>44</v>
      </c>
      <c r="H1269" s="43" t="s">
        <v>45</v>
      </c>
      <c r="I1269" s="48">
        <v>1</v>
      </c>
      <c r="J1269" s="49">
        <v>4000</v>
      </c>
      <c r="K1269" s="49">
        <f>I1269*J1269</f>
        <v>4000</v>
      </c>
      <c r="L1269" s="47" t="s">
        <v>32</v>
      </c>
      <c r="M1269" s="46">
        <v>0</v>
      </c>
      <c r="N1269" s="48" t="s">
        <v>23</v>
      </c>
      <c r="O1269" s="47" t="s">
        <v>33</v>
      </c>
    </row>
    <row r="1270" ht="14.25" customHeight="1" spans="1:15">
      <c r="A1270" s="43" t="s">
        <v>2418</v>
      </c>
      <c r="B1270" s="44">
        <v>46213</v>
      </c>
      <c r="C1270" s="45">
        <v>0.855555555555556</v>
      </c>
      <c r="D1270" s="46">
        <f t="shared" si="0"/>
        <v>20</v>
      </c>
      <c r="E1270" s="47" t="str">
        <f t="shared" si="7"/>
        <v>Friday</v>
      </c>
      <c r="F1270" s="47" t="s">
        <v>16</v>
      </c>
      <c r="G1270" s="47" t="s">
        <v>44</v>
      </c>
      <c r="H1270" s="43" t="s">
        <v>45</v>
      </c>
      <c r="I1270" s="48">
        <v>1</v>
      </c>
      <c r="J1270" s="49">
        <v>4000</v>
      </c>
      <c r="K1270" s="49">
        <v>4000</v>
      </c>
      <c r="L1270" s="47" t="s">
        <v>32</v>
      </c>
      <c r="M1270" s="46">
        <v>0</v>
      </c>
      <c r="N1270" s="48" t="s">
        <v>23</v>
      </c>
      <c r="O1270" s="47" t="s">
        <v>40</v>
      </c>
    </row>
    <row r="1271" ht="14.25" customHeight="1" spans="1:15">
      <c r="A1271" s="43" t="s">
        <v>2419</v>
      </c>
      <c r="B1271" s="44">
        <v>46213</v>
      </c>
      <c r="C1271" s="45">
        <v>0.858333333333333</v>
      </c>
      <c r="D1271" s="46">
        <f t="shared" si="0"/>
        <v>20</v>
      </c>
      <c r="E1271" s="47" t="str">
        <f t="shared" si="7"/>
        <v>Friday</v>
      </c>
      <c r="F1271" s="47" t="s">
        <v>16</v>
      </c>
      <c r="G1271" s="47" t="s">
        <v>103</v>
      </c>
      <c r="H1271" s="43" t="s">
        <v>37</v>
      </c>
      <c r="I1271" s="48">
        <v>1</v>
      </c>
      <c r="J1271" s="49">
        <f>K1271/I1271</f>
        <v>5000</v>
      </c>
      <c r="K1271" s="49">
        <v>5000</v>
      </c>
      <c r="L1271" s="47" t="s">
        <v>32</v>
      </c>
      <c r="M1271" s="46">
        <v>0</v>
      </c>
      <c r="N1271" s="48" t="s">
        <v>23</v>
      </c>
      <c r="O1271" s="47" t="s">
        <v>73</v>
      </c>
    </row>
    <row r="1272" ht="14.25" customHeight="1" spans="1:15">
      <c r="A1272" s="43" t="s">
        <v>2420</v>
      </c>
      <c r="B1272" s="44">
        <v>46213</v>
      </c>
      <c r="C1272" s="45">
        <v>0.865277777777778</v>
      </c>
      <c r="D1272" s="46">
        <f t="shared" si="0"/>
        <v>20</v>
      </c>
      <c r="E1272" s="47" t="str">
        <f t="shared" si="7"/>
        <v>Friday</v>
      </c>
      <c r="F1272" s="47" t="s">
        <v>43</v>
      </c>
      <c r="G1272" s="43" t="s">
        <v>36</v>
      </c>
      <c r="H1272" s="43" t="s">
        <v>37</v>
      </c>
      <c r="I1272" s="48">
        <v>2</v>
      </c>
      <c r="J1272" s="49">
        <v>3000</v>
      </c>
      <c r="K1272" s="49">
        <v>6000</v>
      </c>
      <c r="L1272" s="47" t="s">
        <v>22</v>
      </c>
      <c r="M1272" s="46">
        <v>0</v>
      </c>
      <c r="N1272" s="48">
        <v>4</v>
      </c>
      <c r="O1272" s="47" t="s">
        <v>40</v>
      </c>
    </row>
    <row r="1273" ht="14.25" customHeight="1" spans="1:15">
      <c r="A1273" s="43" t="s">
        <v>2421</v>
      </c>
      <c r="B1273" s="44">
        <v>46213</v>
      </c>
      <c r="C1273" s="45">
        <v>0.900694444444444</v>
      </c>
      <c r="D1273" s="46">
        <f t="shared" si="0"/>
        <v>21</v>
      </c>
      <c r="E1273" s="47" t="str">
        <f t="shared" si="7"/>
        <v>Friday</v>
      </c>
      <c r="F1273" s="47" t="s">
        <v>43</v>
      </c>
      <c r="G1273" s="47" t="s">
        <v>50</v>
      </c>
      <c r="H1273" s="43" t="s">
        <v>28</v>
      </c>
      <c r="I1273" s="48">
        <v>2</v>
      </c>
      <c r="J1273" s="49">
        <v>25000</v>
      </c>
      <c r="K1273" s="49">
        <v>50000</v>
      </c>
      <c r="L1273" s="47" t="s">
        <v>32</v>
      </c>
      <c r="M1273" s="46">
        <v>0</v>
      </c>
      <c r="N1273" s="48">
        <v>5</v>
      </c>
      <c r="O1273" s="47" t="s">
        <v>47</v>
      </c>
    </row>
    <row r="1274" ht="14.25" customHeight="1" spans="1:15">
      <c r="A1274" s="43" t="s">
        <v>2422</v>
      </c>
      <c r="B1274" s="44">
        <v>46213</v>
      </c>
      <c r="C1274" s="45">
        <v>0.948611111111111</v>
      </c>
      <c r="D1274" s="46">
        <f t="shared" si="0"/>
        <v>22</v>
      </c>
      <c r="E1274" s="47" t="str">
        <f t="shared" si="7"/>
        <v>Friday</v>
      </c>
      <c r="F1274" s="47" t="s">
        <v>43</v>
      </c>
      <c r="G1274" s="43" t="s">
        <v>36</v>
      </c>
      <c r="H1274" s="43" t="s">
        <v>37</v>
      </c>
      <c r="I1274" s="48">
        <v>1</v>
      </c>
      <c r="J1274" s="49">
        <v>3000</v>
      </c>
      <c r="K1274" s="49">
        <v>3000</v>
      </c>
      <c r="L1274" s="47" t="s">
        <v>22</v>
      </c>
      <c r="M1274" s="46">
        <v>0</v>
      </c>
      <c r="N1274" s="48" t="s">
        <v>23</v>
      </c>
      <c r="O1274" s="47" t="s">
        <v>40</v>
      </c>
    </row>
    <row r="1275" ht="14.25" customHeight="1" spans="1:15">
      <c r="A1275" s="43" t="s">
        <v>2423</v>
      </c>
      <c r="B1275" s="44">
        <v>46214</v>
      </c>
      <c r="C1275" s="45">
        <v>0.622222222222222</v>
      </c>
      <c r="D1275" s="46">
        <f t="shared" si="0"/>
        <v>14</v>
      </c>
      <c r="E1275" s="47" t="str">
        <f t="shared" si="7"/>
        <v>Saturday</v>
      </c>
      <c r="F1275" s="47" t="s">
        <v>16</v>
      </c>
      <c r="G1275" s="47" t="s">
        <v>63</v>
      </c>
      <c r="H1275" s="43" t="str">
        <f>VLOOKUP(G1275,'02_Menu_Lookup'!$A$2:$C$16,2,FALSE)</f>
        <v>Beverages</v>
      </c>
      <c r="I1275" s="48">
        <v>1</v>
      </c>
      <c r="J1275" s="49">
        <v>1500</v>
      </c>
      <c r="K1275" s="49">
        <v>1500</v>
      </c>
      <c r="L1275" s="47" t="s">
        <v>22</v>
      </c>
      <c r="M1275" s="46">
        <v>0</v>
      </c>
      <c r="N1275" s="48" t="s">
        <v>23</v>
      </c>
      <c r="O1275" s="47" t="s">
        <v>73</v>
      </c>
    </row>
    <row r="1276" ht="14.25" customHeight="1" spans="1:15">
      <c r="A1276" s="43" t="s">
        <v>2426</v>
      </c>
      <c r="B1276" s="44">
        <v>46214</v>
      </c>
      <c r="C1276" s="45">
        <v>0.686805555555556</v>
      </c>
      <c r="D1276" s="46">
        <f t="shared" si="0"/>
        <v>16</v>
      </c>
      <c r="E1276" s="47" t="str">
        <f t="shared" si="7"/>
        <v>Saturday</v>
      </c>
      <c r="F1276" s="47" t="s">
        <v>43</v>
      </c>
      <c r="G1276" s="47" t="s">
        <v>57</v>
      </c>
      <c r="H1276" s="43" t="s">
        <v>28</v>
      </c>
      <c r="I1276" s="48">
        <v>2</v>
      </c>
      <c r="J1276" s="49">
        <v>18000</v>
      </c>
      <c r="K1276" s="49">
        <v>36000</v>
      </c>
      <c r="L1276" s="47" t="s">
        <v>32</v>
      </c>
      <c r="M1276" s="46">
        <v>0</v>
      </c>
      <c r="N1276" s="48">
        <v>3</v>
      </c>
      <c r="O1276" s="47" t="s">
        <v>24</v>
      </c>
    </row>
    <row r="1277" ht="14.25" customHeight="1" spans="1:15">
      <c r="A1277" s="43" t="s">
        <v>2428</v>
      </c>
      <c r="B1277" s="44">
        <v>46214</v>
      </c>
      <c r="C1277" s="45">
        <v>0.765972222222222</v>
      </c>
      <c r="D1277" s="46">
        <f t="shared" si="0"/>
        <v>18</v>
      </c>
      <c r="E1277" s="47" t="str">
        <f t="shared" si="7"/>
        <v>Saturday</v>
      </c>
      <c r="F1277" s="47" t="s">
        <v>16</v>
      </c>
      <c r="G1277" s="47" t="s">
        <v>17</v>
      </c>
      <c r="H1277" s="43" t="s">
        <v>18</v>
      </c>
      <c r="I1277" s="48">
        <v>1</v>
      </c>
      <c r="J1277" s="49">
        <v>1000</v>
      </c>
      <c r="K1277" s="49">
        <v>1000</v>
      </c>
      <c r="L1277" s="47" t="s">
        <v>22</v>
      </c>
      <c r="M1277" s="46">
        <v>0</v>
      </c>
      <c r="N1277" s="48" t="s">
        <v>23</v>
      </c>
      <c r="O1277" s="47" t="s">
        <v>73</v>
      </c>
    </row>
    <row r="1278" ht="14.25" customHeight="1" spans="1:15">
      <c r="A1278" s="43" t="s">
        <v>2430</v>
      </c>
      <c r="B1278" s="44">
        <v>46214</v>
      </c>
      <c r="C1278" s="45">
        <v>0.814583333333333</v>
      </c>
      <c r="D1278" s="46">
        <f t="shared" si="0"/>
        <v>19</v>
      </c>
      <c r="E1278" s="47" t="str">
        <f t="shared" si="7"/>
        <v>Saturday</v>
      </c>
      <c r="F1278" s="47" t="s">
        <v>16</v>
      </c>
      <c r="G1278" s="47" t="s">
        <v>17</v>
      </c>
      <c r="H1278" s="43" t="s">
        <v>18</v>
      </c>
      <c r="I1278" s="48">
        <v>2</v>
      </c>
      <c r="J1278" s="49">
        <v>1000</v>
      </c>
      <c r="K1278" s="50">
        <v>1800</v>
      </c>
      <c r="L1278" s="47" t="s">
        <v>32</v>
      </c>
      <c r="M1278" s="51">
        <v>0.1</v>
      </c>
      <c r="N1278" s="48">
        <v>4</v>
      </c>
      <c r="O1278" s="47" t="s">
        <v>40</v>
      </c>
    </row>
    <row r="1279" ht="14.25" customHeight="1" spans="1:15">
      <c r="A1279" s="43" t="s">
        <v>2431</v>
      </c>
      <c r="B1279" s="44">
        <v>46214</v>
      </c>
      <c r="C1279" s="45">
        <v>0.858333333333333</v>
      </c>
      <c r="D1279" s="46">
        <f t="shared" si="0"/>
        <v>20</v>
      </c>
      <c r="E1279" s="47" t="str">
        <f t="shared" si="7"/>
        <v>Saturday</v>
      </c>
      <c r="F1279" s="47" t="s">
        <v>107</v>
      </c>
      <c r="G1279" s="47" t="s">
        <v>17</v>
      </c>
      <c r="H1279" s="43" t="s">
        <v>18</v>
      </c>
      <c r="I1279" s="48">
        <v>1</v>
      </c>
      <c r="J1279" s="49">
        <v>1000</v>
      </c>
      <c r="K1279" s="49">
        <v>1000</v>
      </c>
      <c r="L1279" s="47" t="s">
        <v>32</v>
      </c>
      <c r="M1279" s="46">
        <v>0</v>
      </c>
      <c r="N1279" s="48">
        <v>4</v>
      </c>
      <c r="O1279" s="47" t="s">
        <v>24</v>
      </c>
    </row>
    <row r="1280" ht="14.25" customHeight="1" spans="1:15">
      <c r="A1280" s="43" t="s">
        <v>2432</v>
      </c>
      <c r="B1280" s="44">
        <v>46214</v>
      </c>
      <c r="C1280" s="45">
        <v>0.923611111111111</v>
      </c>
      <c r="D1280" s="46">
        <f t="shared" si="0"/>
        <v>22</v>
      </c>
      <c r="E1280" s="47" t="str">
        <f t="shared" si="7"/>
        <v>Saturday</v>
      </c>
      <c r="F1280" s="47" t="s">
        <v>107</v>
      </c>
      <c r="G1280" s="47" t="s">
        <v>146</v>
      </c>
      <c r="H1280" s="43" t="s">
        <v>28</v>
      </c>
      <c r="I1280" s="48">
        <v>1</v>
      </c>
      <c r="J1280" s="49">
        <v>16000</v>
      </c>
      <c r="K1280" s="49">
        <v>16000</v>
      </c>
      <c r="L1280" s="47" t="s">
        <v>22</v>
      </c>
      <c r="M1280" s="46">
        <v>0</v>
      </c>
      <c r="N1280" s="48" t="s">
        <v>23</v>
      </c>
      <c r="O1280" s="47" t="s">
        <v>47</v>
      </c>
    </row>
    <row r="1281" ht="14.25" customHeight="1" spans="1:15">
      <c r="A1281" s="43" t="s">
        <v>2434</v>
      </c>
      <c r="B1281" s="44">
        <v>46214</v>
      </c>
      <c r="C1281" s="45">
        <v>0.94375</v>
      </c>
      <c r="D1281" s="46">
        <f t="shared" si="0"/>
        <v>22</v>
      </c>
      <c r="E1281" s="47" t="str">
        <f t="shared" si="7"/>
        <v>Saturday</v>
      </c>
      <c r="F1281" s="47" t="s">
        <v>43</v>
      </c>
      <c r="G1281" s="47" t="s">
        <v>44</v>
      </c>
      <c r="H1281" s="43" t="s">
        <v>45</v>
      </c>
      <c r="I1281" s="48">
        <v>2</v>
      </c>
      <c r="J1281" s="49">
        <v>4000</v>
      </c>
      <c r="K1281" s="49">
        <f>I1281*J1281</f>
        <v>8000</v>
      </c>
      <c r="L1281" s="47" t="s">
        <v>22</v>
      </c>
      <c r="M1281" s="46">
        <v>0</v>
      </c>
      <c r="N1281" s="48">
        <v>5</v>
      </c>
      <c r="O1281" s="47" t="s">
        <v>24</v>
      </c>
    </row>
    <row r="1282" ht="14.25" customHeight="1" spans="1:15">
      <c r="A1282" s="43" t="s">
        <v>2435</v>
      </c>
      <c r="B1282" s="44">
        <v>46215</v>
      </c>
      <c r="C1282" s="45">
        <v>0.605555555555556</v>
      </c>
      <c r="D1282" s="46">
        <f t="shared" si="0"/>
        <v>14</v>
      </c>
      <c r="E1282" s="47" t="str">
        <f t="shared" si="7"/>
        <v>Sunday</v>
      </c>
      <c r="F1282" s="47" t="s">
        <v>16</v>
      </c>
      <c r="G1282" s="47" t="s">
        <v>17</v>
      </c>
      <c r="H1282" s="43" t="s">
        <v>18</v>
      </c>
      <c r="I1282" s="48">
        <v>1</v>
      </c>
      <c r="J1282" s="49">
        <v>1000</v>
      </c>
      <c r="K1282" s="49">
        <v>1000</v>
      </c>
      <c r="L1282" s="47" t="s">
        <v>22</v>
      </c>
      <c r="M1282" s="46">
        <v>0</v>
      </c>
      <c r="N1282" s="48" t="s">
        <v>23</v>
      </c>
      <c r="O1282" s="47" t="s">
        <v>24</v>
      </c>
    </row>
    <row r="1283" ht="14.25" customHeight="1" spans="1:15">
      <c r="A1283" s="43" t="s">
        <v>2437</v>
      </c>
      <c r="B1283" s="44">
        <v>46215</v>
      </c>
      <c r="C1283" s="45">
        <v>0.654861111111111</v>
      </c>
      <c r="D1283" s="46">
        <f t="shared" si="0"/>
        <v>15</v>
      </c>
      <c r="E1283" s="47" t="str">
        <f t="shared" si="7"/>
        <v>Sunday</v>
      </c>
      <c r="F1283" s="47" t="s">
        <v>107</v>
      </c>
      <c r="G1283" s="47" t="s">
        <v>103</v>
      </c>
      <c r="H1283" s="43" t="s">
        <v>37</v>
      </c>
      <c r="I1283" s="48">
        <v>2</v>
      </c>
      <c r="J1283" s="49">
        <v>5000</v>
      </c>
      <c r="K1283" s="49">
        <v>10000</v>
      </c>
      <c r="L1283" s="47" t="s">
        <v>32</v>
      </c>
      <c r="M1283" s="46">
        <v>0</v>
      </c>
      <c r="N1283" s="48" t="s">
        <v>23</v>
      </c>
      <c r="O1283" s="47" t="s">
        <v>47</v>
      </c>
    </row>
    <row r="1284" ht="14.25" customHeight="1" spans="1:15">
      <c r="A1284" s="43" t="s">
        <v>2438</v>
      </c>
      <c r="B1284" s="44">
        <v>46215</v>
      </c>
      <c r="C1284" s="45">
        <v>0.754166666666667</v>
      </c>
      <c r="D1284" s="46">
        <f t="shared" si="0"/>
        <v>18</v>
      </c>
      <c r="E1284" s="47" t="str">
        <f t="shared" si="7"/>
        <v>Sunday</v>
      </c>
      <c r="F1284" s="47" t="s">
        <v>107</v>
      </c>
      <c r="G1284" s="47" t="s">
        <v>57</v>
      </c>
      <c r="H1284" s="47" t="s">
        <v>28</v>
      </c>
      <c r="I1284" s="48">
        <v>1</v>
      </c>
      <c r="J1284" s="49">
        <v>18000</v>
      </c>
      <c r="K1284" s="50">
        <v>16200</v>
      </c>
      <c r="L1284" s="47" t="s">
        <v>22</v>
      </c>
      <c r="M1284" s="51">
        <v>0.1</v>
      </c>
      <c r="N1284" s="48" t="s">
        <v>23</v>
      </c>
      <c r="O1284" s="47" t="s">
        <v>24</v>
      </c>
    </row>
    <row r="1285" ht="14.25" customHeight="1" spans="1:15">
      <c r="A1285" s="43" t="s">
        <v>2439</v>
      </c>
      <c r="B1285" s="44">
        <v>46215</v>
      </c>
      <c r="C1285" s="45">
        <v>0.909027777777778</v>
      </c>
      <c r="D1285" s="46">
        <f t="shared" si="0"/>
        <v>21</v>
      </c>
      <c r="E1285" s="47" t="str">
        <f t="shared" si="7"/>
        <v>Sunday</v>
      </c>
      <c r="F1285" s="47" t="s">
        <v>43</v>
      </c>
      <c r="G1285" s="47" t="s">
        <v>44</v>
      </c>
      <c r="H1285" s="43" t="s">
        <v>45</v>
      </c>
      <c r="I1285" s="48">
        <v>1</v>
      </c>
      <c r="J1285" s="49">
        <v>4000</v>
      </c>
      <c r="K1285" s="49">
        <v>4000</v>
      </c>
      <c r="L1285" s="47" t="s">
        <v>22</v>
      </c>
      <c r="M1285" s="46">
        <v>0</v>
      </c>
      <c r="N1285" s="48">
        <v>4</v>
      </c>
      <c r="O1285" s="47" t="s">
        <v>47</v>
      </c>
    </row>
    <row r="1286" ht="14.25" customHeight="1" spans="1:15">
      <c r="A1286" s="43" t="s">
        <v>2440</v>
      </c>
      <c r="B1286" s="44">
        <v>46215</v>
      </c>
      <c r="C1286" s="45">
        <v>0.918055555555556</v>
      </c>
      <c r="D1286" s="46">
        <f t="shared" si="0"/>
        <v>22</v>
      </c>
      <c r="E1286" s="47" t="str">
        <f t="shared" si="7"/>
        <v>Sunday</v>
      </c>
      <c r="F1286" s="47" t="s">
        <v>43</v>
      </c>
      <c r="G1286" s="47" t="s">
        <v>27</v>
      </c>
      <c r="H1286" s="43" t="s">
        <v>28</v>
      </c>
      <c r="I1286" s="48">
        <v>1</v>
      </c>
      <c r="J1286" s="49">
        <v>15000</v>
      </c>
      <c r="K1286" s="49">
        <v>15000</v>
      </c>
      <c r="L1286" s="47" t="s">
        <v>22</v>
      </c>
      <c r="M1286" s="46">
        <v>0</v>
      </c>
      <c r="N1286" s="48" t="s">
        <v>23</v>
      </c>
      <c r="O1286" s="47" t="s">
        <v>47</v>
      </c>
    </row>
    <row r="1287" ht="14.25" customHeight="1" spans="1:15">
      <c r="A1287" s="43" t="s">
        <v>2441</v>
      </c>
      <c r="B1287" s="44">
        <v>46216</v>
      </c>
      <c r="C1287" s="45">
        <v>0.519444444444444</v>
      </c>
      <c r="D1287" s="46">
        <f t="shared" si="0"/>
        <v>12</v>
      </c>
      <c r="E1287" s="47" t="str">
        <f t="shared" si="7"/>
        <v>Monday</v>
      </c>
      <c r="F1287" s="47" t="s">
        <v>107</v>
      </c>
      <c r="G1287" s="47" t="s">
        <v>103</v>
      </c>
      <c r="H1287" s="43" t="s">
        <v>37</v>
      </c>
      <c r="I1287" s="48">
        <v>2</v>
      </c>
      <c r="J1287" s="49">
        <v>5000</v>
      </c>
      <c r="K1287" s="49">
        <v>10000</v>
      </c>
      <c r="L1287" s="47" t="s">
        <v>22</v>
      </c>
      <c r="M1287" s="46">
        <v>0</v>
      </c>
      <c r="N1287" s="48">
        <v>4</v>
      </c>
      <c r="O1287" s="47" t="s">
        <v>40</v>
      </c>
    </row>
    <row r="1288" ht="14.25" customHeight="1" spans="1:15">
      <c r="A1288" s="43" t="s">
        <v>2444</v>
      </c>
      <c r="B1288" s="44">
        <v>46216</v>
      </c>
      <c r="C1288" s="45">
        <v>0.761111111111111</v>
      </c>
      <c r="D1288" s="46">
        <f t="shared" si="0"/>
        <v>18</v>
      </c>
      <c r="E1288" s="47" t="str">
        <f t="shared" si="7"/>
        <v>Monday</v>
      </c>
      <c r="F1288" s="47" t="s">
        <v>107</v>
      </c>
      <c r="G1288" s="47" t="s">
        <v>63</v>
      </c>
      <c r="H1288" s="43" t="s">
        <v>18</v>
      </c>
      <c r="I1288" s="48">
        <v>3</v>
      </c>
      <c r="J1288" s="49">
        <v>1500</v>
      </c>
      <c r="K1288" s="50">
        <v>3600</v>
      </c>
      <c r="L1288" s="47" t="s">
        <v>32</v>
      </c>
      <c r="M1288" s="51">
        <v>0.2</v>
      </c>
      <c r="N1288" s="48" t="s">
        <v>23</v>
      </c>
      <c r="O1288" s="47" t="s">
        <v>33</v>
      </c>
    </row>
    <row r="1289" ht="14.25" customHeight="1" spans="1:15">
      <c r="A1289" s="43" t="s">
        <v>2446</v>
      </c>
      <c r="B1289" s="44">
        <v>46216</v>
      </c>
      <c r="C1289" s="45">
        <v>0.9</v>
      </c>
      <c r="D1289" s="46">
        <f t="shared" si="0"/>
        <v>21</v>
      </c>
      <c r="E1289" s="47" t="str">
        <f t="shared" si="7"/>
        <v>Monday</v>
      </c>
      <c r="F1289" s="47" t="s">
        <v>43</v>
      </c>
      <c r="G1289" s="47" t="s">
        <v>27</v>
      </c>
      <c r="H1289" s="43" t="s">
        <v>28</v>
      </c>
      <c r="I1289" s="48">
        <v>1</v>
      </c>
      <c r="J1289" s="49">
        <f>K1289/I1289</f>
        <v>15000</v>
      </c>
      <c r="K1289" s="49">
        <v>15000</v>
      </c>
      <c r="L1289" s="47" t="s">
        <v>32</v>
      </c>
      <c r="M1289" s="46">
        <v>0</v>
      </c>
      <c r="N1289" s="48" t="s">
        <v>23</v>
      </c>
      <c r="O1289" s="47" t="s">
        <v>47</v>
      </c>
    </row>
    <row r="1290" ht="14.25" customHeight="1" spans="1:15">
      <c r="A1290" s="43" t="s">
        <v>2447</v>
      </c>
      <c r="B1290" s="44">
        <v>46216</v>
      </c>
      <c r="C1290" s="45">
        <v>0.926388888888889</v>
      </c>
      <c r="D1290" s="46">
        <f t="shared" si="0"/>
        <v>22</v>
      </c>
      <c r="E1290" s="47" t="str">
        <f t="shared" si="7"/>
        <v>Monday</v>
      </c>
      <c r="F1290" s="47" t="s">
        <v>43</v>
      </c>
      <c r="G1290" s="47" t="s">
        <v>103</v>
      </c>
      <c r="H1290" s="43" t="s">
        <v>37</v>
      </c>
      <c r="I1290" s="48">
        <v>1</v>
      </c>
      <c r="J1290" s="49">
        <v>5000</v>
      </c>
      <c r="K1290" s="49">
        <v>5000</v>
      </c>
      <c r="L1290" s="47" t="s">
        <v>32</v>
      </c>
      <c r="M1290" s="46">
        <v>0</v>
      </c>
      <c r="N1290" s="48">
        <v>4</v>
      </c>
      <c r="O1290" s="47" t="s">
        <v>24</v>
      </c>
    </row>
    <row r="1291" ht="14.25" customHeight="1" spans="1:15">
      <c r="A1291" s="43" t="s">
        <v>2449</v>
      </c>
      <c r="B1291" s="44">
        <v>46216</v>
      </c>
      <c r="C1291" s="45">
        <v>0.931944444444444</v>
      </c>
      <c r="D1291" s="46">
        <f t="shared" si="0"/>
        <v>22</v>
      </c>
      <c r="E1291" s="47" t="str">
        <f t="shared" si="7"/>
        <v>Monday</v>
      </c>
      <c r="F1291" s="47" t="s">
        <v>43</v>
      </c>
      <c r="G1291" s="47" t="s">
        <v>103</v>
      </c>
      <c r="H1291" s="43" t="s">
        <v>37</v>
      </c>
      <c r="I1291" s="48">
        <v>1</v>
      </c>
      <c r="J1291" s="49">
        <v>5000</v>
      </c>
      <c r="K1291" s="49">
        <v>5000</v>
      </c>
      <c r="L1291" s="47" t="s">
        <v>32</v>
      </c>
      <c r="M1291" s="46">
        <v>0</v>
      </c>
      <c r="N1291" s="48" t="s">
        <v>23</v>
      </c>
      <c r="O1291" s="47" t="s">
        <v>73</v>
      </c>
    </row>
    <row r="1292" ht="14.25" customHeight="1" spans="1:15">
      <c r="A1292" s="43" t="s">
        <v>2451</v>
      </c>
      <c r="B1292" s="44">
        <v>46216</v>
      </c>
      <c r="C1292" s="45">
        <v>0.938194444444444</v>
      </c>
      <c r="D1292" s="46">
        <f t="shared" si="0"/>
        <v>22</v>
      </c>
      <c r="E1292" s="47" t="str">
        <f t="shared" si="7"/>
        <v>Monday</v>
      </c>
      <c r="F1292" s="47" t="s">
        <v>16</v>
      </c>
      <c r="G1292" s="47" t="s">
        <v>146</v>
      </c>
      <c r="H1292" s="43" t="s">
        <v>28</v>
      </c>
      <c r="I1292" s="48">
        <v>2</v>
      </c>
      <c r="J1292" s="49">
        <v>16000</v>
      </c>
      <c r="K1292" s="49">
        <v>32000</v>
      </c>
      <c r="L1292" s="47" t="s">
        <v>32</v>
      </c>
      <c r="M1292" s="46">
        <v>0</v>
      </c>
      <c r="N1292" s="48">
        <v>3</v>
      </c>
      <c r="O1292" s="47" t="s">
        <v>40</v>
      </c>
    </row>
    <row r="1293" ht="14.25" customHeight="1" spans="1:15">
      <c r="A1293" s="43" t="s">
        <v>2452</v>
      </c>
      <c r="B1293" s="44">
        <v>46217</v>
      </c>
      <c r="C1293" s="45">
        <v>0.545138888888889</v>
      </c>
      <c r="D1293" s="46">
        <f t="shared" si="0"/>
        <v>13</v>
      </c>
      <c r="E1293" s="47" t="str">
        <f t="shared" si="7"/>
        <v>Tuesday</v>
      </c>
      <c r="F1293" s="47" t="s">
        <v>107</v>
      </c>
      <c r="G1293" s="47" t="s">
        <v>17</v>
      </c>
      <c r="H1293" s="43" t="s">
        <v>18</v>
      </c>
      <c r="I1293" s="48">
        <v>1</v>
      </c>
      <c r="J1293" s="49">
        <v>1000</v>
      </c>
      <c r="K1293" s="49">
        <v>1000</v>
      </c>
      <c r="L1293" s="47" t="s">
        <v>22</v>
      </c>
      <c r="M1293" s="46">
        <v>0</v>
      </c>
      <c r="N1293" s="48" t="s">
        <v>23</v>
      </c>
      <c r="O1293" s="47" t="s">
        <v>33</v>
      </c>
    </row>
    <row r="1294" ht="14.25" customHeight="1" spans="1:15">
      <c r="A1294" s="43" t="s">
        <v>2454</v>
      </c>
      <c r="B1294" s="44">
        <v>46217</v>
      </c>
      <c r="C1294" s="45">
        <v>0.750694444444444</v>
      </c>
      <c r="D1294" s="46">
        <f t="shared" si="0"/>
        <v>18</v>
      </c>
      <c r="E1294" s="47" t="str">
        <f t="shared" si="7"/>
        <v>Tuesday</v>
      </c>
      <c r="F1294" s="47" t="s">
        <v>107</v>
      </c>
      <c r="G1294" s="47" t="s">
        <v>146</v>
      </c>
      <c r="H1294" s="43" t="s">
        <v>28</v>
      </c>
      <c r="I1294" s="48">
        <v>1</v>
      </c>
      <c r="J1294" s="49">
        <v>16000</v>
      </c>
      <c r="K1294" s="49">
        <v>16000</v>
      </c>
      <c r="L1294" s="47" t="s">
        <v>22</v>
      </c>
      <c r="M1294" s="46">
        <v>0</v>
      </c>
      <c r="N1294" s="48" t="s">
        <v>23</v>
      </c>
      <c r="O1294" s="47" t="s">
        <v>24</v>
      </c>
    </row>
    <row r="1295" ht="14.25" customHeight="1" spans="1:15">
      <c r="A1295" s="43" t="s">
        <v>2455</v>
      </c>
      <c r="B1295" s="44">
        <v>46217</v>
      </c>
      <c r="C1295" s="45">
        <v>0.870138888888889</v>
      </c>
      <c r="D1295" s="46">
        <f t="shared" si="0"/>
        <v>20</v>
      </c>
      <c r="E1295" s="47" t="str">
        <f t="shared" si="7"/>
        <v>Tuesday</v>
      </c>
      <c r="F1295" s="47" t="s">
        <v>16</v>
      </c>
      <c r="G1295" s="47" t="s">
        <v>81</v>
      </c>
      <c r="H1295" s="43" t="s">
        <v>37</v>
      </c>
      <c r="I1295" s="48">
        <v>1</v>
      </c>
      <c r="J1295" s="49">
        <v>6000</v>
      </c>
      <c r="K1295" s="50">
        <v>6000</v>
      </c>
      <c r="L1295" s="47" t="s">
        <v>22</v>
      </c>
      <c r="M1295" s="46">
        <v>0</v>
      </c>
      <c r="N1295" s="48" t="s">
        <v>23</v>
      </c>
      <c r="O1295" s="47" t="s">
        <v>73</v>
      </c>
    </row>
    <row r="1296" ht="14.25" customHeight="1" spans="1:15">
      <c r="A1296" s="43" t="s">
        <v>2456</v>
      </c>
      <c r="B1296" s="44">
        <v>46217</v>
      </c>
      <c r="C1296" s="45">
        <v>0.889583333333333</v>
      </c>
      <c r="D1296" s="46">
        <f t="shared" si="0"/>
        <v>21</v>
      </c>
      <c r="E1296" s="47" t="str">
        <f t="shared" si="7"/>
        <v>Tuesday</v>
      </c>
      <c r="F1296" s="47" t="s">
        <v>16</v>
      </c>
      <c r="G1296" s="47" t="s">
        <v>95</v>
      </c>
      <c r="H1296" s="43" t="s">
        <v>45</v>
      </c>
      <c r="I1296" s="48">
        <v>1</v>
      </c>
      <c r="J1296" s="49">
        <v>5000</v>
      </c>
      <c r="K1296" s="49">
        <v>5000</v>
      </c>
      <c r="L1296" s="47" t="s">
        <v>32</v>
      </c>
      <c r="M1296" s="46">
        <v>0</v>
      </c>
      <c r="N1296" s="48">
        <v>3</v>
      </c>
      <c r="O1296" s="47" t="s">
        <v>73</v>
      </c>
    </row>
    <row r="1297" ht="14.25" customHeight="1" spans="1:15">
      <c r="A1297" s="43" t="s">
        <v>2457</v>
      </c>
      <c r="B1297" s="44">
        <v>46217</v>
      </c>
      <c r="C1297" s="45">
        <v>0.898611111111111</v>
      </c>
      <c r="D1297" s="46">
        <f t="shared" si="0"/>
        <v>21</v>
      </c>
      <c r="E1297" s="47" t="str">
        <f t="shared" si="7"/>
        <v>Tuesday</v>
      </c>
      <c r="F1297" s="47" t="s">
        <v>43</v>
      </c>
      <c r="G1297" s="47" t="s">
        <v>146</v>
      </c>
      <c r="H1297" s="43" t="s">
        <v>28</v>
      </c>
      <c r="I1297" s="48">
        <v>1</v>
      </c>
      <c r="J1297" s="49">
        <v>16000</v>
      </c>
      <c r="K1297" s="49">
        <v>16000</v>
      </c>
      <c r="L1297" s="47" t="s">
        <v>22</v>
      </c>
      <c r="M1297" s="46">
        <v>0</v>
      </c>
      <c r="N1297" s="48" t="s">
        <v>23</v>
      </c>
      <c r="O1297" s="47" t="s">
        <v>33</v>
      </c>
    </row>
    <row r="1298" ht="14.25" customHeight="1" spans="1:15">
      <c r="A1298" s="43" t="s">
        <v>2458</v>
      </c>
      <c r="B1298" s="44">
        <v>46217</v>
      </c>
      <c r="C1298" s="45">
        <v>0.951388888888889</v>
      </c>
      <c r="D1298" s="46">
        <f t="shared" si="0"/>
        <v>22</v>
      </c>
      <c r="E1298" s="47" t="str">
        <f t="shared" si="7"/>
        <v>Tuesday</v>
      </c>
      <c r="F1298" s="47" t="s">
        <v>16</v>
      </c>
      <c r="G1298" s="43" t="s">
        <v>36</v>
      </c>
      <c r="H1298" s="43" t="s">
        <v>37</v>
      </c>
      <c r="I1298" s="48">
        <v>2</v>
      </c>
      <c r="J1298" s="49">
        <v>3000</v>
      </c>
      <c r="K1298" s="49">
        <v>6000</v>
      </c>
      <c r="L1298" s="47" t="s">
        <v>22</v>
      </c>
      <c r="M1298" s="46">
        <v>0</v>
      </c>
      <c r="N1298" s="48" t="s">
        <v>23</v>
      </c>
      <c r="O1298" s="47" t="s">
        <v>73</v>
      </c>
    </row>
    <row r="1299" ht="14.25" customHeight="1" spans="1:15">
      <c r="A1299" s="43" t="s">
        <v>2459</v>
      </c>
      <c r="B1299" s="44">
        <v>46217</v>
      </c>
      <c r="C1299" s="45">
        <v>0.983333333333333</v>
      </c>
      <c r="D1299" s="46">
        <f t="shared" si="0"/>
        <v>23</v>
      </c>
      <c r="E1299" s="47" t="str">
        <f t="shared" si="7"/>
        <v>Tuesday</v>
      </c>
      <c r="F1299" s="47" t="s">
        <v>107</v>
      </c>
      <c r="G1299" s="43" t="s">
        <v>165</v>
      </c>
      <c r="H1299" s="43" t="s">
        <v>109</v>
      </c>
      <c r="I1299" s="48">
        <v>1</v>
      </c>
      <c r="J1299" s="49">
        <v>6000</v>
      </c>
      <c r="K1299" s="49">
        <v>6000</v>
      </c>
      <c r="L1299" s="47" t="s">
        <v>22</v>
      </c>
      <c r="M1299" s="46">
        <v>0</v>
      </c>
      <c r="N1299" s="48" t="s">
        <v>23</v>
      </c>
      <c r="O1299" s="47" t="s">
        <v>24</v>
      </c>
    </row>
    <row r="1300" ht="14.25" customHeight="1" spans="1:15">
      <c r="A1300" s="43" t="s">
        <v>2460</v>
      </c>
      <c r="B1300" s="44">
        <v>46218</v>
      </c>
      <c r="C1300" s="45">
        <v>0.541666666666667</v>
      </c>
      <c r="D1300" s="46">
        <f t="shared" si="0"/>
        <v>13</v>
      </c>
      <c r="E1300" s="47" t="str">
        <f t="shared" si="7"/>
        <v>Wednesday</v>
      </c>
      <c r="F1300" s="47" t="s">
        <v>107</v>
      </c>
      <c r="G1300" s="47" t="s">
        <v>50</v>
      </c>
      <c r="H1300" s="43" t="s">
        <v>28</v>
      </c>
      <c r="I1300" s="48">
        <v>2</v>
      </c>
      <c r="J1300" s="49">
        <v>25000</v>
      </c>
      <c r="K1300" s="49">
        <v>50000</v>
      </c>
      <c r="L1300" s="47" t="s">
        <v>32</v>
      </c>
      <c r="M1300" s="46">
        <v>0</v>
      </c>
      <c r="N1300" s="48" t="s">
        <v>23</v>
      </c>
      <c r="O1300" s="47" t="s">
        <v>24</v>
      </c>
    </row>
    <row r="1301" ht="14.25" customHeight="1" spans="1:15">
      <c r="A1301" s="43" t="s">
        <v>2462</v>
      </c>
      <c r="B1301" s="44">
        <v>46218</v>
      </c>
      <c r="C1301" s="45">
        <v>0.547222222222222</v>
      </c>
      <c r="D1301" s="46">
        <f t="shared" si="0"/>
        <v>13</v>
      </c>
      <c r="E1301" s="47" t="str">
        <f t="shared" si="7"/>
        <v>Wednesday</v>
      </c>
      <c r="F1301" s="47" t="s">
        <v>107</v>
      </c>
      <c r="G1301" s="47" t="s">
        <v>17</v>
      </c>
      <c r="H1301" s="43" t="s">
        <v>18</v>
      </c>
      <c r="I1301" s="48">
        <v>1</v>
      </c>
      <c r="J1301" s="49">
        <v>1000</v>
      </c>
      <c r="K1301" s="49">
        <v>1000</v>
      </c>
      <c r="L1301" s="47" t="s">
        <v>22</v>
      </c>
      <c r="M1301" s="46">
        <v>0</v>
      </c>
      <c r="N1301" s="48" t="s">
        <v>23</v>
      </c>
      <c r="O1301" s="47" t="s">
        <v>24</v>
      </c>
    </row>
    <row r="1302" ht="14.25" customHeight="1" spans="1:15">
      <c r="A1302" s="43" t="s">
        <v>2463</v>
      </c>
      <c r="B1302" s="44">
        <v>46218</v>
      </c>
      <c r="C1302" s="45">
        <v>0.575694444444444</v>
      </c>
      <c r="D1302" s="46">
        <f t="shared" si="0"/>
        <v>13</v>
      </c>
      <c r="E1302" s="47" t="str">
        <f t="shared" si="7"/>
        <v>Wednesday</v>
      </c>
      <c r="F1302" s="47" t="s">
        <v>16</v>
      </c>
      <c r="G1302" s="47" t="s">
        <v>50</v>
      </c>
      <c r="H1302" s="43" t="s">
        <v>28</v>
      </c>
      <c r="I1302" s="48">
        <v>1</v>
      </c>
      <c r="J1302" s="49">
        <v>25000</v>
      </c>
      <c r="K1302" s="49">
        <v>25000</v>
      </c>
      <c r="L1302" s="47" t="s">
        <v>32</v>
      </c>
      <c r="M1302" s="46">
        <v>0</v>
      </c>
      <c r="N1302" s="48" t="s">
        <v>23</v>
      </c>
      <c r="O1302" s="47" t="s">
        <v>24</v>
      </c>
    </row>
    <row r="1303" ht="14.25" customHeight="1" spans="1:15">
      <c r="A1303" s="43" t="s">
        <v>2464</v>
      </c>
      <c r="B1303" s="44">
        <v>46218</v>
      </c>
      <c r="C1303" s="45">
        <v>0.676388888888889</v>
      </c>
      <c r="D1303" s="46">
        <f t="shared" si="0"/>
        <v>16</v>
      </c>
      <c r="E1303" s="47" t="str">
        <f t="shared" si="7"/>
        <v>Wednesday</v>
      </c>
      <c r="F1303" s="47" t="s">
        <v>16</v>
      </c>
      <c r="G1303" s="43" t="s">
        <v>647</v>
      </c>
      <c r="H1303" s="43" t="s">
        <v>45</v>
      </c>
      <c r="I1303" s="48">
        <v>1</v>
      </c>
      <c r="J1303" s="49">
        <v>4500</v>
      </c>
      <c r="K1303" s="50">
        <v>4050</v>
      </c>
      <c r="L1303" s="47" t="s">
        <v>22</v>
      </c>
      <c r="M1303" s="51">
        <v>0.1</v>
      </c>
      <c r="N1303" s="48">
        <v>3</v>
      </c>
      <c r="O1303" s="47" t="s">
        <v>40</v>
      </c>
    </row>
    <row r="1304" ht="14.25" customHeight="1" spans="1:15">
      <c r="A1304" s="43" t="s">
        <v>2465</v>
      </c>
      <c r="B1304" s="44">
        <v>46218</v>
      </c>
      <c r="C1304" s="45">
        <v>0.754861111111111</v>
      </c>
      <c r="D1304" s="46">
        <f t="shared" si="0"/>
        <v>18</v>
      </c>
      <c r="E1304" s="47" t="str">
        <f t="shared" si="7"/>
        <v>Wednesday</v>
      </c>
      <c r="F1304" s="47" t="s">
        <v>107</v>
      </c>
      <c r="G1304" s="47" t="s">
        <v>57</v>
      </c>
      <c r="H1304" s="43" t="s">
        <v>28</v>
      </c>
      <c r="I1304" s="48">
        <v>2</v>
      </c>
      <c r="J1304" s="49">
        <v>18000</v>
      </c>
      <c r="K1304" s="50">
        <v>32400</v>
      </c>
      <c r="L1304" s="47" t="s">
        <v>32</v>
      </c>
      <c r="M1304" s="51">
        <v>0.1</v>
      </c>
      <c r="N1304" s="48" t="s">
        <v>23</v>
      </c>
      <c r="O1304" s="47" t="s">
        <v>33</v>
      </c>
    </row>
    <row r="1305" ht="14.25" customHeight="1" spans="1:15">
      <c r="A1305" s="43" t="s">
        <v>2467</v>
      </c>
      <c r="B1305" s="44">
        <v>46218</v>
      </c>
      <c r="C1305" s="45">
        <v>0.763194444444444</v>
      </c>
      <c r="D1305" s="46">
        <f t="shared" si="0"/>
        <v>18</v>
      </c>
      <c r="E1305" s="47" t="str">
        <f t="shared" si="7"/>
        <v>Wednesday</v>
      </c>
      <c r="F1305" s="47" t="s">
        <v>107</v>
      </c>
      <c r="G1305" s="47" t="s">
        <v>44</v>
      </c>
      <c r="H1305" s="43" t="s">
        <v>45</v>
      </c>
      <c r="I1305" s="48">
        <v>1</v>
      </c>
      <c r="J1305" s="49">
        <v>4000</v>
      </c>
      <c r="K1305" s="49">
        <v>4000</v>
      </c>
      <c r="L1305" s="47" t="s">
        <v>32</v>
      </c>
      <c r="M1305" s="46">
        <v>0</v>
      </c>
      <c r="N1305" s="48" t="s">
        <v>23</v>
      </c>
      <c r="O1305" s="47" t="s">
        <v>40</v>
      </c>
    </row>
    <row r="1306" ht="14.25" customHeight="1" spans="1:15">
      <c r="A1306" s="43" t="s">
        <v>2468</v>
      </c>
      <c r="B1306" s="44">
        <v>46218</v>
      </c>
      <c r="C1306" s="45">
        <v>0.825</v>
      </c>
      <c r="D1306" s="46">
        <f t="shared" si="0"/>
        <v>19</v>
      </c>
      <c r="E1306" s="47" t="str">
        <f t="shared" si="7"/>
        <v>Wednesday</v>
      </c>
      <c r="F1306" s="47" t="s">
        <v>43</v>
      </c>
      <c r="G1306" s="43" t="s">
        <v>647</v>
      </c>
      <c r="H1306" s="43" t="s">
        <v>45</v>
      </c>
      <c r="I1306" s="48">
        <v>1</v>
      </c>
      <c r="J1306" s="49">
        <v>4500</v>
      </c>
      <c r="K1306" s="50">
        <v>4050</v>
      </c>
      <c r="L1306" s="47" t="s">
        <v>32</v>
      </c>
      <c r="M1306" s="51">
        <v>0.1</v>
      </c>
      <c r="N1306" s="48">
        <v>3</v>
      </c>
      <c r="O1306" s="47" t="s">
        <v>40</v>
      </c>
    </row>
    <row r="1307" ht="14.25" customHeight="1" spans="1:15">
      <c r="A1307" s="43" t="s">
        <v>2469</v>
      </c>
      <c r="B1307" s="44">
        <v>46218</v>
      </c>
      <c r="C1307" s="45">
        <v>0.894444444444444</v>
      </c>
      <c r="D1307" s="46">
        <f t="shared" si="0"/>
        <v>21</v>
      </c>
      <c r="E1307" s="47" t="str">
        <f t="shared" si="7"/>
        <v>Wednesday</v>
      </c>
      <c r="F1307" s="47" t="s">
        <v>43</v>
      </c>
      <c r="G1307" s="47" t="s">
        <v>50</v>
      </c>
      <c r="H1307" s="43" t="s">
        <v>28</v>
      </c>
      <c r="I1307" s="48">
        <v>1</v>
      </c>
      <c r="J1307" s="49">
        <v>25000</v>
      </c>
      <c r="K1307" s="49">
        <v>25000</v>
      </c>
      <c r="L1307" s="47" t="s">
        <v>22</v>
      </c>
      <c r="M1307" s="46">
        <v>0</v>
      </c>
      <c r="N1307" s="48" t="s">
        <v>23</v>
      </c>
      <c r="O1307" s="47" t="s">
        <v>73</v>
      </c>
    </row>
    <row r="1308" ht="14.25" customHeight="1" spans="1:15">
      <c r="A1308" s="43" t="s">
        <v>2470</v>
      </c>
      <c r="B1308" s="44">
        <v>46218</v>
      </c>
      <c r="C1308" s="45">
        <v>0.896527777777778</v>
      </c>
      <c r="D1308" s="46">
        <f t="shared" si="0"/>
        <v>21</v>
      </c>
      <c r="E1308" s="47" t="str">
        <f t="shared" si="7"/>
        <v>Wednesday</v>
      </c>
      <c r="F1308" s="47" t="s">
        <v>43</v>
      </c>
      <c r="G1308" s="43" t="s">
        <v>36</v>
      </c>
      <c r="H1308" s="43" t="s">
        <v>37</v>
      </c>
      <c r="I1308" s="48">
        <v>2</v>
      </c>
      <c r="J1308" s="50">
        <v>3000</v>
      </c>
      <c r="K1308" s="49">
        <v>6000</v>
      </c>
      <c r="L1308" s="47" t="s">
        <v>22</v>
      </c>
      <c r="M1308" s="46">
        <v>0</v>
      </c>
      <c r="N1308" s="48" t="s">
        <v>23</v>
      </c>
      <c r="O1308" s="47" t="s">
        <v>33</v>
      </c>
    </row>
    <row r="1309" ht="14.25" customHeight="1" spans="1:15">
      <c r="A1309" s="43" t="s">
        <v>2472</v>
      </c>
      <c r="B1309" s="44">
        <v>46218</v>
      </c>
      <c r="C1309" s="45">
        <v>0.905555555555556</v>
      </c>
      <c r="D1309" s="46">
        <f t="shared" si="0"/>
        <v>21</v>
      </c>
      <c r="E1309" s="47" t="str">
        <f t="shared" si="7"/>
        <v>Wednesday</v>
      </c>
      <c r="F1309" s="47" t="s">
        <v>43</v>
      </c>
      <c r="G1309" s="47" t="s">
        <v>57</v>
      </c>
      <c r="H1309" s="43" t="s">
        <v>28</v>
      </c>
      <c r="I1309" s="48">
        <v>1</v>
      </c>
      <c r="J1309" s="49">
        <v>18000</v>
      </c>
      <c r="K1309" s="49">
        <v>18000</v>
      </c>
      <c r="L1309" s="47" t="s">
        <v>22</v>
      </c>
      <c r="M1309" s="46">
        <v>0</v>
      </c>
      <c r="N1309" s="48" t="s">
        <v>23</v>
      </c>
      <c r="O1309" s="47" t="s">
        <v>73</v>
      </c>
    </row>
    <row r="1310" ht="14.25" customHeight="1" spans="1:15">
      <c r="A1310" s="43" t="s">
        <v>2473</v>
      </c>
      <c r="B1310" s="44">
        <v>46218</v>
      </c>
      <c r="C1310" s="45">
        <v>0.93125</v>
      </c>
      <c r="D1310" s="46">
        <f t="shared" si="0"/>
        <v>22</v>
      </c>
      <c r="E1310" s="47" t="str">
        <f t="shared" si="7"/>
        <v>Wednesday</v>
      </c>
      <c r="F1310" s="47" t="s">
        <v>107</v>
      </c>
      <c r="G1310" s="47" t="s">
        <v>103</v>
      </c>
      <c r="H1310" s="43" t="s">
        <v>37</v>
      </c>
      <c r="I1310" s="48">
        <v>3</v>
      </c>
      <c r="J1310" s="49">
        <v>5000</v>
      </c>
      <c r="K1310" s="49">
        <v>15000</v>
      </c>
      <c r="L1310" s="47" t="s">
        <v>22</v>
      </c>
      <c r="M1310" s="46">
        <v>0</v>
      </c>
      <c r="N1310" s="48" t="s">
        <v>23</v>
      </c>
      <c r="O1310" s="47" t="s">
        <v>40</v>
      </c>
    </row>
    <row r="1311" ht="14.25" customHeight="1" spans="1:15">
      <c r="A1311" s="43" t="s">
        <v>2474</v>
      </c>
      <c r="B1311" s="44">
        <v>46218</v>
      </c>
      <c r="C1311" s="45">
        <v>0.969444444444444</v>
      </c>
      <c r="D1311" s="46">
        <f t="shared" si="0"/>
        <v>23</v>
      </c>
      <c r="E1311" s="47" t="str">
        <f t="shared" si="7"/>
        <v>Wednesday</v>
      </c>
      <c r="F1311" s="47" t="s">
        <v>16</v>
      </c>
      <c r="G1311" s="47" t="s">
        <v>27</v>
      </c>
      <c r="H1311" s="43" t="s">
        <v>28</v>
      </c>
      <c r="I1311" s="48">
        <v>1</v>
      </c>
      <c r="J1311" s="50">
        <v>15000</v>
      </c>
      <c r="K1311" s="49">
        <v>15000</v>
      </c>
      <c r="L1311" s="47" t="s">
        <v>32</v>
      </c>
      <c r="M1311" s="46">
        <v>0</v>
      </c>
      <c r="N1311" s="48">
        <v>5</v>
      </c>
      <c r="O1311" s="47" t="s">
        <v>40</v>
      </c>
    </row>
    <row r="1312" ht="14.25" customHeight="1" spans="1:15">
      <c r="A1312" s="43" t="s">
        <v>2476</v>
      </c>
      <c r="B1312" s="44">
        <v>46218</v>
      </c>
      <c r="C1312" s="45">
        <v>0.978472222222222</v>
      </c>
      <c r="D1312" s="46">
        <f t="shared" si="0"/>
        <v>23</v>
      </c>
      <c r="E1312" s="47" t="str">
        <f t="shared" si="7"/>
        <v>Wednesday</v>
      </c>
      <c r="F1312" s="47" t="s">
        <v>16</v>
      </c>
      <c r="G1312" s="43" t="s">
        <v>36</v>
      </c>
      <c r="H1312" s="43" t="s">
        <v>37</v>
      </c>
      <c r="I1312" s="48">
        <v>2</v>
      </c>
      <c r="J1312" s="50">
        <v>3000</v>
      </c>
      <c r="K1312" s="49">
        <v>6000</v>
      </c>
      <c r="L1312" s="47" t="s">
        <v>22</v>
      </c>
      <c r="M1312" s="46">
        <v>0</v>
      </c>
      <c r="N1312" s="48" t="s">
        <v>23</v>
      </c>
      <c r="O1312" s="47" t="s">
        <v>40</v>
      </c>
    </row>
    <row r="1313" ht="14.25" customHeight="1" spans="1:15">
      <c r="A1313" s="43" t="s">
        <v>2478</v>
      </c>
      <c r="B1313" s="44">
        <v>46218</v>
      </c>
      <c r="C1313" s="45">
        <v>0.997916666666667</v>
      </c>
      <c r="D1313" s="46">
        <f t="shared" si="0"/>
        <v>23</v>
      </c>
      <c r="E1313" s="47" t="str">
        <f t="shared" si="7"/>
        <v>Wednesday</v>
      </c>
      <c r="F1313" s="47" t="s">
        <v>43</v>
      </c>
      <c r="G1313" s="43" t="s">
        <v>199</v>
      </c>
      <c r="H1313" s="43" t="s">
        <v>18</v>
      </c>
      <c r="I1313" s="48">
        <v>1</v>
      </c>
      <c r="J1313" s="49">
        <v>3000</v>
      </c>
      <c r="K1313" s="49">
        <f>I1313*J1313</f>
        <v>3000</v>
      </c>
      <c r="L1313" s="47" t="s">
        <v>22</v>
      </c>
      <c r="M1313" s="46">
        <v>0</v>
      </c>
      <c r="N1313" s="48" t="s">
        <v>23</v>
      </c>
      <c r="O1313" s="47" t="s">
        <v>24</v>
      </c>
    </row>
    <row r="1314" ht="14.25" customHeight="1" spans="1:15">
      <c r="A1314" s="43" t="s">
        <v>2479</v>
      </c>
      <c r="B1314" s="44">
        <v>46219</v>
      </c>
      <c r="C1314" s="45">
        <v>0.577083333333333</v>
      </c>
      <c r="D1314" s="46">
        <f t="shared" si="0"/>
        <v>13</v>
      </c>
      <c r="E1314" s="47" t="str">
        <f t="shared" si="7"/>
        <v>Thursday</v>
      </c>
      <c r="F1314" s="47" t="s">
        <v>43</v>
      </c>
      <c r="G1314" s="47" t="s">
        <v>103</v>
      </c>
      <c r="H1314" s="43" t="s">
        <v>37</v>
      </c>
      <c r="I1314" s="48">
        <v>1</v>
      </c>
      <c r="J1314" s="49">
        <v>5000</v>
      </c>
      <c r="K1314" s="50">
        <v>4500</v>
      </c>
      <c r="L1314" s="47" t="s">
        <v>22</v>
      </c>
      <c r="M1314" s="51">
        <v>0.1</v>
      </c>
      <c r="N1314" s="48" t="s">
        <v>23</v>
      </c>
      <c r="O1314" s="47" t="s">
        <v>33</v>
      </c>
    </row>
    <row r="1315" ht="14.25" customHeight="1" spans="1:15">
      <c r="A1315" s="43" t="s">
        <v>2481</v>
      </c>
      <c r="B1315" s="44">
        <v>46219</v>
      </c>
      <c r="C1315" s="45">
        <v>0.646527777777778</v>
      </c>
      <c r="D1315" s="46">
        <f t="shared" si="0"/>
        <v>15</v>
      </c>
      <c r="E1315" s="47" t="str">
        <f t="shared" si="7"/>
        <v>Thursday</v>
      </c>
      <c r="F1315" s="47" t="s">
        <v>43</v>
      </c>
      <c r="G1315" s="43" t="s">
        <v>36</v>
      </c>
      <c r="H1315" s="43" t="s">
        <v>37</v>
      </c>
      <c r="I1315" s="48">
        <v>1</v>
      </c>
      <c r="J1315" s="49">
        <v>2700</v>
      </c>
      <c r="K1315" s="50">
        <v>2430</v>
      </c>
      <c r="L1315" s="47" t="s">
        <v>32</v>
      </c>
      <c r="M1315" s="51">
        <v>0.1</v>
      </c>
      <c r="N1315" s="48" t="s">
        <v>23</v>
      </c>
      <c r="O1315" s="47" t="s">
        <v>73</v>
      </c>
    </row>
    <row r="1316" ht="14.25" customHeight="1" spans="1:15">
      <c r="A1316" s="43" t="s">
        <v>2482</v>
      </c>
      <c r="B1316" s="44">
        <v>46219</v>
      </c>
      <c r="C1316" s="45">
        <v>0.735416666666667</v>
      </c>
      <c r="D1316" s="46">
        <f t="shared" si="0"/>
        <v>17</v>
      </c>
      <c r="E1316" s="47" t="str">
        <f t="shared" si="7"/>
        <v>Thursday</v>
      </c>
      <c r="F1316" s="47" t="s">
        <v>107</v>
      </c>
      <c r="G1316" s="43" t="s">
        <v>647</v>
      </c>
      <c r="H1316" s="43" t="s">
        <v>45</v>
      </c>
      <c r="I1316" s="48">
        <v>1</v>
      </c>
      <c r="J1316" s="49">
        <v>4500</v>
      </c>
      <c r="K1316" s="49">
        <v>4500</v>
      </c>
      <c r="L1316" s="47" t="s">
        <v>32</v>
      </c>
      <c r="M1316" s="46">
        <v>0</v>
      </c>
      <c r="N1316" s="48">
        <v>2</v>
      </c>
      <c r="O1316" s="47" t="s">
        <v>73</v>
      </c>
    </row>
    <row r="1317" ht="14.25" customHeight="1" spans="1:15">
      <c r="A1317" s="43" t="s">
        <v>2484</v>
      </c>
      <c r="B1317" s="44">
        <v>46219</v>
      </c>
      <c r="C1317" s="45">
        <v>0.763888888888889</v>
      </c>
      <c r="D1317" s="46">
        <f t="shared" si="0"/>
        <v>18</v>
      </c>
      <c r="E1317" s="47" t="str">
        <f t="shared" si="7"/>
        <v>Thursday</v>
      </c>
      <c r="F1317" s="47" t="s">
        <v>107</v>
      </c>
      <c r="G1317" s="47" t="s">
        <v>95</v>
      </c>
      <c r="H1317" s="43" t="s">
        <v>45</v>
      </c>
      <c r="I1317" s="48">
        <v>1</v>
      </c>
      <c r="J1317" s="49">
        <v>5000</v>
      </c>
      <c r="K1317" s="49">
        <v>5000</v>
      </c>
      <c r="L1317" s="47" t="s">
        <v>22</v>
      </c>
      <c r="M1317" s="46">
        <v>0</v>
      </c>
      <c r="N1317" s="48" t="s">
        <v>23</v>
      </c>
      <c r="O1317" s="47" t="s">
        <v>40</v>
      </c>
    </row>
    <row r="1318" ht="14.25" customHeight="1" spans="1:15">
      <c r="A1318" s="43" t="s">
        <v>2486</v>
      </c>
      <c r="B1318" s="44">
        <v>46219</v>
      </c>
      <c r="C1318" s="45">
        <v>0.85</v>
      </c>
      <c r="D1318" s="46">
        <f t="shared" si="0"/>
        <v>20</v>
      </c>
      <c r="E1318" s="47" t="str">
        <f t="shared" si="7"/>
        <v>Thursday</v>
      </c>
      <c r="F1318" s="47" t="s">
        <v>43</v>
      </c>
      <c r="G1318" s="47" t="s">
        <v>63</v>
      </c>
      <c r="H1318" s="43" t="s">
        <v>18</v>
      </c>
      <c r="I1318" s="48">
        <v>1</v>
      </c>
      <c r="J1318" s="49">
        <v>1500</v>
      </c>
      <c r="K1318" s="49">
        <v>1500</v>
      </c>
      <c r="L1318" s="47" t="s">
        <v>22</v>
      </c>
      <c r="M1318" s="46">
        <v>0</v>
      </c>
      <c r="N1318" s="48" t="s">
        <v>23</v>
      </c>
      <c r="O1318" s="47" t="s">
        <v>24</v>
      </c>
    </row>
    <row r="1319" ht="14.25" customHeight="1" spans="1:15">
      <c r="A1319" s="43" t="s">
        <v>2487</v>
      </c>
      <c r="B1319" s="44">
        <v>46219</v>
      </c>
      <c r="C1319" s="45">
        <v>0.86875</v>
      </c>
      <c r="D1319" s="46">
        <f t="shared" si="0"/>
        <v>20</v>
      </c>
      <c r="E1319" s="47" t="str">
        <f t="shared" si="7"/>
        <v>Thursday</v>
      </c>
      <c r="F1319" s="47" t="s">
        <v>43</v>
      </c>
      <c r="G1319" s="47" t="s">
        <v>44</v>
      </c>
      <c r="H1319" s="43" t="s">
        <v>45</v>
      </c>
      <c r="I1319" s="48">
        <v>1</v>
      </c>
      <c r="J1319" s="49">
        <v>4000</v>
      </c>
      <c r="K1319" s="50">
        <v>3200</v>
      </c>
      <c r="L1319" s="47" t="s">
        <v>22</v>
      </c>
      <c r="M1319" s="51">
        <v>0.2</v>
      </c>
      <c r="N1319" s="48" t="s">
        <v>23</v>
      </c>
      <c r="O1319" s="47" t="s">
        <v>40</v>
      </c>
    </row>
    <row r="1320" ht="14.25" customHeight="1" spans="1:15">
      <c r="A1320" s="43" t="s">
        <v>2489</v>
      </c>
      <c r="B1320" s="44">
        <v>46219</v>
      </c>
      <c r="C1320" s="45">
        <v>0.878472222222222</v>
      </c>
      <c r="D1320" s="46">
        <f t="shared" si="0"/>
        <v>21</v>
      </c>
      <c r="E1320" s="47" t="str">
        <f t="shared" si="7"/>
        <v>Thursday</v>
      </c>
      <c r="F1320" s="47" t="s">
        <v>16</v>
      </c>
      <c r="G1320" s="47" t="s">
        <v>367</v>
      </c>
      <c r="H1320" s="43" t="s">
        <v>109</v>
      </c>
      <c r="I1320" s="48">
        <v>2</v>
      </c>
      <c r="J1320" s="49">
        <v>7000</v>
      </c>
      <c r="K1320" s="49">
        <v>14000</v>
      </c>
      <c r="L1320" s="47" t="s">
        <v>22</v>
      </c>
      <c r="M1320" s="46">
        <v>0</v>
      </c>
      <c r="N1320" s="48">
        <v>5</v>
      </c>
      <c r="O1320" s="47" t="s">
        <v>47</v>
      </c>
    </row>
    <row r="1321" ht="14.25" customHeight="1" spans="1:15">
      <c r="A1321" s="43" t="s">
        <v>2490</v>
      </c>
      <c r="B1321" s="44">
        <v>46219</v>
      </c>
      <c r="C1321" s="45">
        <v>0.886111111111111</v>
      </c>
      <c r="D1321" s="46">
        <f t="shared" si="0"/>
        <v>21</v>
      </c>
      <c r="E1321" s="47" t="str">
        <f t="shared" si="7"/>
        <v>Thursday</v>
      </c>
      <c r="F1321" s="47" t="s">
        <v>43</v>
      </c>
      <c r="G1321" s="47" t="s">
        <v>27</v>
      </c>
      <c r="H1321" s="43" t="s">
        <v>28</v>
      </c>
      <c r="I1321" s="48">
        <v>1</v>
      </c>
      <c r="J1321" s="49">
        <v>15000</v>
      </c>
      <c r="K1321" s="49">
        <v>15000</v>
      </c>
      <c r="L1321" s="47" t="s">
        <v>32</v>
      </c>
      <c r="M1321" s="46">
        <v>0</v>
      </c>
      <c r="N1321" s="48" t="s">
        <v>23</v>
      </c>
      <c r="O1321" s="47" t="s">
        <v>24</v>
      </c>
    </row>
    <row r="1322" ht="14.25" customHeight="1" spans="1:15">
      <c r="A1322" s="43" t="s">
        <v>2491</v>
      </c>
      <c r="B1322" s="44">
        <v>46219</v>
      </c>
      <c r="C1322" s="45">
        <v>0.913888888888889</v>
      </c>
      <c r="D1322" s="46">
        <f t="shared" si="0"/>
        <v>21</v>
      </c>
      <c r="E1322" s="47" t="str">
        <f t="shared" si="7"/>
        <v>Thursday</v>
      </c>
      <c r="F1322" s="47" t="s">
        <v>43</v>
      </c>
      <c r="G1322" s="47" t="s">
        <v>27</v>
      </c>
      <c r="H1322" s="43" t="str">
        <f>VLOOKUP(G1322,'02_Menu_Lookup'!$A$2:$C$16,2,FALSE)</f>
        <v>Grills</v>
      </c>
      <c r="I1322" s="48">
        <v>1</v>
      </c>
      <c r="J1322" s="49">
        <v>15000</v>
      </c>
      <c r="K1322" s="49">
        <v>15000</v>
      </c>
      <c r="L1322" s="47" t="s">
        <v>32</v>
      </c>
      <c r="M1322" s="46">
        <v>0</v>
      </c>
      <c r="N1322" s="48" t="s">
        <v>23</v>
      </c>
      <c r="O1322" s="47" t="s">
        <v>40</v>
      </c>
    </row>
    <row r="1323" ht="14.25" customHeight="1" spans="1:15">
      <c r="A1323" s="43" t="s">
        <v>2493</v>
      </c>
      <c r="B1323" s="44">
        <v>46219</v>
      </c>
      <c r="C1323" s="45">
        <v>0.914583333333333</v>
      </c>
      <c r="D1323" s="46">
        <f t="shared" si="0"/>
        <v>21</v>
      </c>
      <c r="E1323" s="47" t="str">
        <f t="shared" si="7"/>
        <v>Thursday</v>
      </c>
      <c r="F1323" s="47" t="s">
        <v>16</v>
      </c>
      <c r="G1323" s="47" t="s">
        <v>81</v>
      </c>
      <c r="H1323" s="43" t="s">
        <v>37</v>
      </c>
      <c r="I1323" s="48">
        <v>1</v>
      </c>
      <c r="J1323" s="49">
        <v>6000</v>
      </c>
      <c r="K1323" s="49">
        <v>6000</v>
      </c>
      <c r="L1323" s="47" t="s">
        <v>32</v>
      </c>
      <c r="M1323" s="46">
        <v>0</v>
      </c>
      <c r="N1323" s="48" t="s">
        <v>23</v>
      </c>
      <c r="O1323" s="47" t="s">
        <v>33</v>
      </c>
    </row>
    <row r="1324" ht="14.25" customHeight="1" spans="1:15">
      <c r="A1324" s="43" t="s">
        <v>2494</v>
      </c>
      <c r="B1324" s="44">
        <v>46219</v>
      </c>
      <c r="C1324" s="45">
        <v>0.921527777777778</v>
      </c>
      <c r="D1324" s="46">
        <f t="shared" si="0"/>
        <v>22</v>
      </c>
      <c r="E1324" s="47" t="str">
        <f t="shared" si="7"/>
        <v>Thursday</v>
      </c>
      <c r="F1324" s="47" t="s">
        <v>43</v>
      </c>
      <c r="G1324" s="47" t="s">
        <v>81</v>
      </c>
      <c r="H1324" s="43" t="s">
        <v>37</v>
      </c>
      <c r="I1324" s="48">
        <v>1</v>
      </c>
      <c r="J1324" s="49">
        <v>6000</v>
      </c>
      <c r="K1324" s="49">
        <v>6000</v>
      </c>
      <c r="L1324" s="47" t="s">
        <v>22</v>
      </c>
      <c r="M1324" s="46">
        <v>0</v>
      </c>
      <c r="N1324" s="48" t="s">
        <v>23</v>
      </c>
      <c r="O1324" s="47" t="s">
        <v>40</v>
      </c>
    </row>
    <row r="1325" ht="14.25" customHeight="1" spans="1:15">
      <c r="A1325" s="43" t="s">
        <v>2495</v>
      </c>
      <c r="B1325" s="44">
        <v>46219</v>
      </c>
      <c r="C1325" s="45">
        <v>0.938888888888889</v>
      </c>
      <c r="D1325" s="46">
        <f t="shared" si="0"/>
        <v>22</v>
      </c>
      <c r="E1325" s="47" t="str">
        <f t="shared" si="7"/>
        <v>Thursday</v>
      </c>
      <c r="F1325" s="47" t="s">
        <v>43</v>
      </c>
      <c r="G1325" s="47" t="s">
        <v>57</v>
      </c>
      <c r="H1325" s="43" t="s">
        <v>28</v>
      </c>
      <c r="I1325" s="48">
        <v>1</v>
      </c>
      <c r="J1325" s="49">
        <v>18000</v>
      </c>
      <c r="K1325" s="49">
        <v>18000</v>
      </c>
      <c r="L1325" s="47" t="s">
        <v>32</v>
      </c>
      <c r="M1325" s="46">
        <v>0</v>
      </c>
      <c r="N1325" s="48">
        <v>4</v>
      </c>
      <c r="O1325" s="47" t="s">
        <v>33</v>
      </c>
    </row>
    <row r="1326" ht="14.25" customHeight="1" spans="1:15">
      <c r="A1326" s="43" t="s">
        <v>2496</v>
      </c>
      <c r="B1326" s="44">
        <v>46219</v>
      </c>
      <c r="C1326" s="45">
        <v>0.945138888888889</v>
      </c>
      <c r="D1326" s="46">
        <f t="shared" si="0"/>
        <v>22</v>
      </c>
      <c r="E1326" s="47" t="str">
        <f t="shared" si="7"/>
        <v>Thursday</v>
      </c>
      <c r="F1326" s="47" t="s">
        <v>43</v>
      </c>
      <c r="G1326" s="47" t="s">
        <v>57</v>
      </c>
      <c r="H1326" s="43" t="s">
        <v>28</v>
      </c>
      <c r="I1326" s="48">
        <v>1</v>
      </c>
      <c r="J1326" s="49">
        <v>18000</v>
      </c>
      <c r="K1326" s="50">
        <v>16200</v>
      </c>
      <c r="L1326" s="47" t="s">
        <v>32</v>
      </c>
      <c r="M1326" s="51">
        <v>0.1</v>
      </c>
      <c r="N1326" s="48" t="s">
        <v>23</v>
      </c>
      <c r="O1326" s="47" t="s">
        <v>24</v>
      </c>
    </row>
    <row r="1327" ht="14.25" customHeight="1" spans="1:15">
      <c r="A1327" s="43" t="s">
        <v>2497</v>
      </c>
      <c r="B1327" s="44">
        <v>46219</v>
      </c>
      <c r="C1327" s="45">
        <v>0.953472222222222</v>
      </c>
      <c r="D1327" s="46">
        <f t="shared" si="0"/>
        <v>22</v>
      </c>
      <c r="E1327" s="47" t="str">
        <f t="shared" si="7"/>
        <v>Thursday</v>
      </c>
      <c r="F1327" s="47" t="s">
        <v>16</v>
      </c>
      <c r="G1327" s="47" t="s">
        <v>81</v>
      </c>
      <c r="H1327" s="43" t="s">
        <v>37</v>
      </c>
      <c r="I1327" s="48">
        <v>1</v>
      </c>
      <c r="J1327" s="49">
        <v>6000</v>
      </c>
      <c r="K1327" s="50">
        <v>5400</v>
      </c>
      <c r="L1327" s="47" t="s">
        <v>22</v>
      </c>
      <c r="M1327" s="51">
        <v>0.1</v>
      </c>
      <c r="N1327" s="48" t="s">
        <v>23</v>
      </c>
      <c r="O1327" s="47" t="s">
        <v>40</v>
      </c>
    </row>
    <row r="1328" ht="14.25" customHeight="1" spans="1:15">
      <c r="A1328" s="43" t="s">
        <v>2498</v>
      </c>
      <c r="B1328" s="44">
        <v>46219</v>
      </c>
      <c r="C1328" s="45">
        <v>0.953472222222222</v>
      </c>
      <c r="D1328" s="46">
        <f t="shared" si="0"/>
        <v>22</v>
      </c>
      <c r="E1328" s="47" t="str">
        <f t="shared" si="7"/>
        <v>Thursday</v>
      </c>
      <c r="F1328" s="47" t="s">
        <v>43</v>
      </c>
      <c r="G1328" s="47" t="s">
        <v>81</v>
      </c>
      <c r="H1328" s="43" t="s">
        <v>37</v>
      </c>
      <c r="I1328" s="48">
        <v>2</v>
      </c>
      <c r="J1328" s="49">
        <v>6000</v>
      </c>
      <c r="K1328" s="49">
        <v>12000</v>
      </c>
      <c r="L1328" s="47" t="s">
        <v>32</v>
      </c>
      <c r="M1328" s="46">
        <v>0</v>
      </c>
      <c r="N1328" s="48" t="s">
        <v>23</v>
      </c>
      <c r="O1328" s="47" t="s">
        <v>24</v>
      </c>
    </row>
    <row r="1329" ht="14.25" customHeight="1" spans="1:15">
      <c r="A1329" s="43" t="s">
        <v>2499</v>
      </c>
      <c r="B1329" s="44">
        <v>46219</v>
      </c>
      <c r="C1329" s="45">
        <v>0.993055555555556</v>
      </c>
      <c r="D1329" s="46">
        <f t="shared" si="0"/>
        <v>23</v>
      </c>
      <c r="E1329" s="47" t="str">
        <f t="shared" si="7"/>
        <v>Thursday</v>
      </c>
      <c r="F1329" s="47" t="s">
        <v>43</v>
      </c>
      <c r="G1329" s="47" t="s">
        <v>57</v>
      </c>
      <c r="H1329" s="43" t="s">
        <v>28</v>
      </c>
      <c r="I1329" s="48">
        <v>2</v>
      </c>
      <c r="J1329" s="49">
        <v>18000</v>
      </c>
      <c r="K1329" s="49">
        <v>36000</v>
      </c>
      <c r="L1329" s="47" t="s">
        <v>22</v>
      </c>
      <c r="M1329" s="46">
        <v>0</v>
      </c>
      <c r="N1329" s="48">
        <v>3</v>
      </c>
      <c r="O1329" s="47" t="s">
        <v>33</v>
      </c>
    </row>
    <row r="1330" ht="14.25" customHeight="1" spans="1:15">
      <c r="A1330" s="43" t="s">
        <v>2500</v>
      </c>
      <c r="B1330" s="44">
        <v>46220</v>
      </c>
      <c r="C1330" s="45">
        <v>0.528472222222222</v>
      </c>
      <c r="D1330" s="46">
        <f t="shared" si="0"/>
        <v>12</v>
      </c>
      <c r="E1330" s="47" t="str">
        <f t="shared" si="7"/>
        <v>Friday</v>
      </c>
      <c r="F1330" s="47" t="s">
        <v>16</v>
      </c>
      <c r="G1330" s="47" t="s">
        <v>103</v>
      </c>
      <c r="H1330" s="43" t="s">
        <v>37</v>
      </c>
      <c r="I1330" s="48">
        <v>3</v>
      </c>
      <c r="J1330" s="49">
        <v>5000</v>
      </c>
      <c r="K1330" s="49">
        <v>15000</v>
      </c>
      <c r="L1330" s="47" t="s">
        <v>32</v>
      </c>
      <c r="M1330" s="46">
        <v>0</v>
      </c>
      <c r="N1330" s="48">
        <v>5</v>
      </c>
      <c r="O1330" s="47" t="s">
        <v>24</v>
      </c>
    </row>
    <row r="1331" ht="14.25" customHeight="1" spans="1:15">
      <c r="A1331" s="43" t="s">
        <v>2502</v>
      </c>
      <c r="B1331" s="44">
        <v>46220</v>
      </c>
      <c r="C1331" s="45">
        <v>0.576388888888889</v>
      </c>
      <c r="D1331" s="46">
        <f t="shared" si="0"/>
        <v>13</v>
      </c>
      <c r="E1331" s="47" t="str">
        <f t="shared" si="7"/>
        <v>Friday</v>
      </c>
      <c r="F1331" s="47" t="s">
        <v>43</v>
      </c>
      <c r="G1331" s="47" t="s">
        <v>146</v>
      </c>
      <c r="H1331" s="43" t="s">
        <v>28</v>
      </c>
      <c r="I1331" s="48">
        <v>3</v>
      </c>
      <c r="J1331" s="49">
        <v>16000</v>
      </c>
      <c r="K1331" s="49">
        <v>48000</v>
      </c>
      <c r="L1331" s="47" t="s">
        <v>22</v>
      </c>
      <c r="M1331" s="46">
        <v>0</v>
      </c>
      <c r="N1331" s="48">
        <v>4</v>
      </c>
      <c r="O1331" s="47" t="s">
        <v>33</v>
      </c>
    </row>
    <row r="1332" ht="14.25" customHeight="1" spans="1:15">
      <c r="A1332" s="43" t="s">
        <v>2504</v>
      </c>
      <c r="B1332" s="44">
        <v>46220</v>
      </c>
      <c r="C1332" s="45">
        <v>0.81875</v>
      </c>
      <c r="D1332" s="46">
        <f t="shared" si="0"/>
        <v>19</v>
      </c>
      <c r="E1332" s="47" t="str">
        <f t="shared" si="7"/>
        <v>Friday</v>
      </c>
      <c r="F1332" s="47" t="s">
        <v>43</v>
      </c>
      <c r="G1332" s="47" t="s">
        <v>17</v>
      </c>
      <c r="H1332" s="43" t="s">
        <v>18</v>
      </c>
      <c r="I1332" s="48">
        <v>3</v>
      </c>
      <c r="J1332" s="49">
        <v>1000</v>
      </c>
      <c r="K1332" s="49">
        <v>3000</v>
      </c>
      <c r="L1332" s="47" t="s">
        <v>22</v>
      </c>
      <c r="M1332" s="46">
        <v>0</v>
      </c>
      <c r="N1332" s="48">
        <v>4</v>
      </c>
      <c r="O1332" s="47" t="s">
        <v>47</v>
      </c>
    </row>
    <row r="1333" ht="14.25" customHeight="1" spans="1:15">
      <c r="A1333" s="43" t="s">
        <v>2505</v>
      </c>
      <c r="B1333" s="44">
        <v>46220</v>
      </c>
      <c r="C1333" s="45">
        <v>0.829166666666667</v>
      </c>
      <c r="D1333" s="46">
        <f t="shared" si="0"/>
        <v>19</v>
      </c>
      <c r="E1333" s="47" t="str">
        <f t="shared" si="7"/>
        <v>Friday</v>
      </c>
      <c r="F1333" s="47" t="s">
        <v>43</v>
      </c>
      <c r="G1333" s="47" t="s">
        <v>50</v>
      </c>
      <c r="H1333" s="43" t="s">
        <v>28</v>
      </c>
      <c r="I1333" s="48">
        <v>1</v>
      </c>
      <c r="J1333" s="49">
        <v>25000</v>
      </c>
      <c r="K1333" s="49">
        <v>25000</v>
      </c>
      <c r="L1333" s="47" t="s">
        <v>22</v>
      </c>
      <c r="M1333" s="46">
        <v>0</v>
      </c>
      <c r="N1333" s="48" t="s">
        <v>23</v>
      </c>
      <c r="O1333" s="47" t="s">
        <v>40</v>
      </c>
    </row>
    <row r="1334" ht="14.25" customHeight="1" spans="1:15">
      <c r="A1334" s="43" t="s">
        <v>2506</v>
      </c>
      <c r="B1334" s="44">
        <v>46220</v>
      </c>
      <c r="C1334" s="45">
        <v>0.842361111111111</v>
      </c>
      <c r="D1334" s="46">
        <f t="shared" si="0"/>
        <v>20</v>
      </c>
      <c r="E1334" s="47" t="str">
        <f t="shared" si="7"/>
        <v>Friday</v>
      </c>
      <c r="F1334" s="47" t="s">
        <v>16</v>
      </c>
      <c r="G1334" s="47" t="s">
        <v>17</v>
      </c>
      <c r="H1334" s="43" t="str">
        <f>VLOOKUP(G1334,'02_Menu_Lookup'!$A$2:$C$16,2,FALSE)</f>
        <v>Beverages</v>
      </c>
      <c r="I1334" s="48">
        <v>2</v>
      </c>
      <c r="J1334" s="49">
        <v>1000</v>
      </c>
      <c r="K1334" s="49">
        <v>2000</v>
      </c>
      <c r="L1334" s="47" t="s">
        <v>22</v>
      </c>
      <c r="M1334" s="46">
        <v>0</v>
      </c>
      <c r="N1334" s="48">
        <v>4</v>
      </c>
      <c r="O1334" s="47" t="s">
        <v>73</v>
      </c>
    </row>
    <row r="1335" ht="14.25" customHeight="1" spans="1:15">
      <c r="A1335" s="43" t="s">
        <v>2507</v>
      </c>
      <c r="B1335" s="44">
        <v>46220</v>
      </c>
      <c r="C1335" s="45">
        <v>0.884027777777778</v>
      </c>
      <c r="D1335" s="46">
        <f t="shared" si="0"/>
        <v>21</v>
      </c>
      <c r="E1335" s="47" t="str">
        <f t="shared" si="7"/>
        <v>Friday</v>
      </c>
      <c r="F1335" s="47" t="s">
        <v>107</v>
      </c>
      <c r="G1335" s="47" t="s">
        <v>50</v>
      </c>
      <c r="H1335" s="43" t="s">
        <v>28</v>
      </c>
      <c r="I1335" s="48">
        <v>1</v>
      </c>
      <c r="J1335" s="49">
        <v>25000</v>
      </c>
      <c r="K1335" s="49">
        <v>25000</v>
      </c>
      <c r="L1335" s="47" t="s">
        <v>22</v>
      </c>
      <c r="M1335" s="46">
        <v>0</v>
      </c>
      <c r="N1335" s="48">
        <v>4</v>
      </c>
      <c r="O1335" s="47" t="s">
        <v>40</v>
      </c>
    </row>
    <row r="1336" ht="14.25" customHeight="1" spans="1:15">
      <c r="A1336" s="43" t="s">
        <v>2508</v>
      </c>
      <c r="B1336" s="44">
        <v>46220</v>
      </c>
      <c r="C1336" s="45">
        <v>0.904861111111111</v>
      </c>
      <c r="D1336" s="46">
        <f t="shared" si="0"/>
        <v>21</v>
      </c>
      <c r="E1336" s="47" t="str">
        <f t="shared" si="7"/>
        <v>Friday</v>
      </c>
      <c r="F1336" s="47" t="s">
        <v>16</v>
      </c>
      <c r="G1336" s="47" t="s">
        <v>63</v>
      </c>
      <c r="H1336" s="43" t="s">
        <v>18</v>
      </c>
      <c r="I1336" s="48">
        <v>1</v>
      </c>
      <c r="J1336" s="49">
        <v>1500</v>
      </c>
      <c r="K1336" s="50">
        <v>1275</v>
      </c>
      <c r="L1336" s="47" t="s">
        <v>32</v>
      </c>
      <c r="M1336" s="51">
        <v>0.15</v>
      </c>
      <c r="N1336" s="48" t="s">
        <v>23</v>
      </c>
      <c r="O1336" s="47" t="s">
        <v>73</v>
      </c>
    </row>
    <row r="1337" ht="14.25" customHeight="1" spans="1:15">
      <c r="A1337" s="43" t="s">
        <v>2509</v>
      </c>
      <c r="B1337" s="44">
        <v>46220</v>
      </c>
      <c r="C1337" s="45">
        <v>0.956944444444444</v>
      </c>
      <c r="D1337" s="46">
        <f t="shared" si="0"/>
        <v>22</v>
      </c>
      <c r="E1337" s="47" t="str">
        <f t="shared" si="7"/>
        <v>Friday</v>
      </c>
      <c r="F1337" s="47" t="s">
        <v>43</v>
      </c>
      <c r="G1337" s="47" t="s">
        <v>103</v>
      </c>
      <c r="H1337" s="43" t="s">
        <v>37</v>
      </c>
      <c r="I1337" s="48">
        <v>1</v>
      </c>
      <c r="J1337" s="49">
        <v>5000</v>
      </c>
      <c r="K1337" s="49">
        <v>5000</v>
      </c>
      <c r="L1337" s="47" t="s">
        <v>32</v>
      </c>
      <c r="M1337" s="46">
        <v>0</v>
      </c>
      <c r="N1337" s="48" t="s">
        <v>23</v>
      </c>
      <c r="O1337" s="47" t="s">
        <v>40</v>
      </c>
    </row>
    <row r="1338" ht="14.25" customHeight="1" spans="1:15">
      <c r="A1338" s="43" t="s">
        <v>2511</v>
      </c>
      <c r="B1338" s="44">
        <v>46221</v>
      </c>
      <c r="C1338" s="45">
        <v>0.510416666666667</v>
      </c>
      <c r="D1338" s="46">
        <f t="shared" si="0"/>
        <v>12</v>
      </c>
      <c r="E1338" s="47" t="str">
        <f t="shared" si="7"/>
        <v>Saturday</v>
      </c>
      <c r="F1338" s="47" t="s">
        <v>16</v>
      </c>
      <c r="G1338" s="47" t="s">
        <v>63</v>
      </c>
      <c r="H1338" s="43" t="s">
        <v>18</v>
      </c>
      <c r="I1338" s="48">
        <v>2</v>
      </c>
      <c r="J1338" s="49">
        <v>1500</v>
      </c>
      <c r="K1338" s="49">
        <v>3000</v>
      </c>
      <c r="L1338" s="47" t="s">
        <v>22</v>
      </c>
      <c r="M1338" s="46">
        <v>0</v>
      </c>
      <c r="N1338" s="48" t="s">
        <v>23</v>
      </c>
      <c r="O1338" s="47" t="s">
        <v>73</v>
      </c>
    </row>
    <row r="1339" ht="14.25" customHeight="1" spans="1:15">
      <c r="A1339" s="43" t="s">
        <v>2514</v>
      </c>
      <c r="B1339" s="44">
        <v>46221</v>
      </c>
      <c r="C1339" s="45">
        <v>0.597916666666667</v>
      </c>
      <c r="D1339" s="46">
        <f t="shared" si="0"/>
        <v>14</v>
      </c>
      <c r="E1339" s="47" t="str">
        <f t="shared" si="7"/>
        <v>Saturday</v>
      </c>
      <c r="F1339" s="47" t="s">
        <v>16</v>
      </c>
      <c r="G1339" s="47" t="s">
        <v>81</v>
      </c>
      <c r="H1339" s="43" t="s">
        <v>37</v>
      </c>
      <c r="I1339" s="48">
        <v>1</v>
      </c>
      <c r="J1339" s="49">
        <v>6000</v>
      </c>
      <c r="K1339" s="49">
        <v>6000</v>
      </c>
      <c r="L1339" s="47" t="s">
        <v>22</v>
      </c>
      <c r="M1339" s="46">
        <v>0</v>
      </c>
      <c r="N1339" s="48" t="s">
        <v>23</v>
      </c>
      <c r="O1339" s="47" t="s">
        <v>47</v>
      </c>
    </row>
    <row r="1340" ht="14.25" customHeight="1" spans="1:15">
      <c r="A1340" s="43" t="s">
        <v>2516</v>
      </c>
      <c r="B1340" s="44">
        <v>46221</v>
      </c>
      <c r="C1340" s="45">
        <v>0.777083333333333</v>
      </c>
      <c r="D1340" s="46">
        <f t="shared" si="0"/>
        <v>18</v>
      </c>
      <c r="E1340" s="47" t="str">
        <f t="shared" si="7"/>
        <v>Saturday</v>
      </c>
      <c r="F1340" s="47" t="s">
        <v>43</v>
      </c>
      <c r="G1340" s="47" t="s">
        <v>57</v>
      </c>
      <c r="H1340" s="43" t="s">
        <v>28</v>
      </c>
      <c r="I1340" s="48">
        <v>3</v>
      </c>
      <c r="J1340" s="49">
        <v>18000</v>
      </c>
      <c r="K1340" s="49">
        <v>54000</v>
      </c>
      <c r="L1340" s="47" t="s">
        <v>32</v>
      </c>
      <c r="M1340" s="46">
        <v>0</v>
      </c>
      <c r="N1340" s="48" t="s">
        <v>23</v>
      </c>
      <c r="O1340" s="47" t="s">
        <v>24</v>
      </c>
    </row>
    <row r="1341" ht="14.25" customHeight="1" spans="1:15">
      <c r="A1341" s="43" t="s">
        <v>2517</v>
      </c>
      <c r="B1341" s="44">
        <v>46221</v>
      </c>
      <c r="C1341" s="45">
        <v>0.802777777777778</v>
      </c>
      <c r="D1341" s="46">
        <f t="shared" si="0"/>
        <v>19</v>
      </c>
      <c r="E1341" s="47" t="str">
        <f t="shared" si="7"/>
        <v>Saturday</v>
      </c>
      <c r="F1341" s="47" t="s">
        <v>43</v>
      </c>
      <c r="G1341" s="47" t="s">
        <v>50</v>
      </c>
      <c r="H1341" s="43" t="s">
        <v>28</v>
      </c>
      <c r="I1341" s="48">
        <v>1</v>
      </c>
      <c r="J1341" s="49">
        <v>25000</v>
      </c>
      <c r="K1341" s="49">
        <v>25000</v>
      </c>
      <c r="L1341" s="47" t="s">
        <v>32</v>
      </c>
      <c r="M1341" s="46">
        <v>0</v>
      </c>
      <c r="N1341" s="48">
        <v>5</v>
      </c>
      <c r="O1341" s="47" t="s">
        <v>73</v>
      </c>
    </row>
    <row r="1342" ht="14.25" customHeight="1" spans="1:15">
      <c r="A1342" s="43" t="s">
        <v>2518</v>
      </c>
      <c r="B1342" s="44">
        <v>46221</v>
      </c>
      <c r="C1342" s="45">
        <v>0.852083333333333</v>
      </c>
      <c r="D1342" s="46">
        <f t="shared" si="0"/>
        <v>20</v>
      </c>
      <c r="E1342" s="47" t="str">
        <f t="shared" si="7"/>
        <v>Saturday</v>
      </c>
      <c r="F1342" s="47" t="s">
        <v>107</v>
      </c>
      <c r="G1342" s="47" t="s">
        <v>63</v>
      </c>
      <c r="H1342" s="43" t="s">
        <v>18</v>
      </c>
      <c r="I1342" s="48">
        <v>1</v>
      </c>
      <c r="J1342" s="49">
        <v>1500</v>
      </c>
      <c r="K1342" s="49">
        <v>1500</v>
      </c>
      <c r="L1342" s="47" t="s">
        <v>22</v>
      </c>
      <c r="M1342" s="46">
        <v>0</v>
      </c>
      <c r="N1342" s="48">
        <v>5</v>
      </c>
      <c r="O1342" s="47" t="s">
        <v>33</v>
      </c>
    </row>
    <row r="1343" ht="14.25" customHeight="1" spans="1:15">
      <c r="A1343" s="43" t="s">
        <v>2519</v>
      </c>
      <c r="B1343" s="44">
        <v>46221</v>
      </c>
      <c r="C1343" s="45">
        <v>0.853472222222222</v>
      </c>
      <c r="D1343" s="46">
        <f t="shared" si="0"/>
        <v>20</v>
      </c>
      <c r="E1343" s="47" t="str">
        <f t="shared" si="7"/>
        <v>Saturday</v>
      </c>
      <c r="F1343" s="47" t="s">
        <v>16</v>
      </c>
      <c r="G1343" s="47" t="s">
        <v>17</v>
      </c>
      <c r="H1343" s="43" t="s">
        <v>18</v>
      </c>
      <c r="I1343" s="48">
        <v>1</v>
      </c>
      <c r="J1343" s="50">
        <v>1000</v>
      </c>
      <c r="K1343" s="49">
        <v>1000</v>
      </c>
      <c r="L1343" s="47" t="s">
        <v>32</v>
      </c>
      <c r="M1343" s="46">
        <v>0</v>
      </c>
      <c r="N1343" s="48" t="s">
        <v>23</v>
      </c>
      <c r="O1343" s="47" t="s">
        <v>40</v>
      </c>
    </row>
    <row r="1344" ht="14.25" customHeight="1" spans="1:15">
      <c r="A1344" s="43" t="s">
        <v>2520</v>
      </c>
      <c r="B1344" s="44">
        <v>46221</v>
      </c>
      <c r="C1344" s="45">
        <v>0.856944444444444</v>
      </c>
      <c r="D1344" s="46">
        <f t="shared" si="0"/>
        <v>20</v>
      </c>
      <c r="E1344" s="47" t="str">
        <f t="shared" si="7"/>
        <v>Saturday</v>
      </c>
      <c r="F1344" s="47" t="s">
        <v>107</v>
      </c>
      <c r="G1344" s="47" t="s">
        <v>63</v>
      </c>
      <c r="H1344" s="47" t="s">
        <v>18</v>
      </c>
      <c r="I1344" s="48">
        <v>1</v>
      </c>
      <c r="J1344" s="49">
        <v>1500</v>
      </c>
      <c r="K1344" s="49">
        <v>1500</v>
      </c>
      <c r="L1344" s="47" t="s">
        <v>32</v>
      </c>
      <c r="M1344" s="46">
        <v>0</v>
      </c>
      <c r="N1344" s="48" t="s">
        <v>23</v>
      </c>
      <c r="O1344" s="47" t="s">
        <v>40</v>
      </c>
    </row>
    <row r="1345" ht="14.25" customHeight="1" spans="1:15">
      <c r="A1345" s="43" t="s">
        <v>2522</v>
      </c>
      <c r="B1345" s="44">
        <v>46221</v>
      </c>
      <c r="C1345" s="45">
        <v>0.865277777777778</v>
      </c>
      <c r="D1345" s="46">
        <f t="shared" si="0"/>
        <v>20</v>
      </c>
      <c r="E1345" s="47" t="str">
        <f t="shared" si="7"/>
        <v>Saturday</v>
      </c>
      <c r="F1345" s="47" t="s">
        <v>107</v>
      </c>
      <c r="G1345" s="47" t="s">
        <v>103</v>
      </c>
      <c r="H1345" s="43" t="s">
        <v>37</v>
      </c>
      <c r="I1345" s="48">
        <v>1</v>
      </c>
      <c r="J1345" s="49">
        <v>5000</v>
      </c>
      <c r="K1345" s="49">
        <v>5000</v>
      </c>
      <c r="L1345" s="47" t="s">
        <v>22</v>
      </c>
      <c r="M1345" s="46">
        <v>0</v>
      </c>
      <c r="N1345" s="48">
        <v>3</v>
      </c>
      <c r="O1345" s="47" t="s">
        <v>33</v>
      </c>
    </row>
    <row r="1346" ht="14.25" customHeight="1" spans="1:15">
      <c r="A1346" s="43" t="s">
        <v>2523</v>
      </c>
      <c r="B1346" s="44">
        <v>46221</v>
      </c>
      <c r="C1346" s="45">
        <v>0.870833333333333</v>
      </c>
      <c r="D1346" s="46">
        <f t="shared" si="0"/>
        <v>20</v>
      </c>
      <c r="E1346" s="47" t="str">
        <f t="shared" si="7"/>
        <v>Saturday</v>
      </c>
      <c r="F1346" s="47" t="s">
        <v>107</v>
      </c>
      <c r="G1346" s="47" t="s">
        <v>63</v>
      </c>
      <c r="H1346" s="43" t="s">
        <v>18</v>
      </c>
      <c r="I1346" s="48">
        <v>1</v>
      </c>
      <c r="J1346" s="49">
        <v>1500</v>
      </c>
      <c r="K1346" s="49">
        <f>I1346*J1346</f>
        <v>1500</v>
      </c>
      <c r="L1346" s="47" t="s">
        <v>22</v>
      </c>
      <c r="M1346" s="46">
        <v>0</v>
      </c>
      <c r="N1346" s="48" t="s">
        <v>23</v>
      </c>
      <c r="O1346" s="47" t="s">
        <v>24</v>
      </c>
    </row>
    <row r="1347" ht="14.25" customHeight="1" spans="1:15">
      <c r="A1347" s="43" t="s">
        <v>2524</v>
      </c>
      <c r="B1347" s="44">
        <v>46221</v>
      </c>
      <c r="C1347" s="45">
        <v>0.886111111111111</v>
      </c>
      <c r="D1347" s="46">
        <f t="shared" si="0"/>
        <v>21</v>
      </c>
      <c r="E1347" s="47" t="str">
        <f t="shared" si="7"/>
        <v>Saturday</v>
      </c>
      <c r="F1347" s="47" t="s">
        <v>16</v>
      </c>
      <c r="G1347" s="47" t="s">
        <v>146</v>
      </c>
      <c r="H1347" s="43" t="s">
        <v>28</v>
      </c>
      <c r="I1347" s="48">
        <v>2</v>
      </c>
      <c r="J1347" s="49">
        <v>16000</v>
      </c>
      <c r="K1347" s="49">
        <v>32000</v>
      </c>
      <c r="L1347" s="47" t="s">
        <v>32</v>
      </c>
      <c r="M1347" s="46">
        <v>0</v>
      </c>
      <c r="N1347" s="48">
        <v>5</v>
      </c>
      <c r="O1347" s="47" t="s">
        <v>73</v>
      </c>
    </row>
    <row r="1348" ht="14.25" customHeight="1" spans="1:15">
      <c r="A1348" s="43" t="s">
        <v>2525</v>
      </c>
      <c r="B1348" s="44">
        <v>46221</v>
      </c>
      <c r="C1348" s="45">
        <v>0.890972222222222</v>
      </c>
      <c r="D1348" s="46">
        <f t="shared" si="0"/>
        <v>21</v>
      </c>
      <c r="E1348" s="47" t="str">
        <f t="shared" si="7"/>
        <v>Saturday</v>
      </c>
      <c r="F1348" s="47" t="s">
        <v>16</v>
      </c>
      <c r="G1348" s="47" t="s">
        <v>63</v>
      </c>
      <c r="H1348" s="43" t="str">
        <f>VLOOKUP(G1348,'02_Menu_Lookup'!$A$2:$C$16,2,FALSE)</f>
        <v>Beverages</v>
      </c>
      <c r="I1348" s="48">
        <v>2</v>
      </c>
      <c r="J1348" s="49">
        <v>1500</v>
      </c>
      <c r="K1348" s="49">
        <v>3000</v>
      </c>
      <c r="L1348" s="47" t="s">
        <v>22</v>
      </c>
      <c r="M1348" s="46">
        <v>0</v>
      </c>
      <c r="N1348" s="48" t="s">
        <v>23</v>
      </c>
      <c r="O1348" s="47" t="s">
        <v>24</v>
      </c>
    </row>
    <row r="1349" ht="14.25" customHeight="1" spans="1:15">
      <c r="A1349" s="43" t="s">
        <v>2526</v>
      </c>
      <c r="B1349" s="44">
        <v>46221</v>
      </c>
      <c r="C1349" s="45">
        <v>0.9375</v>
      </c>
      <c r="D1349" s="46">
        <f t="shared" si="0"/>
        <v>22</v>
      </c>
      <c r="E1349" s="47" t="str">
        <f t="shared" si="7"/>
        <v>Saturday</v>
      </c>
      <c r="F1349" s="47" t="s">
        <v>43</v>
      </c>
      <c r="G1349" s="47" t="s">
        <v>57</v>
      </c>
      <c r="H1349" s="43" t="s">
        <v>28</v>
      </c>
      <c r="I1349" s="48">
        <v>1</v>
      </c>
      <c r="J1349" s="49">
        <v>18000</v>
      </c>
      <c r="K1349" s="49">
        <v>18000</v>
      </c>
      <c r="L1349" s="47" t="s">
        <v>32</v>
      </c>
      <c r="M1349" s="46">
        <v>0</v>
      </c>
      <c r="N1349" s="48">
        <v>4</v>
      </c>
      <c r="O1349" s="47" t="s">
        <v>40</v>
      </c>
    </row>
    <row r="1350" ht="14.25" customHeight="1" spans="1:15">
      <c r="A1350" s="43" t="s">
        <v>2527</v>
      </c>
      <c r="B1350" s="44">
        <v>46221</v>
      </c>
      <c r="C1350" s="45">
        <v>0.95625</v>
      </c>
      <c r="D1350" s="46">
        <f t="shared" si="0"/>
        <v>22</v>
      </c>
      <c r="E1350" s="47" t="str">
        <f t="shared" si="7"/>
        <v>Saturday</v>
      </c>
      <c r="F1350" s="47" t="s">
        <v>16</v>
      </c>
      <c r="G1350" s="47" t="s">
        <v>81</v>
      </c>
      <c r="H1350" s="43" t="s">
        <v>37</v>
      </c>
      <c r="I1350" s="48">
        <v>3</v>
      </c>
      <c r="J1350" s="49">
        <v>6000</v>
      </c>
      <c r="K1350" s="49">
        <v>18000</v>
      </c>
      <c r="L1350" s="47" t="s">
        <v>32</v>
      </c>
      <c r="M1350" s="46">
        <v>0</v>
      </c>
      <c r="N1350" s="48" t="s">
        <v>23</v>
      </c>
      <c r="O1350" s="47" t="s">
        <v>73</v>
      </c>
    </row>
    <row r="1351" ht="14.25" customHeight="1" spans="1:15">
      <c r="A1351" s="43" t="s">
        <v>2528</v>
      </c>
      <c r="B1351" s="44">
        <v>46222</v>
      </c>
      <c r="C1351" s="45">
        <v>0.539583333333333</v>
      </c>
      <c r="D1351" s="46">
        <f t="shared" si="0"/>
        <v>12</v>
      </c>
      <c r="E1351" s="47" t="str">
        <f t="shared" si="7"/>
        <v>Sunday</v>
      </c>
      <c r="F1351" s="47" t="s">
        <v>16</v>
      </c>
      <c r="G1351" s="47" t="s">
        <v>63</v>
      </c>
      <c r="H1351" s="43" t="s">
        <v>18</v>
      </c>
      <c r="I1351" s="48">
        <v>1</v>
      </c>
      <c r="J1351" s="49">
        <v>1500</v>
      </c>
      <c r="K1351" s="49">
        <v>1500</v>
      </c>
      <c r="L1351" s="47" t="s">
        <v>32</v>
      </c>
      <c r="M1351" s="46">
        <v>0</v>
      </c>
      <c r="N1351" s="48" t="s">
        <v>23</v>
      </c>
      <c r="O1351" s="47" t="s">
        <v>73</v>
      </c>
    </row>
    <row r="1352" ht="14.25" customHeight="1" spans="1:15">
      <c r="A1352" s="43" t="s">
        <v>2530</v>
      </c>
      <c r="B1352" s="44">
        <v>46222</v>
      </c>
      <c r="C1352" s="45">
        <v>0.827777777777778</v>
      </c>
      <c r="D1352" s="46">
        <f t="shared" si="0"/>
        <v>19</v>
      </c>
      <c r="E1352" s="47" t="str">
        <f t="shared" si="7"/>
        <v>Sunday</v>
      </c>
      <c r="F1352" s="47" t="s">
        <v>107</v>
      </c>
      <c r="G1352" s="47" t="s">
        <v>81</v>
      </c>
      <c r="H1352" s="43" t="s">
        <v>37</v>
      </c>
      <c r="I1352" s="48">
        <v>1</v>
      </c>
      <c r="J1352" s="49">
        <v>6000</v>
      </c>
      <c r="K1352" s="50">
        <v>6000</v>
      </c>
      <c r="L1352" s="47" t="s">
        <v>32</v>
      </c>
      <c r="M1352" s="46">
        <v>0</v>
      </c>
      <c r="N1352" s="48" t="s">
        <v>23</v>
      </c>
      <c r="O1352" s="47" t="s">
        <v>40</v>
      </c>
    </row>
    <row r="1353" ht="14.25" customHeight="1" spans="1:15">
      <c r="A1353" s="43" t="s">
        <v>2531</v>
      </c>
      <c r="B1353" s="44">
        <v>46222</v>
      </c>
      <c r="C1353" s="45">
        <v>0.844444444444444</v>
      </c>
      <c r="D1353" s="46">
        <f t="shared" si="0"/>
        <v>20</v>
      </c>
      <c r="E1353" s="47" t="str">
        <f t="shared" si="7"/>
        <v>Sunday</v>
      </c>
      <c r="F1353" s="47" t="s">
        <v>43</v>
      </c>
      <c r="G1353" s="43" t="s">
        <v>647</v>
      </c>
      <c r="H1353" s="43" t="s">
        <v>45</v>
      </c>
      <c r="I1353" s="48">
        <v>1</v>
      </c>
      <c r="J1353" s="49">
        <v>4500</v>
      </c>
      <c r="K1353" s="49">
        <v>4500</v>
      </c>
      <c r="L1353" s="47" t="s">
        <v>22</v>
      </c>
      <c r="M1353" s="46">
        <v>0</v>
      </c>
      <c r="N1353" s="48">
        <v>3</v>
      </c>
      <c r="O1353" s="47" t="s">
        <v>73</v>
      </c>
    </row>
    <row r="1354" ht="14.25" customHeight="1" spans="1:15">
      <c r="A1354" s="43" t="s">
        <v>2532</v>
      </c>
      <c r="B1354" s="44">
        <v>46222</v>
      </c>
      <c r="C1354" s="45">
        <v>0.872916666666667</v>
      </c>
      <c r="D1354" s="46">
        <f t="shared" si="0"/>
        <v>20</v>
      </c>
      <c r="E1354" s="47" t="str">
        <f t="shared" si="7"/>
        <v>Sunday</v>
      </c>
      <c r="F1354" s="47" t="s">
        <v>16</v>
      </c>
      <c r="G1354" s="47" t="s">
        <v>103</v>
      </c>
      <c r="H1354" s="47" t="s">
        <v>37</v>
      </c>
      <c r="I1354" s="48">
        <v>1</v>
      </c>
      <c r="J1354" s="49">
        <v>5000</v>
      </c>
      <c r="K1354" s="49">
        <v>5000</v>
      </c>
      <c r="L1354" s="47" t="s">
        <v>32</v>
      </c>
      <c r="M1354" s="46">
        <v>0</v>
      </c>
      <c r="N1354" s="48" t="s">
        <v>23</v>
      </c>
      <c r="O1354" s="47" t="s">
        <v>24</v>
      </c>
    </row>
    <row r="1355" ht="14.25" customHeight="1" spans="1:15">
      <c r="A1355" s="43" t="s">
        <v>2533</v>
      </c>
      <c r="B1355" s="44">
        <v>46222</v>
      </c>
      <c r="C1355" s="45">
        <v>0.899305555555556</v>
      </c>
      <c r="D1355" s="46">
        <f t="shared" si="0"/>
        <v>21</v>
      </c>
      <c r="E1355" s="47" t="str">
        <f t="shared" si="7"/>
        <v>Sunday</v>
      </c>
      <c r="F1355" s="47" t="s">
        <v>16</v>
      </c>
      <c r="G1355" s="47" t="s">
        <v>50</v>
      </c>
      <c r="H1355" s="43" t="s">
        <v>28</v>
      </c>
      <c r="I1355" s="48">
        <v>2</v>
      </c>
      <c r="J1355" s="49">
        <v>25000</v>
      </c>
      <c r="K1355" s="49">
        <v>50000</v>
      </c>
      <c r="L1355" s="47" t="s">
        <v>22</v>
      </c>
      <c r="M1355" s="46">
        <v>0</v>
      </c>
      <c r="N1355" s="48" t="s">
        <v>23</v>
      </c>
      <c r="O1355" s="47" t="s">
        <v>73</v>
      </c>
    </row>
    <row r="1356" ht="14.25" customHeight="1" spans="1:15">
      <c r="A1356" s="43" t="s">
        <v>2534</v>
      </c>
      <c r="B1356" s="44">
        <v>46223</v>
      </c>
      <c r="C1356" s="45">
        <v>0.463888888888889</v>
      </c>
      <c r="D1356" s="46">
        <f t="shared" si="0"/>
        <v>11</v>
      </c>
      <c r="E1356" s="47" t="str">
        <f t="shared" si="7"/>
        <v>Monday</v>
      </c>
      <c r="F1356" s="47" t="s">
        <v>16</v>
      </c>
      <c r="G1356" s="47" t="s">
        <v>27</v>
      </c>
      <c r="H1356" s="43" t="s">
        <v>28</v>
      </c>
      <c r="I1356" s="48">
        <v>1</v>
      </c>
      <c r="J1356" s="49">
        <v>15000</v>
      </c>
      <c r="K1356" s="49">
        <v>15000</v>
      </c>
      <c r="L1356" s="47" t="s">
        <v>32</v>
      </c>
      <c r="M1356" s="46">
        <v>0</v>
      </c>
      <c r="N1356" s="48" t="s">
        <v>23</v>
      </c>
      <c r="O1356" s="47" t="s">
        <v>24</v>
      </c>
    </row>
    <row r="1357" ht="14.25" customHeight="1" spans="1:15">
      <c r="A1357" s="43" t="s">
        <v>2537</v>
      </c>
      <c r="B1357" s="44">
        <v>46223</v>
      </c>
      <c r="C1357" s="45">
        <v>0.595833333333333</v>
      </c>
      <c r="D1357" s="46">
        <f t="shared" si="0"/>
        <v>14</v>
      </c>
      <c r="E1357" s="47" t="str">
        <f t="shared" si="7"/>
        <v>Monday</v>
      </c>
      <c r="F1357" s="47" t="s">
        <v>16</v>
      </c>
      <c r="G1357" s="43" t="s">
        <v>36</v>
      </c>
      <c r="H1357" s="43" t="s">
        <v>37</v>
      </c>
      <c r="I1357" s="48">
        <v>2</v>
      </c>
      <c r="J1357" s="49">
        <f>K1357/I1357</f>
        <v>3000</v>
      </c>
      <c r="K1357" s="49">
        <v>6000</v>
      </c>
      <c r="L1357" s="47" t="s">
        <v>32</v>
      </c>
      <c r="M1357" s="46">
        <v>0</v>
      </c>
      <c r="N1357" s="48">
        <v>4</v>
      </c>
      <c r="O1357" s="47" t="s">
        <v>33</v>
      </c>
    </row>
    <row r="1358" ht="14.25" customHeight="1" spans="1:15">
      <c r="A1358" s="43" t="s">
        <v>2539</v>
      </c>
      <c r="B1358" s="44">
        <v>46223</v>
      </c>
      <c r="C1358" s="45">
        <v>0.860416666666667</v>
      </c>
      <c r="D1358" s="46">
        <f t="shared" si="0"/>
        <v>20</v>
      </c>
      <c r="E1358" s="47" t="str">
        <f t="shared" si="7"/>
        <v>Monday</v>
      </c>
      <c r="F1358" s="47" t="s">
        <v>16</v>
      </c>
      <c r="G1358" s="47" t="s">
        <v>63</v>
      </c>
      <c r="H1358" s="43" t="s">
        <v>18</v>
      </c>
      <c r="I1358" s="48">
        <v>1</v>
      </c>
      <c r="J1358" s="49">
        <v>1500</v>
      </c>
      <c r="K1358" s="49">
        <v>1500</v>
      </c>
      <c r="L1358" s="47" t="s">
        <v>22</v>
      </c>
      <c r="M1358" s="46">
        <v>0</v>
      </c>
      <c r="N1358" s="48">
        <v>3</v>
      </c>
      <c r="O1358" s="47" t="s">
        <v>33</v>
      </c>
    </row>
    <row r="1359" ht="14.25" customHeight="1" spans="1:15">
      <c r="A1359" s="43" t="s">
        <v>2541</v>
      </c>
      <c r="B1359" s="44">
        <v>46223</v>
      </c>
      <c r="C1359" s="45">
        <v>0.864583333333333</v>
      </c>
      <c r="D1359" s="46">
        <f t="shared" si="0"/>
        <v>20</v>
      </c>
      <c r="E1359" s="47" t="str">
        <f t="shared" si="7"/>
        <v>Monday</v>
      </c>
      <c r="F1359" s="47" t="s">
        <v>16</v>
      </c>
      <c r="G1359" s="47" t="s">
        <v>63</v>
      </c>
      <c r="H1359" s="43" t="s">
        <v>18</v>
      </c>
      <c r="I1359" s="48">
        <v>2</v>
      </c>
      <c r="J1359" s="49">
        <v>1500</v>
      </c>
      <c r="K1359" s="49">
        <v>3000</v>
      </c>
      <c r="L1359" s="47" t="s">
        <v>22</v>
      </c>
      <c r="M1359" s="46">
        <v>0</v>
      </c>
      <c r="N1359" s="48">
        <v>3</v>
      </c>
      <c r="O1359" s="47" t="s">
        <v>40</v>
      </c>
    </row>
    <row r="1360" ht="14.25" customHeight="1" spans="1:15">
      <c r="A1360" s="43" t="s">
        <v>2542</v>
      </c>
      <c r="B1360" s="44">
        <v>46223</v>
      </c>
      <c r="C1360" s="45">
        <v>0.872916666666667</v>
      </c>
      <c r="D1360" s="46">
        <f t="shared" si="0"/>
        <v>20</v>
      </c>
      <c r="E1360" s="47" t="str">
        <f t="shared" si="7"/>
        <v>Monday</v>
      </c>
      <c r="F1360" s="47" t="s">
        <v>16</v>
      </c>
      <c r="G1360" s="47" t="s">
        <v>57</v>
      </c>
      <c r="H1360" s="43" t="s">
        <v>28</v>
      </c>
      <c r="I1360" s="48">
        <v>1</v>
      </c>
      <c r="J1360" s="49">
        <v>18000</v>
      </c>
      <c r="K1360" s="49">
        <v>18000</v>
      </c>
      <c r="L1360" s="47" t="s">
        <v>22</v>
      </c>
      <c r="M1360" s="46">
        <v>0</v>
      </c>
      <c r="N1360" s="48">
        <v>4</v>
      </c>
      <c r="O1360" s="47" t="s">
        <v>40</v>
      </c>
    </row>
    <row r="1361" ht="14.25" customHeight="1" spans="1:15">
      <c r="A1361" s="43" t="s">
        <v>2543</v>
      </c>
      <c r="B1361" s="44">
        <v>46223</v>
      </c>
      <c r="C1361" s="45">
        <v>0.905555555555556</v>
      </c>
      <c r="D1361" s="46">
        <f t="shared" si="0"/>
        <v>21</v>
      </c>
      <c r="E1361" s="47" t="str">
        <f t="shared" si="7"/>
        <v>Monday</v>
      </c>
      <c r="F1361" s="47" t="s">
        <v>16</v>
      </c>
      <c r="G1361" s="47" t="s">
        <v>63</v>
      </c>
      <c r="H1361" s="43" t="str">
        <f>VLOOKUP(G1361,'02_Menu_Lookup'!$A$2:$C$16,2,FALSE)</f>
        <v>Beverages</v>
      </c>
      <c r="I1361" s="48">
        <v>1</v>
      </c>
      <c r="J1361" s="49">
        <v>1500</v>
      </c>
      <c r="K1361" s="49">
        <v>1500</v>
      </c>
      <c r="L1361" s="47" t="s">
        <v>32</v>
      </c>
      <c r="M1361" s="46">
        <v>0</v>
      </c>
      <c r="N1361" s="48" t="s">
        <v>23</v>
      </c>
      <c r="O1361" s="47" t="s">
        <v>24</v>
      </c>
    </row>
    <row r="1362" ht="14.25" customHeight="1" spans="1:15">
      <c r="A1362" s="43" t="s">
        <v>2544</v>
      </c>
      <c r="B1362" s="44">
        <v>46223</v>
      </c>
      <c r="C1362" s="45">
        <v>0.913194444444444</v>
      </c>
      <c r="D1362" s="46">
        <f t="shared" si="0"/>
        <v>21</v>
      </c>
      <c r="E1362" s="47" t="str">
        <f t="shared" si="7"/>
        <v>Monday</v>
      </c>
      <c r="F1362" s="47" t="s">
        <v>43</v>
      </c>
      <c r="G1362" s="47" t="s">
        <v>367</v>
      </c>
      <c r="H1362" s="43" t="s">
        <v>109</v>
      </c>
      <c r="I1362" s="48">
        <v>2</v>
      </c>
      <c r="J1362" s="49">
        <v>7000</v>
      </c>
      <c r="K1362" s="49">
        <v>14000</v>
      </c>
      <c r="L1362" s="47" t="s">
        <v>32</v>
      </c>
      <c r="M1362" s="46">
        <v>0</v>
      </c>
      <c r="N1362" s="48" t="s">
        <v>23</v>
      </c>
      <c r="O1362" s="47" t="s">
        <v>47</v>
      </c>
    </row>
    <row r="1363" ht="14.25" customHeight="1" spans="1:15">
      <c r="A1363" s="43" t="s">
        <v>2545</v>
      </c>
      <c r="B1363" s="44">
        <v>46223</v>
      </c>
      <c r="C1363" s="45">
        <v>0.938888888888889</v>
      </c>
      <c r="D1363" s="46">
        <f t="shared" si="0"/>
        <v>22</v>
      </c>
      <c r="E1363" s="47" t="str">
        <f t="shared" si="7"/>
        <v>Monday</v>
      </c>
      <c r="F1363" s="47" t="s">
        <v>107</v>
      </c>
      <c r="G1363" s="47" t="s">
        <v>63</v>
      </c>
      <c r="H1363" s="43" t="s">
        <v>18</v>
      </c>
      <c r="I1363" s="48">
        <v>1</v>
      </c>
      <c r="J1363" s="50">
        <v>1500</v>
      </c>
      <c r="K1363" s="49">
        <v>1500</v>
      </c>
      <c r="L1363" s="47" t="s">
        <v>22</v>
      </c>
      <c r="M1363" s="46">
        <v>0</v>
      </c>
      <c r="N1363" s="48" t="s">
        <v>23</v>
      </c>
      <c r="O1363" s="47" t="s">
        <v>73</v>
      </c>
    </row>
    <row r="1364" ht="14.25" customHeight="1" spans="1:15">
      <c r="A1364" s="43" t="s">
        <v>2546</v>
      </c>
      <c r="B1364" s="44">
        <v>46224</v>
      </c>
      <c r="C1364" s="45">
        <v>0.901388888888889</v>
      </c>
      <c r="D1364" s="46">
        <f t="shared" si="0"/>
        <v>21</v>
      </c>
      <c r="E1364" s="47" t="str">
        <f t="shared" si="7"/>
        <v>Tuesday</v>
      </c>
      <c r="F1364" s="47" t="s">
        <v>16</v>
      </c>
      <c r="G1364" s="47" t="s">
        <v>27</v>
      </c>
      <c r="H1364" s="43" t="s">
        <v>28</v>
      </c>
      <c r="I1364" s="48">
        <v>1</v>
      </c>
      <c r="J1364" s="49">
        <v>15000</v>
      </c>
      <c r="K1364" s="50">
        <v>12750</v>
      </c>
      <c r="L1364" s="47" t="s">
        <v>22</v>
      </c>
      <c r="M1364" s="51">
        <v>0.15</v>
      </c>
      <c r="N1364" s="48">
        <v>5</v>
      </c>
      <c r="O1364" s="47" t="s">
        <v>73</v>
      </c>
    </row>
    <row r="1365" ht="14.25" customHeight="1" spans="1:15">
      <c r="A1365" s="43" t="s">
        <v>2549</v>
      </c>
      <c r="B1365" s="44">
        <v>46225</v>
      </c>
      <c r="C1365" s="45">
        <v>0.511111111111111</v>
      </c>
      <c r="D1365" s="46">
        <f t="shared" si="0"/>
        <v>12</v>
      </c>
      <c r="E1365" s="47" t="str">
        <f t="shared" si="7"/>
        <v>Wednesday</v>
      </c>
      <c r="F1365" s="47" t="s">
        <v>43</v>
      </c>
      <c r="G1365" s="47" t="s">
        <v>63</v>
      </c>
      <c r="H1365" s="43" t="s">
        <v>18</v>
      </c>
      <c r="I1365" s="48">
        <v>2</v>
      </c>
      <c r="J1365" s="49">
        <v>1500</v>
      </c>
      <c r="K1365" s="49">
        <v>3000</v>
      </c>
      <c r="L1365" s="47" t="s">
        <v>32</v>
      </c>
      <c r="M1365" s="46">
        <v>0</v>
      </c>
      <c r="N1365" s="48">
        <v>4</v>
      </c>
      <c r="O1365" s="47" t="s">
        <v>40</v>
      </c>
    </row>
    <row r="1366" ht="14.25" customHeight="1" spans="1:15">
      <c r="A1366" s="43" t="s">
        <v>2552</v>
      </c>
      <c r="B1366" s="44">
        <v>46225</v>
      </c>
      <c r="C1366" s="45">
        <v>0.536805555555556</v>
      </c>
      <c r="D1366" s="46">
        <f t="shared" si="0"/>
        <v>12</v>
      </c>
      <c r="E1366" s="47" t="str">
        <f t="shared" si="7"/>
        <v>Wednesday</v>
      </c>
      <c r="F1366" s="47" t="s">
        <v>43</v>
      </c>
      <c r="G1366" s="47" t="s">
        <v>27</v>
      </c>
      <c r="H1366" s="43" t="s">
        <v>28</v>
      </c>
      <c r="I1366" s="48">
        <v>2</v>
      </c>
      <c r="J1366" s="49">
        <v>15000</v>
      </c>
      <c r="K1366" s="49">
        <v>30000</v>
      </c>
      <c r="L1366" s="47" t="s">
        <v>32</v>
      </c>
      <c r="M1366" s="46">
        <v>0</v>
      </c>
      <c r="N1366" s="48">
        <v>3</v>
      </c>
      <c r="O1366" s="47" t="s">
        <v>33</v>
      </c>
    </row>
    <row r="1367" ht="14.25" customHeight="1" spans="1:15">
      <c r="A1367" s="43" t="s">
        <v>2555</v>
      </c>
      <c r="B1367" s="44">
        <v>46225</v>
      </c>
      <c r="C1367" s="45">
        <v>0.566666666666667</v>
      </c>
      <c r="D1367" s="46">
        <f t="shared" si="0"/>
        <v>13</v>
      </c>
      <c r="E1367" s="47" t="str">
        <f t="shared" si="7"/>
        <v>Wednesday</v>
      </c>
      <c r="F1367" s="47" t="s">
        <v>43</v>
      </c>
      <c r="G1367" s="43" t="s">
        <v>199</v>
      </c>
      <c r="H1367" s="43" t="s">
        <v>18</v>
      </c>
      <c r="I1367" s="48">
        <v>1</v>
      </c>
      <c r="J1367" s="49">
        <v>3000</v>
      </c>
      <c r="K1367" s="49">
        <v>3000</v>
      </c>
      <c r="L1367" s="47" t="s">
        <v>32</v>
      </c>
      <c r="M1367" s="46">
        <v>0</v>
      </c>
      <c r="N1367" s="48" t="s">
        <v>23</v>
      </c>
      <c r="O1367" s="47" t="s">
        <v>33</v>
      </c>
    </row>
    <row r="1368" ht="14.25" customHeight="1" spans="1:15">
      <c r="A1368" s="43" t="s">
        <v>2558</v>
      </c>
      <c r="B1368" s="44">
        <v>46225</v>
      </c>
      <c r="C1368" s="45">
        <v>0.674305555555556</v>
      </c>
      <c r="D1368" s="46">
        <f t="shared" si="0"/>
        <v>16</v>
      </c>
      <c r="E1368" s="47" t="str">
        <f t="shared" si="7"/>
        <v>Wednesday</v>
      </c>
      <c r="F1368" s="47" t="s">
        <v>43</v>
      </c>
      <c r="G1368" s="47" t="s">
        <v>63</v>
      </c>
      <c r="H1368" s="43" t="s">
        <v>18</v>
      </c>
      <c r="I1368" s="48">
        <v>1</v>
      </c>
      <c r="J1368" s="49">
        <v>1500</v>
      </c>
      <c r="K1368" s="49">
        <v>1500</v>
      </c>
      <c r="L1368" s="47" t="s">
        <v>22</v>
      </c>
      <c r="M1368" s="46">
        <v>0</v>
      </c>
      <c r="N1368" s="48">
        <v>4</v>
      </c>
      <c r="O1368" s="47" t="s">
        <v>33</v>
      </c>
    </row>
    <row r="1369" ht="14.25" customHeight="1" spans="1:15">
      <c r="A1369" s="43" t="s">
        <v>2560</v>
      </c>
      <c r="B1369" s="44">
        <v>46225</v>
      </c>
      <c r="C1369" s="45">
        <v>0.801388888888889</v>
      </c>
      <c r="D1369" s="46">
        <f t="shared" si="0"/>
        <v>19</v>
      </c>
      <c r="E1369" s="47" t="str">
        <f t="shared" si="7"/>
        <v>Wednesday</v>
      </c>
      <c r="F1369" s="47" t="s">
        <v>43</v>
      </c>
      <c r="G1369" s="47" t="s">
        <v>50</v>
      </c>
      <c r="H1369" s="43" t="s">
        <v>28</v>
      </c>
      <c r="I1369" s="48">
        <v>1</v>
      </c>
      <c r="J1369" s="50">
        <v>25000</v>
      </c>
      <c r="K1369" s="50">
        <v>25000</v>
      </c>
      <c r="L1369" s="47" t="s">
        <v>22</v>
      </c>
      <c r="M1369" s="46">
        <v>0</v>
      </c>
      <c r="N1369" s="48" t="s">
        <v>23</v>
      </c>
      <c r="O1369" s="47" t="s">
        <v>47</v>
      </c>
    </row>
    <row r="1370" ht="14.25" customHeight="1" spans="1:15">
      <c r="A1370" s="43" t="s">
        <v>2561</v>
      </c>
      <c r="B1370" s="44">
        <v>46225</v>
      </c>
      <c r="C1370" s="45">
        <v>0.861805555555556</v>
      </c>
      <c r="D1370" s="46">
        <f t="shared" si="0"/>
        <v>20</v>
      </c>
      <c r="E1370" s="47" t="str">
        <f t="shared" si="7"/>
        <v>Wednesday</v>
      </c>
      <c r="F1370" s="47" t="s">
        <v>43</v>
      </c>
      <c r="G1370" s="43" t="s">
        <v>36</v>
      </c>
      <c r="H1370" s="43" t="s">
        <v>37</v>
      </c>
      <c r="I1370" s="48">
        <v>1</v>
      </c>
      <c r="J1370" s="49">
        <f>K1370/I1370</f>
        <v>3000</v>
      </c>
      <c r="K1370" s="49">
        <v>3000</v>
      </c>
      <c r="L1370" s="47" t="s">
        <v>22</v>
      </c>
      <c r="M1370" s="46">
        <v>0</v>
      </c>
      <c r="N1370" s="48" t="s">
        <v>23</v>
      </c>
      <c r="O1370" s="47" t="s">
        <v>40</v>
      </c>
    </row>
    <row r="1371" ht="14.25" customHeight="1" spans="1:15">
      <c r="A1371" s="43" t="s">
        <v>2562</v>
      </c>
      <c r="B1371" s="44">
        <v>46225</v>
      </c>
      <c r="C1371" s="45">
        <v>0.879861111111111</v>
      </c>
      <c r="D1371" s="46">
        <f t="shared" si="0"/>
        <v>21</v>
      </c>
      <c r="E1371" s="47" t="str">
        <f t="shared" si="7"/>
        <v>Wednesday</v>
      </c>
      <c r="F1371" s="47" t="s">
        <v>43</v>
      </c>
      <c r="G1371" s="47" t="s">
        <v>81</v>
      </c>
      <c r="H1371" s="43" t="s">
        <v>37</v>
      </c>
      <c r="I1371" s="48">
        <v>1</v>
      </c>
      <c r="J1371" s="49">
        <v>6000</v>
      </c>
      <c r="K1371" s="49">
        <v>6000</v>
      </c>
      <c r="L1371" s="47" t="s">
        <v>22</v>
      </c>
      <c r="M1371" s="46">
        <v>0</v>
      </c>
      <c r="N1371" s="48">
        <v>4</v>
      </c>
      <c r="O1371" s="47" t="s">
        <v>73</v>
      </c>
    </row>
    <row r="1372" ht="14.25" customHeight="1" spans="1:15">
      <c r="A1372" s="43" t="s">
        <v>2563</v>
      </c>
      <c r="B1372" s="44">
        <v>46225</v>
      </c>
      <c r="C1372" s="45">
        <v>0.927083333333333</v>
      </c>
      <c r="D1372" s="46">
        <f t="shared" si="0"/>
        <v>22</v>
      </c>
      <c r="E1372" s="47" t="str">
        <f t="shared" si="7"/>
        <v>Wednesday</v>
      </c>
      <c r="F1372" s="47" t="s">
        <v>43</v>
      </c>
      <c r="G1372" s="47" t="s">
        <v>57</v>
      </c>
      <c r="H1372" s="43" t="str">
        <f>VLOOKUP(G1372,'02_Menu_Lookup'!$A$2:$C$16,2,FALSE)</f>
        <v>Grills</v>
      </c>
      <c r="I1372" s="48">
        <v>1</v>
      </c>
      <c r="J1372" s="50">
        <v>18000</v>
      </c>
      <c r="K1372" s="49">
        <v>18000</v>
      </c>
      <c r="L1372" s="47" t="s">
        <v>22</v>
      </c>
      <c r="M1372" s="46">
        <v>0</v>
      </c>
      <c r="N1372" s="48">
        <v>4</v>
      </c>
      <c r="O1372" s="47" t="s">
        <v>73</v>
      </c>
    </row>
    <row r="1373" ht="14.25" customHeight="1" spans="1:15">
      <c r="A1373" s="43" t="s">
        <v>2565</v>
      </c>
      <c r="B1373" s="44">
        <v>46225</v>
      </c>
      <c r="C1373" s="45">
        <v>0.945833333333333</v>
      </c>
      <c r="D1373" s="46">
        <f t="shared" si="0"/>
        <v>22</v>
      </c>
      <c r="E1373" s="47" t="str">
        <f t="shared" si="7"/>
        <v>Wednesday</v>
      </c>
      <c r="F1373" s="47" t="s">
        <v>16</v>
      </c>
      <c r="G1373" s="47" t="s">
        <v>17</v>
      </c>
      <c r="H1373" s="43" t="s">
        <v>18</v>
      </c>
      <c r="I1373" s="48">
        <v>1</v>
      </c>
      <c r="J1373" s="49">
        <f>K1373/I1373</f>
        <v>1000</v>
      </c>
      <c r="K1373" s="49">
        <v>1000</v>
      </c>
      <c r="L1373" s="47" t="s">
        <v>22</v>
      </c>
      <c r="M1373" s="46">
        <v>0</v>
      </c>
      <c r="N1373" s="48" t="s">
        <v>23</v>
      </c>
      <c r="O1373" s="47" t="s">
        <v>40</v>
      </c>
    </row>
    <row r="1374" ht="14.25" customHeight="1" spans="1:15">
      <c r="A1374" s="43" t="s">
        <v>2566</v>
      </c>
      <c r="B1374" s="44">
        <v>46226</v>
      </c>
      <c r="C1374" s="45">
        <v>0.655555555555556</v>
      </c>
      <c r="D1374" s="46">
        <f t="shared" si="0"/>
        <v>15</v>
      </c>
      <c r="E1374" s="47" t="str">
        <f t="shared" si="7"/>
        <v>Thursday</v>
      </c>
      <c r="F1374" s="47" t="s">
        <v>107</v>
      </c>
      <c r="G1374" s="43" t="s">
        <v>36</v>
      </c>
      <c r="H1374" s="43" t="s">
        <v>37</v>
      </c>
      <c r="I1374" s="48">
        <v>1</v>
      </c>
      <c r="J1374" s="49">
        <v>3000</v>
      </c>
      <c r="K1374" s="50">
        <v>3000</v>
      </c>
      <c r="L1374" s="47" t="s">
        <v>22</v>
      </c>
      <c r="M1374" s="46">
        <v>0</v>
      </c>
      <c r="N1374" s="48" t="s">
        <v>23</v>
      </c>
      <c r="O1374" s="47" t="s">
        <v>33</v>
      </c>
    </row>
    <row r="1375" ht="14.25" customHeight="1" spans="1:15">
      <c r="A1375" s="43" t="s">
        <v>2569</v>
      </c>
      <c r="B1375" s="44">
        <v>46226</v>
      </c>
      <c r="C1375" s="45">
        <v>0.766666666666667</v>
      </c>
      <c r="D1375" s="46">
        <f t="shared" si="0"/>
        <v>18</v>
      </c>
      <c r="E1375" s="47" t="str">
        <f t="shared" si="7"/>
        <v>Thursday</v>
      </c>
      <c r="F1375" s="47" t="s">
        <v>16</v>
      </c>
      <c r="G1375" s="47" t="s">
        <v>57</v>
      </c>
      <c r="H1375" s="43" t="s">
        <v>28</v>
      </c>
      <c r="I1375" s="48">
        <v>1</v>
      </c>
      <c r="J1375" s="49">
        <v>18000</v>
      </c>
      <c r="K1375" s="49">
        <v>18000</v>
      </c>
      <c r="L1375" s="47" t="s">
        <v>32</v>
      </c>
      <c r="M1375" s="46">
        <v>0</v>
      </c>
      <c r="N1375" s="48" t="s">
        <v>23</v>
      </c>
      <c r="O1375" s="47" t="s">
        <v>47</v>
      </c>
    </row>
    <row r="1376" ht="14.25" customHeight="1" spans="1:15">
      <c r="A1376" s="43" t="s">
        <v>2572</v>
      </c>
      <c r="B1376" s="44">
        <v>46226</v>
      </c>
      <c r="C1376" s="45">
        <v>0.769444444444444</v>
      </c>
      <c r="D1376" s="46">
        <f t="shared" si="0"/>
        <v>18</v>
      </c>
      <c r="E1376" s="47" t="str">
        <f t="shared" si="7"/>
        <v>Thursday</v>
      </c>
      <c r="F1376" s="47" t="s">
        <v>107</v>
      </c>
      <c r="G1376" s="47" t="s">
        <v>95</v>
      </c>
      <c r="H1376" s="43" t="s">
        <v>45</v>
      </c>
      <c r="I1376" s="48">
        <v>2</v>
      </c>
      <c r="J1376" s="49">
        <v>5000</v>
      </c>
      <c r="K1376" s="49">
        <v>10000</v>
      </c>
      <c r="L1376" s="47" t="s">
        <v>32</v>
      </c>
      <c r="M1376" s="46">
        <v>0</v>
      </c>
      <c r="N1376" s="48" t="s">
        <v>23</v>
      </c>
      <c r="O1376" s="47" t="s">
        <v>47</v>
      </c>
    </row>
    <row r="1377" ht="14.25" customHeight="1" spans="1:15">
      <c r="A1377" s="43" t="s">
        <v>2574</v>
      </c>
      <c r="B1377" s="44">
        <v>46226</v>
      </c>
      <c r="C1377" s="45">
        <v>0.797916666666667</v>
      </c>
      <c r="D1377" s="46">
        <f t="shared" si="0"/>
        <v>19</v>
      </c>
      <c r="E1377" s="47" t="str">
        <f t="shared" si="7"/>
        <v>Thursday</v>
      </c>
      <c r="F1377" s="47" t="s">
        <v>43</v>
      </c>
      <c r="G1377" s="47" t="s">
        <v>17</v>
      </c>
      <c r="H1377" s="43" t="s">
        <v>18</v>
      </c>
      <c r="I1377" s="48">
        <v>1</v>
      </c>
      <c r="J1377" s="50">
        <v>1000</v>
      </c>
      <c r="K1377" s="49">
        <v>1000</v>
      </c>
      <c r="L1377" s="47" t="s">
        <v>22</v>
      </c>
      <c r="M1377" s="46">
        <v>0</v>
      </c>
      <c r="N1377" s="48" t="s">
        <v>23</v>
      </c>
      <c r="O1377" s="47" t="s">
        <v>33</v>
      </c>
    </row>
    <row r="1378" ht="14.25" customHeight="1" spans="1:15">
      <c r="A1378" s="43" t="s">
        <v>2575</v>
      </c>
      <c r="B1378" s="44">
        <v>46226</v>
      </c>
      <c r="C1378" s="45">
        <v>0.880555555555556</v>
      </c>
      <c r="D1378" s="46">
        <f t="shared" si="0"/>
        <v>21</v>
      </c>
      <c r="E1378" s="47" t="str">
        <f t="shared" si="7"/>
        <v>Thursday</v>
      </c>
      <c r="F1378" s="47" t="s">
        <v>43</v>
      </c>
      <c r="G1378" s="47" t="s">
        <v>103</v>
      </c>
      <c r="H1378" s="43" t="s">
        <v>37</v>
      </c>
      <c r="I1378" s="48">
        <v>2</v>
      </c>
      <c r="J1378" s="49">
        <v>5000</v>
      </c>
      <c r="K1378" s="49">
        <v>10000</v>
      </c>
      <c r="L1378" s="47" t="s">
        <v>22</v>
      </c>
      <c r="M1378" s="46">
        <v>0</v>
      </c>
      <c r="N1378" s="48">
        <v>4</v>
      </c>
      <c r="O1378" s="47" t="s">
        <v>47</v>
      </c>
    </row>
    <row r="1379" ht="14.25" customHeight="1" spans="1:15">
      <c r="A1379" s="43" t="s">
        <v>2577</v>
      </c>
      <c r="B1379" s="44">
        <v>46226</v>
      </c>
      <c r="C1379" s="45">
        <v>0.890277777777778</v>
      </c>
      <c r="D1379" s="46">
        <f t="shared" si="0"/>
        <v>21</v>
      </c>
      <c r="E1379" s="47" t="str">
        <f t="shared" si="7"/>
        <v>Thursday</v>
      </c>
      <c r="F1379" s="47" t="s">
        <v>16</v>
      </c>
      <c r="G1379" s="47" t="s">
        <v>27</v>
      </c>
      <c r="H1379" s="43" t="s">
        <v>28</v>
      </c>
      <c r="I1379" s="48">
        <v>1</v>
      </c>
      <c r="J1379" s="49">
        <v>15000</v>
      </c>
      <c r="K1379" s="49">
        <v>15000</v>
      </c>
      <c r="L1379" s="47" t="s">
        <v>22</v>
      </c>
      <c r="M1379" s="46">
        <v>0</v>
      </c>
      <c r="N1379" s="48">
        <v>4</v>
      </c>
      <c r="O1379" s="47" t="s">
        <v>73</v>
      </c>
    </row>
    <row r="1380" ht="14.25" customHeight="1" spans="1:15">
      <c r="A1380" s="43" t="s">
        <v>2578</v>
      </c>
      <c r="B1380" s="44">
        <v>46226</v>
      </c>
      <c r="C1380" s="45">
        <v>0.906944444444444</v>
      </c>
      <c r="D1380" s="46">
        <f t="shared" si="0"/>
        <v>21</v>
      </c>
      <c r="E1380" s="47" t="str">
        <f t="shared" si="7"/>
        <v>Thursday</v>
      </c>
      <c r="F1380" s="47" t="s">
        <v>43</v>
      </c>
      <c r="G1380" s="47" t="s">
        <v>27</v>
      </c>
      <c r="H1380" s="43" t="s">
        <v>28</v>
      </c>
      <c r="I1380" s="48">
        <v>1</v>
      </c>
      <c r="J1380" s="49">
        <v>15000</v>
      </c>
      <c r="K1380" s="49">
        <v>15000</v>
      </c>
      <c r="L1380" s="47" t="s">
        <v>22</v>
      </c>
      <c r="M1380" s="46">
        <v>0</v>
      </c>
      <c r="N1380" s="48" t="s">
        <v>23</v>
      </c>
      <c r="O1380" s="47" t="s">
        <v>47</v>
      </c>
    </row>
    <row r="1381" ht="14.25" customHeight="1" spans="1:15">
      <c r="A1381" s="43" t="s">
        <v>2579</v>
      </c>
      <c r="B1381" s="44">
        <v>46226</v>
      </c>
      <c r="C1381" s="45">
        <v>0.993055555555556</v>
      </c>
      <c r="D1381" s="46">
        <f t="shared" si="0"/>
        <v>23</v>
      </c>
      <c r="E1381" s="47" t="str">
        <f t="shared" si="7"/>
        <v>Thursday</v>
      </c>
      <c r="F1381" s="47" t="s">
        <v>43</v>
      </c>
      <c r="G1381" s="47" t="s">
        <v>367</v>
      </c>
      <c r="H1381" s="43" t="s">
        <v>109</v>
      </c>
      <c r="I1381" s="48">
        <v>1</v>
      </c>
      <c r="J1381" s="49">
        <v>7000</v>
      </c>
      <c r="K1381" s="49">
        <v>7000</v>
      </c>
      <c r="L1381" s="47" t="s">
        <v>22</v>
      </c>
      <c r="M1381" s="46">
        <v>0</v>
      </c>
      <c r="N1381" s="48">
        <v>5</v>
      </c>
      <c r="O1381" s="47" t="s">
        <v>73</v>
      </c>
    </row>
    <row r="1382" ht="14.25" customHeight="1" spans="1:15">
      <c r="A1382" s="43" t="s">
        <v>2580</v>
      </c>
      <c r="B1382" s="44">
        <v>46227</v>
      </c>
      <c r="C1382" s="45">
        <v>0.544444444444444</v>
      </c>
      <c r="D1382" s="46">
        <f t="shared" si="0"/>
        <v>13</v>
      </c>
      <c r="E1382" s="47" t="str">
        <f t="shared" si="7"/>
        <v>Friday</v>
      </c>
      <c r="F1382" s="47" t="s">
        <v>107</v>
      </c>
      <c r="G1382" s="47" t="s">
        <v>81</v>
      </c>
      <c r="H1382" s="43" t="s">
        <v>37</v>
      </c>
      <c r="I1382" s="48">
        <v>1</v>
      </c>
      <c r="J1382" s="49">
        <v>6000</v>
      </c>
      <c r="K1382" s="49">
        <v>6000</v>
      </c>
      <c r="L1382" s="47" t="s">
        <v>32</v>
      </c>
      <c r="M1382" s="46">
        <v>0</v>
      </c>
      <c r="N1382" s="48" t="s">
        <v>23</v>
      </c>
      <c r="O1382" s="47" t="s">
        <v>47</v>
      </c>
    </row>
    <row r="1383" ht="14.25" customHeight="1" spans="1:15">
      <c r="A1383" s="43" t="s">
        <v>2583</v>
      </c>
      <c r="B1383" s="44">
        <v>46227</v>
      </c>
      <c r="C1383" s="45">
        <v>0.590277777777778</v>
      </c>
      <c r="D1383" s="46">
        <f t="shared" si="0"/>
        <v>14</v>
      </c>
      <c r="E1383" s="47" t="str">
        <f t="shared" si="7"/>
        <v>Friday</v>
      </c>
      <c r="F1383" s="47" t="s">
        <v>107</v>
      </c>
      <c r="G1383" s="47" t="s">
        <v>44</v>
      </c>
      <c r="H1383" s="43" t="s">
        <v>45</v>
      </c>
      <c r="I1383" s="48">
        <f>K1383/J1383</f>
        <v>2</v>
      </c>
      <c r="J1383" s="49">
        <v>4000</v>
      </c>
      <c r="K1383" s="49">
        <v>8000</v>
      </c>
      <c r="L1383" s="47" t="s">
        <v>22</v>
      </c>
      <c r="M1383" s="46">
        <v>0</v>
      </c>
      <c r="N1383" s="48">
        <v>4</v>
      </c>
      <c r="O1383" s="47" t="s">
        <v>24</v>
      </c>
    </row>
    <row r="1384" ht="14.25" customHeight="1" spans="1:15">
      <c r="A1384" s="43" t="s">
        <v>2584</v>
      </c>
      <c r="B1384" s="44">
        <v>46227</v>
      </c>
      <c r="C1384" s="45">
        <v>0.621527777777778</v>
      </c>
      <c r="D1384" s="46">
        <f t="shared" si="0"/>
        <v>14</v>
      </c>
      <c r="E1384" s="47" t="str">
        <f t="shared" si="7"/>
        <v>Friday</v>
      </c>
      <c r="F1384" s="47" t="s">
        <v>107</v>
      </c>
      <c r="G1384" s="47" t="s">
        <v>17</v>
      </c>
      <c r="H1384" s="43" t="s">
        <v>18</v>
      </c>
      <c r="I1384" s="48">
        <v>1</v>
      </c>
      <c r="J1384" s="49">
        <v>1000</v>
      </c>
      <c r="K1384" s="49">
        <v>1000</v>
      </c>
      <c r="L1384" s="47" t="s">
        <v>22</v>
      </c>
      <c r="M1384" s="46">
        <v>0</v>
      </c>
      <c r="N1384" s="48" t="s">
        <v>23</v>
      </c>
      <c r="O1384" s="47" t="s">
        <v>33</v>
      </c>
    </row>
    <row r="1385" ht="14.25" customHeight="1" spans="1:15">
      <c r="A1385" s="43" t="s">
        <v>2585</v>
      </c>
      <c r="B1385" s="44">
        <v>46227</v>
      </c>
      <c r="C1385" s="45">
        <v>0.770138888888889</v>
      </c>
      <c r="D1385" s="46">
        <f t="shared" si="0"/>
        <v>18</v>
      </c>
      <c r="E1385" s="47" t="str">
        <f t="shared" si="7"/>
        <v>Friday</v>
      </c>
      <c r="F1385" s="47" t="s">
        <v>43</v>
      </c>
      <c r="G1385" s="47" t="s">
        <v>81</v>
      </c>
      <c r="H1385" s="43" t="s">
        <v>37</v>
      </c>
      <c r="I1385" s="48">
        <v>1</v>
      </c>
      <c r="J1385" s="49">
        <v>6000</v>
      </c>
      <c r="K1385" s="49">
        <v>6000</v>
      </c>
      <c r="L1385" s="47" t="s">
        <v>32</v>
      </c>
      <c r="M1385" s="46">
        <v>0</v>
      </c>
      <c r="N1385" s="48" t="s">
        <v>23</v>
      </c>
      <c r="O1385" s="47" t="s">
        <v>24</v>
      </c>
    </row>
    <row r="1386" ht="14.25" customHeight="1" spans="1:15">
      <c r="A1386" s="43" t="s">
        <v>2587</v>
      </c>
      <c r="B1386" s="44">
        <v>46227</v>
      </c>
      <c r="C1386" s="45">
        <v>0.786805555555556</v>
      </c>
      <c r="D1386" s="46">
        <f t="shared" si="0"/>
        <v>18</v>
      </c>
      <c r="E1386" s="47" t="str">
        <f t="shared" si="7"/>
        <v>Friday</v>
      </c>
      <c r="F1386" s="47" t="s">
        <v>16</v>
      </c>
      <c r="G1386" s="47" t="s">
        <v>63</v>
      </c>
      <c r="H1386" s="43" t="s">
        <v>18</v>
      </c>
      <c r="I1386" s="48">
        <v>1</v>
      </c>
      <c r="J1386" s="49">
        <v>1500</v>
      </c>
      <c r="K1386" s="49">
        <v>1500</v>
      </c>
      <c r="L1386" s="47" t="s">
        <v>22</v>
      </c>
      <c r="M1386" s="46">
        <v>0</v>
      </c>
      <c r="N1386" s="48" t="s">
        <v>23</v>
      </c>
      <c r="O1386" s="47" t="s">
        <v>24</v>
      </c>
    </row>
    <row r="1387" ht="14.25" customHeight="1" spans="1:15">
      <c r="A1387" s="43" t="s">
        <v>2588</v>
      </c>
      <c r="B1387" s="44">
        <v>46227</v>
      </c>
      <c r="C1387" s="45">
        <v>0.896527777777778</v>
      </c>
      <c r="D1387" s="46">
        <f t="shared" si="0"/>
        <v>21</v>
      </c>
      <c r="E1387" s="47" t="str">
        <f t="shared" si="7"/>
        <v>Friday</v>
      </c>
      <c r="F1387" s="47" t="s">
        <v>43</v>
      </c>
      <c r="G1387" s="47" t="s">
        <v>57</v>
      </c>
      <c r="H1387" s="43" t="str">
        <f>VLOOKUP(G1387,'02_Menu_Lookup'!$A$2:$C$16,2,FALSE)</f>
        <v>Grills</v>
      </c>
      <c r="I1387" s="48">
        <v>2</v>
      </c>
      <c r="J1387" s="49">
        <v>18000</v>
      </c>
      <c r="K1387" s="49">
        <v>36000</v>
      </c>
      <c r="L1387" s="47" t="s">
        <v>32</v>
      </c>
      <c r="M1387" s="46">
        <v>0</v>
      </c>
      <c r="N1387" s="48" t="s">
        <v>23</v>
      </c>
      <c r="O1387" s="47" t="s">
        <v>47</v>
      </c>
    </row>
    <row r="1388" ht="14.25" customHeight="1" spans="1:15">
      <c r="A1388" s="43" t="s">
        <v>2589</v>
      </c>
      <c r="B1388" s="44">
        <v>46227</v>
      </c>
      <c r="C1388" s="45">
        <v>0.935416666666667</v>
      </c>
      <c r="D1388" s="46">
        <f t="shared" si="0"/>
        <v>22</v>
      </c>
      <c r="E1388" s="47" t="str">
        <f t="shared" si="7"/>
        <v>Friday</v>
      </c>
      <c r="F1388" s="47" t="s">
        <v>43</v>
      </c>
      <c r="G1388" s="47" t="s">
        <v>50</v>
      </c>
      <c r="H1388" s="43" t="s">
        <v>28</v>
      </c>
      <c r="I1388" s="48">
        <v>3</v>
      </c>
      <c r="J1388" s="49">
        <v>25000</v>
      </c>
      <c r="K1388" s="49">
        <f t="shared" ref="K1388:K1389" si="9">I1388*J1388</f>
        <v>75000</v>
      </c>
      <c r="L1388" s="47" t="s">
        <v>22</v>
      </c>
      <c r="M1388" s="46">
        <v>0</v>
      </c>
      <c r="N1388" s="48">
        <v>4</v>
      </c>
      <c r="O1388" s="47" t="s">
        <v>73</v>
      </c>
    </row>
    <row r="1389" ht="14.25" customHeight="1" spans="1:15">
      <c r="A1389" s="43" t="s">
        <v>2590</v>
      </c>
      <c r="B1389" s="44">
        <v>46227</v>
      </c>
      <c r="C1389" s="45">
        <v>0.952777777777778</v>
      </c>
      <c r="D1389" s="46">
        <f t="shared" si="0"/>
        <v>22</v>
      </c>
      <c r="E1389" s="47" t="str">
        <f t="shared" si="7"/>
        <v>Friday</v>
      </c>
      <c r="F1389" s="47" t="s">
        <v>43</v>
      </c>
      <c r="G1389" s="47" t="s">
        <v>146</v>
      </c>
      <c r="H1389" s="43" t="s">
        <v>28</v>
      </c>
      <c r="I1389" s="48">
        <v>1</v>
      </c>
      <c r="J1389" s="49">
        <v>16000</v>
      </c>
      <c r="K1389" s="49">
        <f t="shared" si="9"/>
        <v>16000</v>
      </c>
      <c r="L1389" s="47" t="s">
        <v>32</v>
      </c>
      <c r="M1389" s="46">
        <v>0</v>
      </c>
      <c r="N1389" s="48">
        <v>5</v>
      </c>
      <c r="O1389" s="47" t="s">
        <v>33</v>
      </c>
    </row>
    <row r="1390" ht="14.25" customHeight="1" spans="1:15">
      <c r="A1390" s="43" t="s">
        <v>2591</v>
      </c>
      <c r="B1390" s="44">
        <v>46228</v>
      </c>
      <c r="C1390" s="45">
        <v>0.569444444444444</v>
      </c>
      <c r="D1390" s="46">
        <f t="shared" si="0"/>
        <v>13</v>
      </c>
      <c r="E1390" s="47" t="str">
        <f t="shared" si="7"/>
        <v>Saturday</v>
      </c>
      <c r="F1390" s="47" t="s">
        <v>16</v>
      </c>
      <c r="G1390" s="47" t="s">
        <v>103</v>
      </c>
      <c r="H1390" s="43" t="s">
        <v>37</v>
      </c>
      <c r="I1390" s="48">
        <v>1</v>
      </c>
      <c r="J1390" s="49">
        <v>5000</v>
      </c>
      <c r="K1390" s="50">
        <v>4500</v>
      </c>
      <c r="L1390" s="47" t="s">
        <v>32</v>
      </c>
      <c r="M1390" s="51">
        <v>0.1</v>
      </c>
      <c r="N1390" s="48" t="s">
        <v>23</v>
      </c>
      <c r="O1390" s="47" t="s">
        <v>33</v>
      </c>
    </row>
    <row r="1391" ht="14.25" customHeight="1" spans="1:15">
      <c r="A1391" s="43" t="s">
        <v>2594</v>
      </c>
      <c r="B1391" s="44">
        <v>46228</v>
      </c>
      <c r="C1391" s="45">
        <v>0.699305555555556</v>
      </c>
      <c r="D1391" s="46">
        <f t="shared" si="0"/>
        <v>16</v>
      </c>
      <c r="E1391" s="47" t="str">
        <f t="shared" si="7"/>
        <v>Saturday</v>
      </c>
      <c r="F1391" s="47" t="s">
        <v>16</v>
      </c>
      <c r="G1391" s="47" t="s">
        <v>27</v>
      </c>
      <c r="H1391" s="43" t="s">
        <v>28</v>
      </c>
      <c r="I1391" s="48">
        <v>1</v>
      </c>
      <c r="J1391" s="49">
        <v>15000</v>
      </c>
      <c r="K1391" s="49">
        <v>15000</v>
      </c>
      <c r="L1391" s="47" t="s">
        <v>32</v>
      </c>
      <c r="M1391" s="46">
        <v>0</v>
      </c>
      <c r="N1391" s="48" t="s">
        <v>23</v>
      </c>
      <c r="O1391" s="47" t="s">
        <v>40</v>
      </c>
    </row>
    <row r="1392" ht="14.25" customHeight="1" spans="1:15">
      <c r="A1392" s="43" t="s">
        <v>2598</v>
      </c>
      <c r="B1392" s="44">
        <v>46228</v>
      </c>
      <c r="C1392" s="45">
        <v>0.747222222222222</v>
      </c>
      <c r="D1392" s="46">
        <f t="shared" si="0"/>
        <v>17</v>
      </c>
      <c r="E1392" s="47" t="str">
        <f t="shared" si="7"/>
        <v>Saturday</v>
      </c>
      <c r="F1392" s="47" t="s">
        <v>16</v>
      </c>
      <c r="G1392" s="47" t="s">
        <v>50</v>
      </c>
      <c r="H1392" s="43" t="str">
        <f>VLOOKUP(G1392,'02_Menu_Lookup'!$A$2:$C$16,2,FALSE)</f>
        <v>Grills</v>
      </c>
      <c r="I1392" s="48">
        <v>1</v>
      </c>
      <c r="J1392" s="49">
        <v>25000</v>
      </c>
      <c r="K1392" s="50">
        <v>25000</v>
      </c>
      <c r="L1392" s="47" t="s">
        <v>32</v>
      </c>
      <c r="M1392" s="46">
        <v>0</v>
      </c>
      <c r="N1392" s="48" t="s">
        <v>23</v>
      </c>
      <c r="O1392" s="47" t="s">
        <v>47</v>
      </c>
    </row>
    <row r="1393" ht="14.25" customHeight="1" spans="1:15">
      <c r="A1393" s="43" t="s">
        <v>2600</v>
      </c>
      <c r="B1393" s="44">
        <v>46228</v>
      </c>
      <c r="C1393" s="45">
        <v>0.801388888888889</v>
      </c>
      <c r="D1393" s="46">
        <f t="shared" si="0"/>
        <v>19</v>
      </c>
      <c r="E1393" s="47" t="str">
        <f t="shared" si="7"/>
        <v>Saturday</v>
      </c>
      <c r="F1393" s="47" t="s">
        <v>16</v>
      </c>
      <c r="G1393" s="47" t="s">
        <v>63</v>
      </c>
      <c r="H1393" s="43" t="s">
        <v>18</v>
      </c>
      <c r="I1393" s="48">
        <v>1</v>
      </c>
      <c r="J1393" s="49">
        <v>1500</v>
      </c>
      <c r="K1393" s="49">
        <v>1500</v>
      </c>
      <c r="L1393" s="47" t="s">
        <v>22</v>
      </c>
      <c r="M1393" s="46">
        <v>0</v>
      </c>
      <c r="N1393" s="48">
        <v>3</v>
      </c>
      <c r="O1393" s="47" t="s">
        <v>47</v>
      </c>
    </row>
    <row r="1394" ht="14.25" customHeight="1" spans="1:15">
      <c r="A1394" s="43" t="s">
        <v>2601</v>
      </c>
      <c r="B1394" s="44">
        <v>46228</v>
      </c>
      <c r="C1394" s="45">
        <v>0.806944444444444</v>
      </c>
      <c r="D1394" s="46">
        <f t="shared" si="0"/>
        <v>19</v>
      </c>
      <c r="E1394" s="47" t="str">
        <f t="shared" si="7"/>
        <v>Saturday</v>
      </c>
      <c r="F1394" s="47" t="s">
        <v>107</v>
      </c>
      <c r="G1394" s="47" t="s">
        <v>146</v>
      </c>
      <c r="H1394" s="43" t="s">
        <v>28</v>
      </c>
      <c r="I1394" s="48">
        <v>1</v>
      </c>
      <c r="J1394" s="49">
        <v>16000</v>
      </c>
      <c r="K1394" s="49">
        <v>16000</v>
      </c>
      <c r="L1394" s="47" t="s">
        <v>32</v>
      </c>
      <c r="M1394" s="46">
        <v>0</v>
      </c>
      <c r="N1394" s="48" t="s">
        <v>23</v>
      </c>
      <c r="O1394" s="47" t="s">
        <v>33</v>
      </c>
    </row>
    <row r="1395" ht="14.25" customHeight="1" spans="1:15">
      <c r="A1395" s="43" t="s">
        <v>2602</v>
      </c>
      <c r="B1395" s="44">
        <v>46228</v>
      </c>
      <c r="C1395" s="45">
        <v>0.821527777777778</v>
      </c>
      <c r="D1395" s="46">
        <f t="shared" si="0"/>
        <v>19</v>
      </c>
      <c r="E1395" s="47" t="str">
        <f t="shared" si="7"/>
        <v>Saturday</v>
      </c>
      <c r="F1395" s="47" t="s">
        <v>43</v>
      </c>
      <c r="G1395" s="47" t="s">
        <v>17</v>
      </c>
      <c r="H1395" s="43" t="s">
        <v>18</v>
      </c>
      <c r="I1395" s="48">
        <v>1</v>
      </c>
      <c r="J1395" s="49">
        <v>1000</v>
      </c>
      <c r="K1395" s="50">
        <v>900</v>
      </c>
      <c r="L1395" s="47" t="s">
        <v>22</v>
      </c>
      <c r="M1395" s="51">
        <v>0.1</v>
      </c>
      <c r="N1395" s="48" t="s">
        <v>23</v>
      </c>
      <c r="O1395" s="47" t="s">
        <v>47</v>
      </c>
    </row>
    <row r="1396" ht="14.25" customHeight="1" spans="1:15">
      <c r="A1396" s="43" t="s">
        <v>2604</v>
      </c>
      <c r="B1396" s="44">
        <v>46228</v>
      </c>
      <c r="C1396" s="45">
        <v>0.84375</v>
      </c>
      <c r="D1396" s="46">
        <f t="shared" si="0"/>
        <v>20</v>
      </c>
      <c r="E1396" s="47" t="str">
        <f t="shared" si="7"/>
        <v>Saturday</v>
      </c>
      <c r="F1396" s="47" t="s">
        <v>43</v>
      </c>
      <c r="G1396" s="43" t="s">
        <v>199</v>
      </c>
      <c r="H1396" s="43" t="s">
        <v>18</v>
      </c>
      <c r="I1396" s="48">
        <v>1</v>
      </c>
      <c r="J1396" s="49">
        <v>3000</v>
      </c>
      <c r="K1396" s="49">
        <v>3000</v>
      </c>
      <c r="L1396" s="47" t="s">
        <v>32</v>
      </c>
      <c r="M1396" s="46">
        <v>0</v>
      </c>
      <c r="N1396" s="48">
        <v>5</v>
      </c>
      <c r="O1396" s="47" t="s">
        <v>24</v>
      </c>
    </row>
    <row r="1397" ht="14.25" customHeight="1" spans="1:15">
      <c r="A1397" s="43" t="s">
        <v>2605</v>
      </c>
      <c r="B1397" s="44">
        <v>46228</v>
      </c>
      <c r="C1397" s="45">
        <v>0.847222222222222</v>
      </c>
      <c r="D1397" s="46">
        <f t="shared" si="0"/>
        <v>20</v>
      </c>
      <c r="E1397" s="47" t="str">
        <f t="shared" si="7"/>
        <v>Saturday</v>
      </c>
      <c r="F1397" s="47" t="s">
        <v>16</v>
      </c>
      <c r="G1397" s="47" t="s">
        <v>17</v>
      </c>
      <c r="H1397" s="43" t="s">
        <v>18</v>
      </c>
      <c r="I1397" s="48">
        <v>1</v>
      </c>
      <c r="J1397" s="49">
        <v>1000</v>
      </c>
      <c r="K1397" s="49">
        <v>1000</v>
      </c>
      <c r="L1397" s="47" t="s">
        <v>22</v>
      </c>
      <c r="M1397" s="46">
        <v>0</v>
      </c>
      <c r="N1397" s="48" t="s">
        <v>23</v>
      </c>
      <c r="O1397" s="47" t="s">
        <v>47</v>
      </c>
    </row>
    <row r="1398" ht="14.25" customHeight="1" spans="1:15">
      <c r="A1398" s="43" t="s">
        <v>2606</v>
      </c>
      <c r="B1398" s="44">
        <v>46228</v>
      </c>
      <c r="C1398" s="45">
        <v>0.88125</v>
      </c>
      <c r="D1398" s="46">
        <f t="shared" si="0"/>
        <v>21</v>
      </c>
      <c r="E1398" s="47" t="str">
        <f t="shared" si="7"/>
        <v>Saturday</v>
      </c>
      <c r="F1398" s="47" t="s">
        <v>16</v>
      </c>
      <c r="G1398" s="43" t="s">
        <v>199</v>
      </c>
      <c r="H1398" s="43" t="s">
        <v>18</v>
      </c>
      <c r="I1398" s="48">
        <v>1</v>
      </c>
      <c r="J1398" s="49">
        <v>3000</v>
      </c>
      <c r="K1398" s="49">
        <v>3000</v>
      </c>
      <c r="L1398" s="47" t="s">
        <v>32</v>
      </c>
      <c r="M1398" s="46">
        <v>0</v>
      </c>
      <c r="N1398" s="48" t="s">
        <v>23</v>
      </c>
      <c r="O1398" s="47" t="s">
        <v>24</v>
      </c>
    </row>
    <row r="1399" ht="14.25" customHeight="1" spans="1:15">
      <c r="A1399" s="43" t="s">
        <v>2607</v>
      </c>
      <c r="B1399" s="44">
        <v>46228</v>
      </c>
      <c r="C1399" s="45">
        <v>0.926388888888889</v>
      </c>
      <c r="D1399" s="46">
        <f t="shared" si="0"/>
        <v>22</v>
      </c>
      <c r="E1399" s="47" t="str">
        <f t="shared" si="7"/>
        <v>Saturday</v>
      </c>
      <c r="F1399" s="47" t="s">
        <v>43</v>
      </c>
      <c r="G1399" s="47" t="s">
        <v>63</v>
      </c>
      <c r="H1399" s="43" t="s">
        <v>18</v>
      </c>
      <c r="I1399" s="48">
        <v>2</v>
      </c>
      <c r="J1399" s="49">
        <v>1500</v>
      </c>
      <c r="K1399" s="49">
        <v>3000</v>
      </c>
      <c r="L1399" s="47" t="s">
        <v>32</v>
      </c>
      <c r="M1399" s="46">
        <v>0</v>
      </c>
      <c r="N1399" s="48" t="s">
        <v>23</v>
      </c>
      <c r="O1399" s="47" t="s">
        <v>40</v>
      </c>
    </row>
    <row r="1400" ht="14.25" customHeight="1" spans="1:15">
      <c r="A1400" s="43" t="s">
        <v>2608</v>
      </c>
      <c r="B1400" s="44">
        <v>46228</v>
      </c>
      <c r="C1400" s="45">
        <v>0.946527777777778</v>
      </c>
      <c r="D1400" s="46">
        <f t="shared" si="0"/>
        <v>22</v>
      </c>
      <c r="E1400" s="47" t="str">
        <f t="shared" si="7"/>
        <v>Saturday</v>
      </c>
      <c r="F1400" s="47" t="s">
        <v>43</v>
      </c>
      <c r="G1400" s="47" t="s">
        <v>63</v>
      </c>
      <c r="H1400" s="43" t="s">
        <v>18</v>
      </c>
      <c r="I1400" s="48">
        <v>2</v>
      </c>
      <c r="J1400" s="49">
        <v>1500</v>
      </c>
      <c r="K1400" s="49">
        <f t="shared" ref="K1400:K1401" si="10">I1400*J1400</f>
        <v>3000</v>
      </c>
      <c r="L1400" s="47" t="s">
        <v>22</v>
      </c>
      <c r="M1400" s="46">
        <v>0</v>
      </c>
      <c r="N1400" s="48" t="s">
        <v>23</v>
      </c>
      <c r="O1400" s="47" t="s">
        <v>33</v>
      </c>
    </row>
    <row r="1401" ht="14.25" customHeight="1" spans="1:15">
      <c r="A1401" s="43" t="s">
        <v>2609</v>
      </c>
      <c r="B1401" s="44">
        <v>46228</v>
      </c>
      <c r="C1401" s="45">
        <v>0.970833333333333</v>
      </c>
      <c r="D1401" s="46">
        <f t="shared" si="0"/>
        <v>23</v>
      </c>
      <c r="E1401" s="47" t="str">
        <f t="shared" si="7"/>
        <v>Saturday</v>
      </c>
      <c r="F1401" s="47" t="s">
        <v>16</v>
      </c>
      <c r="G1401" s="47" t="s">
        <v>17</v>
      </c>
      <c r="H1401" s="43" t="s">
        <v>18</v>
      </c>
      <c r="I1401" s="48">
        <v>1</v>
      </c>
      <c r="J1401" s="49">
        <v>1000</v>
      </c>
      <c r="K1401" s="49">
        <f t="shared" si="10"/>
        <v>1000</v>
      </c>
      <c r="L1401" s="47" t="s">
        <v>22</v>
      </c>
      <c r="M1401" s="46">
        <v>0</v>
      </c>
      <c r="N1401" s="48" t="s">
        <v>23</v>
      </c>
      <c r="O1401" s="47" t="s">
        <v>47</v>
      </c>
    </row>
    <row r="1402" ht="14.25" customHeight="1" spans="1:15">
      <c r="A1402" s="43" t="s">
        <v>2610</v>
      </c>
      <c r="B1402" s="44">
        <v>46229</v>
      </c>
      <c r="C1402" s="45">
        <v>0.565277777777778</v>
      </c>
      <c r="D1402" s="46">
        <f t="shared" si="0"/>
        <v>13</v>
      </c>
      <c r="E1402" s="47" t="str">
        <f t="shared" si="7"/>
        <v>Sunday</v>
      </c>
      <c r="F1402" s="47" t="s">
        <v>107</v>
      </c>
      <c r="G1402" s="47" t="s">
        <v>63</v>
      </c>
      <c r="H1402" s="43" t="s">
        <v>18</v>
      </c>
      <c r="I1402" s="48">
        <v>1</v>
      </c>
      <c r="J1402" s="49">
        <v>1500</v>
      </c>
      <c r="K1402" s="49">
        <v>1500</v>
      </c>
      <c r="L1402" s="47" t="s">
        <v>32</v>
      </c>
      <c r="M1402" s="46">
        <v>0</v>
      </c>
      <c r="N1402" s="48" t="s">
        <v>23</v>
      </c>
      <c r="O1402" s="47" t="s">
        <v>73</v>
      </c>
    </row>
    <row r="1403" ht="14.25" customHeight="1" spans="1:15">
      <c r="A1403" s="43" t="s">
        <v>2612</v>
      </c>
      <c r="B1403" s="44">
        <v>46229</v>
      </c>
      <c r="C1403" s="45">
        <v>0.590972222222222</v>
      </c>
      <c r="D1403" s="46">
        <f t="shared" si="0"/>
        <v>14</v>
      </c>
      <c r="E1403" s="47" t="str">
        <f t="shared" si="7"/>
        <v>Sunday</v>
      </c>
      <c r="F1403" s="47" t="s">
        <v>43</v>
      </c>
      <c r="G1403" s="47" t="s">
        <v>103</v>
      </c>
      <c r="H1403" s="43" t="s">
        <v>37</v>
      </c>
      <c r="I1403" s="48">
        <v>1</v>
      </c>
      <c r="J1403" s="49">
        <v>5000</v>
      </c>
      <c r="K1403" s="49">
        <v>5000</v>
      </c>
      <c r="L1403" s="47" t="s">
        <v>22</v>
      </c>
      <c r="M1403" s="46">
        <v>0</v>
      </c>
      <c r="N1403" s="48">
        <v>4</v>
      </c>
      <c r="O1403" s="47" t="s">
        <v>47</v>
      </c>
    </row>
    <row r="1404" ht="14.25" customHeight="1" spans="1:15">
      <c r="A1404" s="43" t="s">
        <v>2614</v>
      </c>
      <c r="B1404" s="44">
        <v>46229</v>
      </c>
      <c r="C1404" s="45">
        <v>0.610416666666667</v>
      </c>
      <c r="D1404" s="46">
        <f t="shared" si="0"/>
        <v>14</v>
      </c>
      <c r="E1404" s="47" t="str">
        <f t="shared" si="7"/>
        <v>Sunday</v>
      </c>
      <c r="F1404" s="47" t="s">
        <v>107</v>
      </c>
      <c r="G1404" s="47" t="s">
        <v>63</v>
      </c>
      <c r="H1404" s="43" t="s">
        <v>18</v>
      </c>
      <c r="I1404" s="48">
        <v>1</v>
      </c>
      <c r="J1404" s="49">
        <v>1500</v>
      </c>
      <c r="K1404" s="49">
        <v>1500</v>
      </c>
      <c r="L1404" s="47" t="s">
        <v>32</v>
      </c>
      <c r="M1404" s="46">
        <v>0</v>
      </c>
      <c r="N1404" s="48" t="s">
        <v>23</v>
      </c>
      <c r="O1404" s="47" t="s">
        <v>24</v>
      </c>
    </row>
    <row r="1405" ht="14.25" customHeight="1" spans="1:15">
      <c r="A1405" s="43" t="s">
        <v>2615</v>
      </c>
      <c r="B1405" s="44">
        <v>46229</v>
      </c>
      <c r="C1405" s="45">
        <v>0.714583333333333</v>
      </c>
      <c r="D1405" s="46">
        <f t="shared" si="0"/>
        <v>17</v>
      </c>
      <c r="E1405" s="47" t="str">
        <f t="shared" si="7"/>
        <v>Sunday</v>
      </c>
      <c r="F1405" s="47" t="s">
        <v>107</v>
      </c>
      <c r="G1405" s="47" t="s">
        <v>63</v>
      </c>
      <c r="H1405" s="43" t="s">
        <v>18</v>
      </c>
      <c r="I1405" s="48">
        <v>1</v>
      </c>
      <c r="J1405" s="49">
        <v>1500</v>
      </c>
      <c r="K1405" s="50">
        <v>1350</v>
      </c>
      <c r="L1405" s="47" t="s">
        <v>32</v>
      </c>
      <c r="M1405" s="51">
        <v>0.1</v>
      </c>
      <c r="N1405" s="48" t="s">
        <v>23</v>
      </c>
      <c r="O1405" s="47" t="s">
        <v>73</v>
      </c>
    </row>
    <row r="1406" ht="14.25" customHeight="1" spans="1:15">
      <c r="A1406" s="43" t="s">
        <v>2617</v>
      </c>
      <c r="B1406" s="44">
        <v>46229</v>
      </c>
      <c r="C1406" s="45">
        <v>0.865277777777778</v>
      </c>
      <c r="D1406" s="46">
        <f t="shared" si="0"/>
        <v>20</v>
      </c>
      <c r="E1406" s="47" t="str">
        <f t="shared" si="7"/>
        <v>Sunday</v>
      </c>
      <c r="F1406" s="47" t="s">
        <v>107</v>
      </c>
      <c r="G1406" s="47" t="s">
        <v>63</v>
      </c>
      <c r="H1406" s="43" t="s">
        <v>18</v>
      </c>
      <c r="I1406" s="48">
        <v>2</v>
      </c>
      <c r="J1406" s="49">
        <v>1500</v>
      </c>
      <c r="K1406" s="49">
        <v>3000</v>
      </c>
      <c r="L1406" s="47" t="s">
        <v>22</v>
      </c>
      <c r="M1406" s="46">
        <v>0</v>
      </c>
      <c r="N1406" s="48">
        <v>4</v>
      </c>
      <c r="O1406" s="47" t="s">
        <v>47</v>
      </c>
    </row>
    <row r="1407" ht="14.25" customHeight="1" spans="1:15">
      <c r="A1407" s="43" t="s">
        <v>2618</v>
      </c>
      <c r="B1407" s="44">
        <v>46229</v>
      </c>
      <c r="C1407" s="45">
        <v>0.964583333333333</v>
      </c>
      <c r="D1407" s="46">
        <f t="shared" si="0"/>
        <v>23</v>
      </c>
      <c r="E1407" s="47" t="str">
        <f t="shared" si="7"/>
        <v>Sunday</v>
      </c>
      <c r="F1407" s="47" t="s">
        <v>43</v>
      </c>
      <c r="G1407" s="47" t="s">
        <v>63</v>
      </c>
      <c r="H1407" s="43" t="s">
        <v>18</v>
      </c>
      <c r="I1407" s="48">
        <v>1</v>
      </c>
      <c r="J1407" s="49">
        <v>1500</v>
      </c>
      <c r="K1407" s="49">
        <f>I1407*J1407</f>
        <v>1500</v>
      </c>
      <c r="L1407" s="47" t="s">
        <v>32</v>
      </c>
      <c r="M1407" s="46">
        <v>0</v>
      </c>
      <c r="N1407" s="48" t="s">
        <v>23</v>
      </c>
      <c r="O1407" s="47" t="s">
        <v>73</v>
      </c>
    </row>
    <row r="1408" ht="14.25" customHeight="1" spans="1:15">
      <c r="A1408" s="43" t="s">
        <v>2619</v>
      </c>
      <c r="B1408" s="44">
        <v>46230</v>
      </c>
      <c r="C1408" s="45">
        <v>0.535416666666667</v>
      </c>
      <c r="D1408" s="46">
        <f t="shared" si="0"/>
        <v>12</v>
      </c>
      <c r="E1408" s="47" t="str">
        <f t="shared" si="7"/>
        <v>Monday</v>
      </c>
      <c r="F1408" s="47" t="s">
        <v>107</v>
      </c>
      <c r="G1408" s="47" t="s">
        <v>81</v>
      </c>
      <c r="H1408" s="43" t="s">
        <v>37</v>
      </c>
      <c r="I1408" s="48">
        <v>1</v>
      </c>
      <c r="J1408" s="49">
        <v>6000</v>
      </c>
      <c r="K1408" s="49">
        <v>6000</v>
      </c>
      <c r="L1408" s="47" t="s">
        <v>32</v>
      </c>
      <c r="M1408" s="46">
        <v>0</v>
      </c>
      <c r="N1408" s="48" t="s">
        <v>23</v>
      </c>
      <c r="O1408" s="47" t="s">
        <v>40</v>
      </c>
    </row>
    <row r="1409" ht="14.25" customHeight="1" spans="1:15">
      <c r="A1409" s="43" t="s">
        <v>2622</v>
      </c>
      <c r="B1409" s="44">
        <v>46230</v>
      </c>
      <c r="C1409" s="45">
        <v>0.803472222222222</v>
      </c>
      <c r="D1409" s="46">
        <f t="shared" si="0"/>
        <v>19</v>
      </c>
      <c r="E1409" s="47" t="str">
        <f t="shared" si="7"/>
        <v>Monday</v>
      </c>
      <c r="F1409" s="47" t="s">
        <v>16</v>
      </c>
      <c r="G1409" s="47" t="s">
        <v>27</v>
      </c>
      <c r="H1409" s="43" t="s">
        <v>28</v>
      </c>
      <c r="I1409" s="48">
        <v>2</v>
      </c>
      <c r="J1409" s="49">
        <v>15000</v>
      </c>
      <c r="K1409" s="49">
        <v>30000</v>
      </c>
      <c r="L1409" s="47" t="s">
        <v>32</v>
      </c>
      <c r="M1409" s="46">
        <v>0</v>
      </c>
      <c r="N1409" s="48">
        <v>4</v>
      </c>
      <c r="O1409" s="47" t="s">
        <v>33</v>
      </c>
    </row>
    <row r="1410" ht="14.25" customHeight="1" spans="1:15">
      <c r="A1410" s="43" t="s">
        <v>2624</v>
      </c>
      <c r="B1410" s="44">
        <v>46230</v>
      </c>
      <c r="C1410" s="45">
        <v>0.808333333333333</v>
      </c>
      <c r="D1410" s="46">
        <f t="shared" si="0"/>
        <v>19</v>
      </c>
      <c r="E1410" s="47" t="str">
        <f t="shared" si="7"/>
        <v>Monday</v>
      </c>
      <c r="F1410" s="47" t="s">
        <v>43</v>
      </c>
      <c r="G1410" s="47" t="s">
        <v>50</v>
      </c>
      <c r="H1410" s="43" t="s">
        <v>28</v>
      </c>
      <c r="I1410" s="48">
        <v>1</v>
      </c>
      <c r="J1410" s="49">
        <f>K1410/I1410</f>
        <v>25000</v>
      </c>
      <c r="K1410" s="49">
        <v>25000</v>
      </c>
      <c r="L1410" s="47" t="s">
        <v>32</v>
      </c>
      <c r="M1410" s="46">
        <v>0</v>
      </c>
      <c r="N1410" s="48" t="s">
        <v>23</v>
      </c>
      <c r="O1410" s="47" t="s">
        <v>24</v>
      </c>
    </row>
    <row r="1411" ht="14.25" customHeight="1" spans="1:15">
      <c r="A1411" s="43" t="s">
        <v>2625</v>
      </c>
      <c r="B1411" s="44">
        <v>46230</v>
      </c>
      <c r="C1411" s="45">
        <v>0.828472222222222</v>
      </c>
      <c r="D1411" s="46">
        <f t="shared" si="0"/>
        <v>19</v>
      </c>
      <c r="E1411" s="47" t="str">
        <f t="shared" si="7"/>
        <v>Monday</v>
      </c>
      <c r="F1411" s="47" t="s">
        <v>107</v>
      </c>
      <c r="G1411" s="47" t="s">
        <v>146</v>
      </c>
      <c r="H1411" s="43" t="s">
        <v>28</v>
      </c>
      <c r="I1411" s="48">
        <v>1</v>
      </c>
      <c r="J1411" s="49">
        <v>16000</v>
      </c>
      <c r="K1411" s="49">
        <v>16000</v>
      </c>
      <c r="L1411" s="47" t="s">
        <v>32</v>
      </c>
      <c r="M1411" s="46">
        <v>0</v>
      </c>
      <c r="N1411" s="48" t="s">
        <v>23</v>
      </c>
      <c r="O1411" s="47" t="s">
        <v>24</v>
      </c>
    </row>
    <row r="1412" ht="14.25" customHeight="1" spans="1:15">
      <c r="A1412" s="43" t="s">
        <v>2626</v>
      </c>
      <c r="B1412" s="44">
        <v>46230</v>
      </c>
      <c r="C1412" s="45">
        <v>0.864583333333333</v>
      </c>
      <c r="D1412" s="46">
        <f t="shared" si="0"/>
        <v>20</v>
      </c>
      <c r="E1412" s="47" t="str">
        <f t="shared" si="7"/>
        <v>Monday</v>
      </c>
      <c r="F1412" s="47" t="s">
        <v>16</v>
      </c>
      <c r="G1412" s="47" t="s">
        <v>63</v>
      </c>
      <c r="H1412" s="43" t="s">
        <v>18</v>
      </c>
      <c r="I1412" s="48">
        <v>1</v>
      </c>
      <c r="J1412" s="49">
        <v>1500</v>
      </c>
      <c r="K1412" s="49">
        <v>1500</v>
      </c>
      <c r="L1412" s="47" t="s">
        <v>22</v>
      </c>
      <c r="M1412" s="46">
        <v>0</v>
      </c>
      <c r="N1412" s="48" t="s">
        <v>23</v>
      </c>
      <c r="O1412" s="47" t="s">
        <v>24</v>
      </c>
    </row>
    <row r="1413" ht="14.25" customHeight="1" spans="1:15">
      <c r="A1413" s="43" t="s">
        <v>2627</v>
      </c>
      <c r="B1413" s="44">
        <v>46230</v>
      </c>
      <c r="C1413" s="45">
        <v>0.929166666666667</v>
      </c>
      <c r="D1413" s="46">
        <f t="shared" si="0"/>
        <v>22</v>
      </c>
      <c r="E1413" s="47" t="str">
        <f t="shared" si="7"/>
        <v>Monday</v>
      </c>
      <c r="F1413" s="47" t="s">
        <v>16</v>
      </c>
      <c r="G1413" s="47" t="s">
        <v>81</v>
      </c>
      <c r="H1413" s="43" t="s">
        <v>37</v>
      </c>
      <c r="I1413" s="48">
        <v>1</v>
      </c>
      <c r="J1413" s="49">
        <f>K1413/I1413</f>
        <v>6000</v>
      </c>
      <c r="K1413" s="49">
        <v>6000</v>
      </c>
      <c r="L1413" s="47" t="s">
        <v>22</v>
      </c>
      <c r="M1413" s="46">
        <v>0</v>
      </c>
      <c r="N1413" s="48">
        <v>4</v>
      </c>
      <c r="O1413" s="47" t="s">
        <v>33</v>
      </c>
    </row>
    <row r="1414" ht="14.25" customHeight="1" spans="1:15">
      <c r="A1414" s="43" t="s">
        <v>2628</v>
      </c>
      <c r="B1414" s="44">
        <v>46230</v>
      </c>
      <c r="C1414" s="45">
        <v>0.934722222222222</v>
      </c>
      <c r="D1414" s="46">
        <f t="shared" si="0"/>
        <v>22</v>
      </c>
      <c r="E1414" s="47" t="str">
        <f t="shared" si="7"/>
        <v>Monday</v>
      </c>
      <c r="F1414" s="47" t="s">
        <v>43</v>
      </c>
      <c r="G1414" s="47" t="s">
        <v>57</v>
      </c>
      <c r="H1414" s="43" t="s">
        <v>28</v>
      </c>
      <c r="I1414" s="48">
        <v>1</v>
      </c>
      <c r="J1414" s="49">
        <v>18000</v>
      </c>
      <c r="K1414" s="49">
        <v>18000</v>
      </c>
      <c r="L1414" s="47" t="s">
        <v>22</v>
      </c>
      <c r="M1414" s="46">
        <v>0</v>
      </c>
      <c r="N1414" s="48">
        <v>4</v>
      </c>
      <c r="O1414" s="47" t="s">
        <v>40</v>
      </c>
    </row>
    <row r="1415" ht="14.25" customHeight="1" spans="1:15">
      <c r="A1415" s="43" t="s">
        <v>2630</v>
      </c>
      <c r="B1415" s="44">
        <v>46234</v>
      </c>
      <c r="C1415" s="45">
        <v>0.915277777777778</v>
      </c>
      <c r="D1415" s="46">
        <f t="shared" si="0"/>
        <v>21</v>
      </c>
      <c r="E1415" s="47" t="str">
        <f t="shared" si="7"/>
        <v>Friday</v>
      </c>
      <c r="F1415" s="47" t="s">
        <v>43</v>
      </c>
      <c r="G1415" s="47" t="s">
        <v>63</v>
      </c>
      <c r="H1415" s="43" t="s">
        <v>18</v>
      </c>
      <c r="I1415" s="48">
        <v>1</v>
      </c>
      <c r="J1415" s="49">
        <v>1500</v>
      </c>
      <c r="K1415" s="49">
        <v>1500</v>
      </c>
      <c r="L1415" s="47" t="s">
        <v>22</v>
      </c>
      <c r="M1415" s="46">
        <v>0</v>
      </c>
      <c r="N1415" s="48" t="s">
        <v>23</v>
      </c>
      <c r="O1415" s="47" t="s">
        <v>24</v>
      </c>
    </row>
    <row r="1416" ht="14.25" customHeight="1" spans="1:15">
      <c r="A1416" s="43" t="s">
        <v>2632</v>
      </c>
      <c r="B1416" s="44">
        <v>46231</v>
      </c>
      <c r="C1416" s="45">
        <v>0.85625</v>
      </c>
      <c r="D1416" s="46">
        <f t="shared" si="0"/>
        <v>20</v>
      </c>
      <c r="E1416" s="47" t="str">
        <f t="shared" si="7"/>
        <v>Tuesday</v>
      </c>
      <c r="F1416" s="47" t="s">
        <v>107</v>
      </c>
      <c r="G1416" s="47" t="s">
        <v>95</v>
      </c>
      <c r="H1416" s="43" t="s">
        <v>45</v>
      </c>
      <c r="I1416" s="48">
        <v>2</v>
      </c>
      <c r="J1416" s="49">
        <v>5000</v>
      </c>
      <c r="K1416" s="49">
        <v>10000</v>
      </c>
      <c r="L1416" s="47" t="s">
        <v>22</v>
      </c>
      <c r="M1416" s="46">
        <v>0</v>
      </c>
      <c r="N1416" s="48" t="s">
        <v>23</v>
      </c>
      <c r="O1416" s="47" t="s">
        <v>47</v>
      </c>
    </row>
    <row r="1417" ht="14.25" customHeight="1" spans="1:15">
      <c r="A1417" s="43" t="s">
        <v>2634</v>
      </c>
      <c r="B1417" s="44">
        <v>46231</v>
      </c>
      <c r="C1417" s="45">
        <v>0.861111111111111</v>
      </c>
      <c r="D1417" s="46">
        <f t="shared" si="0"/>
        <v>20</v>
      </c>
      <c r="E1417" s="47" t="str">
        <f t="shared" si="7"/>
        <v>Tuesday</v>
      </c>
      <c r="F1417" s="47" t="s">
        <v>43</v>
      </c>
      <c r="G1417" s="47" t="s">
        <v>17</v>
      </c>
      <c r="H1417" s="43" t="s">
        <v>18</v>
      </c>
      <c r="I1417" s="48">
        <v>1</v>
      </c>
      <c r="J1417" s="49">
        <v>1000</v>
      </c>
      <c r="K1417" s="49">
        <v>1000</v>
      </c>
      <c r="L1417" s="47" t="s">
        <v>22</v>
      </c>
      <c r="M1417" s="46">
        <v>0</v>
      </c>
      <c r="N1417" s="48" t="s">
        <v>23</v>
      </c>
      <c r="O1417" s="47" t="s">
        <v>24</v>
      </c>
    </row>
    <row r="1418" ht="14.25" customHeight="1" spans="1:15">
      <c r="A1418" s="43" t="s">
        <v>2636</v>
      </c>
      <c r="B1418" s="44">
        <v>46232</v>
      </c>
      <c r="C1418" s="45">
        <v>0.567361111111111</v>
      </c>
      <c r="D1418" s="46">
        <f t="shared" si="0"/>
        <v>13</v>
      </c>
      <c r="E1418" s="47" t="str">
        <f t="shared" si="7"/>
        <v>Wednesday</v>
      </c>
      <c r="F1418" s="47" t="s">
        <v>16</v>
      </c>
      <c r="G1418" s="47" t="s">
        <v>63</v>
      </c>
      <c r="H1418" s="43" t="s">
        <v>18</v>
      </c>
      <c r="I1418" s="48">
        <v>1</v>
      </c>
      <c r="J1418" s="49">
        <v>1500</v>
      </c>
      <c r="K1418" s="49">
        <v>1500</v>
      </c>
      <c r="L1418" s="47" t="s">
        <v>32</v>
      </c>
      <c r="M1418" s="46">
        <v>0</v>
      </c>
      <c r="N1418" s="48">
        <v>3</v>
      </c>
      <c r="O1418" s="47" t="s">
        <v>40</v>
      </c>
    </row>
    <row r="1419" ht="14.25" customHeight="1" spans="1:15">
      <c r="A1419" s="43" t="s">
        <v>2638</v>
      </c>
      <c r="B1419" s="44">
        <v>46232</v>
      </c>
      <c r="C1419" s="45">
        <v>0.607638888888889</v>
      </c>
      <c r="D1419" s="46">
        <f t="shared" si="0"/>
        <v>14</v>
      </c>
      <c r="E1419" s="47" t="str">
        <f t="shared" si="7"/>
        <v>Wednesday</v>
      </c>
      <c r="F1419" s="47" t="s">
        <v>107</v>
      </c>
      <c r="G1419" s="47" t="s">
        <v>146</v>
      </c>
      <c r="H1419" s="43" t="s">
        <v>28</v>
      </c>
      <c r="I1419" s="48">
        <v>1</v>
      </c>
      <c r="J1419" s="49">
        <v>16000</v>
      </c>
      <c r="K1419" s="49">
        <v>16000</v>
      </c>
      <c r="L1419" s="47" t="s">
        <v>32</v>
      </c>
      <c r="M1419" s="46">
        <v>0</v>
      </c>
      <c r="N1419" s="48" t="s">
        <v>23</v>
      </c>
      <c r="O1419" s="47" t="s">
        <v>73</v>
      </c>
    </row>
    <row r="1420" ht="14.25" customHeight="1" spans="1:15">
      <c r="A1420" s="43" t="s">
        <v>2641</v>
      </c>
      <c r="B1420" s="44">
        <v>46232</v>
      </c>
      <c r="C1420" s="45">
        <v>0.633333333333333</v>
      </c>
      <c r="D1420" s="46">
        <f t="shared" si="0"/>
        <v>15</v>
      </c>
      <c r="E1420" s="47" t="str">
        <f t="shared" si="7"/>
        <v>Wednesday</v>
      </c>
      <c r="F1420" s="47" t="s">
        <v>43</v>
      </c>
      <c r="G1420" s="43" t="s">
        <v>647</v>
      </c>
      <c r="H1420" s="43" t="s">
        <v>45</v>
      </c>
      <c r="I1420" s="48">
        <v>1</v>
      </c>
      <c r="J1420" s="49">
        <v>4500</v>
      </c>
      <c r="K1420" s="49">
        <v>4500</v>
      </c>
      <c r="L1420" s="47" t="s">
        <v>22</v>
      </c>
      <c r="M1420" s="46">
        <v>0</v>
      </c>
      <c r="N1420" s="48" t="s">
        <v>23</v>
      </c>
      <c r="O1420" s="47" t="s">
        <v>73</v>
      </c>
    </row>
    <row r="1421" ht="14.25" customHeight="1" spans="1:15">
      <c r="A1421" s="43" t="s">
        <v>2643</v>
      </c>
      <c r="B1421" s="44">
        <v>46232</v>
      </c>
      <c r="C1421" s="45">
        <v>0.809722222222222</v>
      </c>
      <c r="D1421" s="46">
        <f t="shared" si="0"/>
        <v>19</v>
      </c>
      <c r="E1421" s="47" t="str">
        <f t="shared" si="7"/>
        <v>Wednesday</v>
      </c>
      <c r="F1421" s="47" t="s">
        <v>43</v>
      </c>
      <c r="G1421" s="47" t="s">
        <v>103</v>
      </c>
      <c r="H1421" s="43" t="s">
        <v>37</v>
      </c>
      <c r="I1421" s="48">
        <v>1</v>
      </c>
      <c r="J1421" s="49">
        <v>5000</v>
      </c>
      <c r="K1421" s="49">
        <v>5000</v>
      </c>
      <c r="L1421" s="47" t="s">
        <v>22</v>
      </c>
      <c r="M1421" s="46">
        <v>0</v>
      </c>
      <c r="N1421" s="48" t="s">
        <v>23</v>
      </c>
      <c r="O1421" s="47" t="s">
        <v>73</v>
      </c>
    </row>
    <row r="1422" ht="14.25" customHeight="1" spans="1:15">
      <c r="A1422" s="43" t="s">
        <v>2644</v>
      </c>
      <c r="B1422" s="44">
        <v>46232</v>
      </c>
      <c r="C1422" s="45">
        <v>0.8125</v>
      </c>
      <c r="D1422" s="46">
        <f t="shared" si="0"/>
        <v>19</v>
      </c>
      <c r="E1422" s="47" t="str">
        <f t="shared" si="7"/>
        <v>Wednesday</v>
      </c>
      <c r="F1422" s="47" t="s">
        <v>43</v>
      </c>
      <c r="G1422" s="47" t="s">
        <v>95</v>
      </c>
      <c r="H1422" s="43" t="s">
        <v>45</v>
      </c>
      <c r="I1422" s="48">
        <v>1</v>
      </c>
      <c r="J1422" s="49">
        <v>5000</v>
      </c>
      <c r="K1422" s="49">
        <v>5000</v>
      </c>
      <c r="L1422" s="47" t="s">
        <v>22</v>
      </c>
      <c r="M1422" s="46">
        <v>0</v>
      </c>
      <c r="N1422" s="48" t="s">
        <v>23</v>
      </c>
      <c r="O1422" s="47" t="s">
        <v>24</v>
      </c>
    </row>
    <row r="1423" ht="14.25" customHeight="1" spans="1:15">
      <c r="A1423" s="43" t="s">
        <v>2646</v>
      </c>
      <c r="B1423" s="44">
        <v>46232</v>
      </c>
      <c r="C1423" s="45">
        <v>0.90625</v>
      </c>
      <c r="D1423" s="46">
        <f t="shared" si="0"/>
        <v>21</v>
      </c>
      <c r="E1423" s="47" t="str">
        <f t="shared" si="7"/>
        <v>Wednesday</v>
      </c>
      <c r="F1423" s="47" t="s">
        <v>16</v>
      </c>
      <c r="G1423" s="43" t="s">
        <v>647</v>
      </c>
      <c r="H1423" s="43" t="s">
        <v>45</v>
      </c>
      <c r="I1423" s="48">
        <v>1</v>
      </c>
      <c r="J1423" s="49">
        <v>4500</v>
      </c>
      <c r="K1423" s="49">
        <v>4500</v>
      </c>
      <c r="L1423" s="47" t="s">
        <v>32</v>
      </c>
      <c r="M1423" s="46">
        <v>0</v>
      </c>
      <c r="N1423" s="48" t="s">
        <v>23</v>
      </c>
      <c r="O1423" s="47" t="s">
        <v>73</v>
      </c>
    </row>
    <row r="1424" ht="14.25" customHeight="1" spans="1:15">
      <c r="A1424" s="43" t="s">
        <v>2647</v>
      </c>
      <c r="B1424" s="44">
        <v>46232</v>
      </c>
      <c r="C1424" s="45">
        <v>0.940972222222222</v>
      </c>
      <c r="D1424" s="46">
        <f t="shared" si="0"/>
        <v>22</v>
      </c>
      <c r="E1424" s="47" t="str">
        <f t="shared" si="7"/>
        <v>Wednesday</v>
      </c>
      <c r="F1424" s="47" t="s">
        <v>43</v>
      </c>
      <c r="G1424" s="47" t="s">
        <v>27</v>
      </c>
      <c r="H1424" s="43" t="s">
        <v>28</v>
      </c>
      <c r="I1424" s="48">
        <v>1</v>
      </c>
      <c r="J1424" s="49">
        <v>15000</v>
      </c>
      <c r="K1424" s="49">
        <v>15000</v>
      </c>
      <c r="L1424" s="47" t="s">
        <v>32</v>
      </c>
      <c r="M1424" s="46">
        <v>0</v>
      </c>
      <c r="N1424" s="48">
        <v>4</v>
      </c>
      <c r="O1424" s="47" t="s">
        <v>33</v>
      </c>
    </row>
    <row r="1425" ht="14.25" customHeight="1" spans="1:15">
      <c r="A1425" s="43" t="s">
        <v>2648</v>
      </c>
      <c r="B1425" s="44">
        <v>46232</v>
      </c>
      <c r="C1425" s="45">
        <v>0.941666666666667</v>
      </c>
      <c r="D1425" s="46">
        <f t="shared" si="0"/>
        <v>22</v>
      </c>
      <c r="E1425" s="47" t="str">
        <f t="shared" si="7"/>
        <v>Wednesday</v>
      </c>
      <c r="F1425" s="47" t="s">
        <v>43</v>
      </c>
      <c r="G1425" s="47" t="s">
        <v>63</v>
      </c>
      <c r="H1425" s="43" t="s">
        <v>18</v>
      </c>
      <c r="I1425" s="48">
        <v>1</v>
      </c>
      <c r="J1425" s="49">
        <v>1500</v>
      </c>
      <c r="K1425" s="49">
        <v>1500</v>
      </c>
      <c r="L1425" s="47" t="s">
        <v>32</v>
      </c>
      <c r="M1425" s="46">
        <v>0</v>
      </c>
      <c r="N1425" s="48" t="s">
        <v>23</v>
      </c>
      <c r="O1425" s="47" t="s">
        <v>73</v>
      </c>
    </row>
    <row r="1426" ht="14.25" customHeight="1" spans="1:15">
      <c r="A1426" s="43" t="s">
        <v>2649</v>
      </c>
      <c r="B1426" s="44">
        <v>46233</v>
      </c>
      <c r="C1426" s="45">
        <v>0.513194444444444</v>
      </c>
      <c r="D1426" s="46">
        <f t="shared" si="0"/>
        <v>12</v>
      </c>
      <c r="E1426" s="47" t="str">
        <f t="shared" si="7"/>
        <v>Thursday</v>
      </c>
      <c r="F1426" s="47" t="s">
        <v>16</v>
      </c>
      <c r="G1426" s="47" t="s">
        <v>146</v>
      </c>
      <c r="H1426" s="43" t="s">
        <v>28</v>
      </c>
      <c r="I1426" s="48">
        <v>2</v>
      </c>
      <c r="J1426" s="49">
        <v>16000</v>
      </c>
      <c r="K1426" s="49">
        <v>32000</v>
      </c>
      <c r="L1426" s="47" t="s">
        <v>22</v>
      </c>
      <c r="M1426" s="46">
        <v>0</v>
      </c>
      <c r="N1426" s="48" t="s">
        <v>23</v>
      </c>
      <c r="O1426" s="47" t="s">
        <v>73</v>
      </c>
    </row>
    <row r="1427" ht="14.25" customHeight="1" spans="1:15">
      <c r="A1427" s="43" t="s">
        <v>2651</v>
      </c>
      <c r="B1427" s="44">
        <v>46233</v>
      </c>
      <c r="C1427" s="45">
        <v>0.585416666666667</v>
      </c>
      <c r="D1427" s="46">
        <f t="shared" si="0"/>
        <v>14</v>
      </c>
      <c r="E1427" s="47" t="str">
        <f t="shared" si="7"/>
        <v>Thursday</v>
      </c>
      <c r="F1427" s="47" t="s">
        <v>16</v>
      </c>
      <c r="G1427" s="47" t="s">
        <v>17</v>
      </c>
      <c r="H1427" s="43" t="s">
        <v>18</v>
      </c>
      <c r="I1427" s="48">
        <v>1</v>
      </c>
      <c r="J1427" s="49">
        <v>1000</v>
      </c>
      <c r="K1427" s="49">
        <v>1000</v>
      </c>
      <c r="L1427" s="47" t="s">
        <v>22</v>
      </c>
      <c r="M1427" s="46">
        <v>0</v>
      </c>
      <c r="N1427" s="48" t="s">
        <v>23</v>
      </c>
      <c r="O1427" s="47" t="s">
        <v>47</v>
      </c>
    </row>
    <row r="1428" ht="14.25" customHeight="1" spans="1:15">
      <c r="A1428" s="43" t="s">
        <v>2652</v>
      </c>
      <c r="B1428" s="44">
        <v>46233</v>
      </c>
      <c r="C1428" s="45">
        <v>0.615277777777778</v>
      </c>
      <c r="D1428" s="46">
        <f t="shared" si="0"/>
        <v>14</v>
      </c>
      <c r="E1428" s="47" t="str">
        <f t="shared" si="7"/>
        <v>Thursday</v>
      </c>
      <c r="F1428" s="47" t="s">
        <v>16</v>
      </c>
      <c r="G1428" s="47" t="s">
        <v>44</v>
      </c>
      <c r="H1428" s="43" t="s">
        <v>45</v>
      </c>
      <c r="I1428" s="48">
        <v>1</v>
      </c>
      <c r="J1428" s="49">
        <v>4000</v>
      </c>
      <c r="K1428" s="49">
        <v>4000</v>
      </c>
      <c r="L1428" s="47" t="s">
        <v>22</v>
      </c>
      <c r="M1428" s="46">
        <v>0</v>
      </c>
      <c r="N1428" s="48" t="s">
        <v>23</v>
      </c>
      <c r="O1428" s="47" t="s">
        <v>47</v>
      </c>
    </row>
    <row r="1429" ht="14.25" customHeight="1" spans="1:15">
      <c r="A1429" s="43" t="s">
        <v>2653</v>
      </c>
      <c r="B1429" s="44">
        <v>46233</v>
      </c>
      <c r="C1429" s="45">
        <v>0.688888888888889</v>
      </c>
      <c r="D1429" s="46">
        <f t="shared" si="0"/>
        <v>16</v>
      </c>
      <c r="E1429" s="47" t="str">
        <f t="shared" si="7"/>
        <v>Thursday</v>
      </c>
      <c r="F1429" s="47" t="s">
        <v>16</v>
      </c>
      <c r="G1429" s="43" t="s">
        <v>199</v>
      </c>
      <c r="H1429" s="43" t="s">
        <v>18</v>
      </c>
      <c r="I1429" s="48">
        <v>2</v>
      </c>
      <c r="J1429" s="49">
        <v>3000</v>
      </c>
      <c r="K1429" s="49">
        <v>6000</v>
      </c>
      <c r="L1429" s="47" t="s">
        <v>32</v>
      </c>
      <c r="M1429" s="46">
        <v>0</v>
      </c>
      <c r="N1429" s="48" t="s">
        <v>23</v>
      </c>
      <c r="O1429" s="47" t="s">
        <v>47</v>
      </c>
    </row>
    <row r="1430" ht="14.25" customHeight="1" spans="1:15">
      <c r="A1430" s="43" t="s">
        <v>2656</v>
      </c>
      <c r="B1430" s="44">
        <v>46233</v>
      </c>
      <c r="C1430" s="45">
        <v>0.765972222222222</v>
      </c>
      <c r="D1430" s="46">
        <f t="shared" si="0"/>
        <v>18</v>
      </c>
      <c r="E1430" s="47" t="str">
        <f t="shared" si="7"/>
        <v>Thursday</v>
      </c>
      <c r="F1430" s="47" t="s">
        <v>16</v>
      </c>
      <c r="G1430" s="47" t="s">
        <v>27</v>
      </c>
      <c r="H1430" s="43" t="s">
        <v>28</v>
      </c>
      <c r="I1430" s="48">
        <v>1</v>
      </c>
      <c r="J1430" s="49">
        <v>15000</v>
      </c>
      <c r="K1430" s="49">
        <v>15000</v>
      </c>
      <c r="L1430" s="47" t="s">
        <v>32</v>
      </c>
      <c r="M1430" s="46">
        <v>0</v>
      </c>
      <c r="N1430" s="48">
        <v>4</v>
      </c>
      <c r="O1430" s="47" t="s">
        <v>33</v>
      </c>
    </row>
    <row r="1431" ht="14.25" customHeight="1" spans="1:15">
      <c r="A1431" s="43" t="s">
        <v>2657</v>
      </c>
      <c r="B1431" s="44">
        <v>46233</v>
      </c>
      <c r="C1431" s="45">
        <v>0.844444444444444</v>
      </c>
      <c r="D1431" s="46">
        <f t="shared" si="0"/>
        <v>20</v>
      </c>
      <c r="E1431" s="47" t="str">
        <f t="shared" si="7"/>
        <v>Thursday</v>
      </c>
      <c r="F1431" s="47" t="s">
        <v>43</v>
      </c>
      <c r="G1431" s="47" t="s">
        <v>367</v>
      </c>
      <c r="H1431" s="43" t="s">
        <v>109</v>
      </c>
      <c r="I1431" s="48">
        <v>1</v>
      </c>
      <c r="J1431" s="50">
        <v>7000</v>
      </c>
      <c r="K1431" s="49">
        <v>7000</v>
      </c>
      <c r="L1431" s="47" t="s">
        <v>22</v>
      </c>
      <c r="M1431" s="46">
        <v>0</v>
      </c>
      <c r="N1431" s="48" t="s">
        <v>23</v>
      </c>
      <c r="O1431" s="47" t="s">
        <v>40</v>
      </c>
    </row>
    <row r="1432" ht="14.25" customHeight="1" spans="1:15">
      <c r="A1432" s="43" t="s">
        <v>2658</v>
      </c>
      <c r="B1432" s="44">
        <v>46233</v>
      </c>
      <c r="C1432" s="45">
        <v>0.939583333333333</v>
      </c>
      <c r="D1432" s="46">
        <f t="shared" si="0"/>
        <v>22</v>
      </c>
      <c r="E1432" s="47" t="str">
        <f t="shared" si="7"/>
        <v>Thursday</v>
      </c>
      <c r="F1432" s="47" t="s">
        <v>43</v>
      </c>
      <c r="G1432" s="47" t="s">
        <v>146</v>
      </c>
      <c r="H1432" s="43" t="s">
        <v>28</v>
      </c>
      <c r="I1432" s="48">
        <v>1</v>
      </c>
      <c r="J1432" s="49">
        <v>16000</v>
      </c>
      <c r="K1432" s="49">
        <v>16000</v>
      </c>
      <c r="L1432" s="47" t="s">
        <v>22</v>
      </c>
      <c r="M1432" s="46">
        <v>0</v>
      </c>
      <c r="N1432" s="48" t="s">
        <v>23</v>
      </c>
      <c r="O1432" s="47" t="s">
        <v>33</v>
      </c>
    </row>
    <row r="1433" ht="14.25" customHeight="1" spans="1:15">
      <c r="A1433" s="43" t="s">
        <v>2659</v>
      </c>
      <c r="B1433" s="44">
        <v>46234</v>
      </c>
      <c r="C1433" s="45">
        <v>0.461111111111111</v>
      </c>
      <c r="D1433" s="46">
        <f t="shared" si="0"/>
        <v>11</v>
      </c>
      <c r="E1433" s="47" t="str">
        <f t="shared" si="7"/>
        <v>Friday</v>
      </c>
      <c r="F1433" s="47" t="s">
        <v>16</v>
      </c>
      <c r="G1433" s="47" t="s">
        <v>103</v>
      </c>
      <c r="H1433" s="47" t="s">
        <v>37</v>
      </c>
      <c r="I1433" s="48">
        <v>1</v>
      </c>
      <c r="J1433" s="50">
        <v>5000</v>
      </c>
      <c r="K1433" s="49">
        <v>5000</v>
      </c>
      <c r="L1433" s="47" t="s">
        <v>22</v>
      </c>
      <c r="M1433" s="46">
        <v>0</v>
      </c>
      <c r="N1433" s="48">
        <v>5</v>
      </c>
      <c r="O1433" s="47" t="s">
        <v>73</v>
      </c>
    </row>
    <row r="1434" ht="14.25" customHeight="1" spans="1:15">
      <c r="A1434" s="43" t="s">
        <v>2661</v>
      </c>
      <c r="B1434" s="44">
        <v>46234</v>
      </c>
      <c r="C1434" s="45">
        <v>0.498611111111111</v>
      </c>
      <c r="D1434" s="46">
        <f t="shared" si="0"/>
        <v>11</v>
      </c>
      <c r="E1434" s="47" t="str">
        <f t="shared" si="7"/>
        <v>Friday</v>
      </c>
      <c r="F1434" s="47" t="s">
        <v>107</v>
      </c>
      <c r="G1434" s="47" t="s">
        <v>17</v>
      </c>
      <c r="H1434" s="43" t="s">
        <v>18</v>
      </c>
      <c r="I1434" s="48">
        <v>2</v>
      </c>
      <c r="J1434" s="49">
        <v>1000</v>
      </c>
      <c r="K1434" s="50">
        <v>1700</v>
      </c>
      <c r="L1434" s="47" t="s">
        <v>32</v>
      </c>
      <c r="M1434" s="51">
        <v>0.15</v>
      </c>
      <c r="N1434" s="48">
        <v>4</v>
      </c>
      <c r="O1434" s="47" t="s">
        <v>40</v>
      </c>
    </row>
    <row r="1435" ht="14.25" customHeight="1" spans="1:15">
      <c r="A1435" s="43" t="s">
        <v>2663</v>
      </c>
      <c r="B1435" s="44">
        <v>46234</v>
      </c>
      <c r="C1435" s="45">
        <v>0.509722222222222</v>
      </c>
      <c r="D1435" s="46">
        <f t="shared" si="0"/>
        <v>12</v>
      </c>
      <c r="E1435" s="47" t="str">
        <f t="shared" si="7"/>
        <v>Friday</v>
      </c>
      <c r="F1435" s="47" t="s">
        <v>16</v>
      </c>
      <c r="G1435" s="47" t="s">
        <v>103</v>
      </c>
      <c r="H1435" s="43" t="s">
        <v>37</v>
      </c>
      <c r="I1435" s="48">
        <v>1</v>
      </c>
      <c r="J1435" s="49">
        <v>5000</v>
      </c>
      <c r="K1435" s="50">
        <v>5000</v>
      </c>
      <c r="L1435" s="47" t="s">
        <v>22</v>
      </c>
      <c r="M1435" s="46">
        <v>0</v>
      </c>
      <c r="N1435" s="48" t="s">
        <v>23</v>
      </c>
      <c r="O1435" s="47" t="s">
        <v>73</v>
      </c>
    </row>
    <row r="1436" ht="14.25" customHeight="1" spans="1:15">
      <c r="A1436" s="43" t="s">
        <v>2665</v>
      </c>
      <c r="B1436" s="44">
        <v>46234</v>
      </c>
      <c r="C1436" s="45">
        <v>0.581944444444444</v>
      </c>
      <c r="D1436" s="46">
        <f t="shared" si="0"/>
        <v>13</v>
      </c>
      <c r="E1436" s="47" t="str">
        <f t="shared" si="7"/>
        <v>Friday</v>
      </c>
      <c r="F1436" s="47" t="s">
        <v>43</v>
      </c>
      <c r="G1436" s="47" t="s">
        <v>50</v>
      </c>
      <c r="H1436" s="43" t="str">
        <f>VLOOKUP(G1436,'02_Menu_Lookup'!$A$2:$C$16,2,FALSE)</f>
        <v>Grills</v>
      </c>
      <c r="I1436" s="48">
        <v>1</v>
      </c>
      <c r="J1436" s="49">
        <v>25000</v>
      </c>
      <c r="K1436" s="49">
        <v>25000</v>
      </c>
      <c r="L1436" s="47" t="s">
        <v>22</v>
      </c>
      <c r="M1436" s="46">
        <v>0</v>
      </c>
      <c r="N1436" s="48" t="s">
        <v>23</v>
      </c>
      <c r="O1436" s="47" t="s">
        <v>24</v>
      </c>
    </row>
    <row r="1437" ht="14.25" customHeight="1" spans="1:15">
      <c r="A1437" s="43" t="s">
        <v>2666</v>
      </c>
      <c r="B1437" s="44">
        <v>46234</v>
      </c>
      <c r="C1437" s="45">
        <v>0.593055555555556</v>
      </c>
      <c r="D1437" s="46">
        <f t="shared" si="0"/>
        <v>14</v>
      </c>
      <c r="E1437" s="47" t="str">
        <f t="shared" si="7"/>
        <v>Friday</v>
      </c>
      <c r="F1437" s="47" t="s">
        <v>16</v>
      </c>
      <c r="G1437" s="47" t="s">
        <v>146</v>
      </c>
      <c r="H1437" s="43" t="s">
        <v>28</v>
      </c>
      <c r="I1437" s="48">
        <v>1</v>
      </c>
      <c r="J1437" s="49">
        <v>16000</v>
      </c>
      <c r="K1437" s="49">
        <v>16000</v>
      </c>
      <c r="L1437" s="47" t="s">
        <v>32</v>
      </c>
      <c r="M1437" s="46">
        <v>0</v>
      </c>
      <c r="N1437" s="48" t="s">
        <v>23</v>
      </c>
      <c r="O1437" s="47" t="s">
        <v>33</v>
      </c>
    </row>
    <row r="1438" ht="14.25" customHeight="1" spans="1:15">
      <c r="A1438" s="43" t="s">
        <v>2668</v>
      </c>
      <c r="B1438" s="44">
        <v>46234</v>
      </c>
      <c r="C1438" s="45">
        <v>0.639583333333333</v>
      </c>
      <c r="D1438" s="46">
        <f t="shared" si="0"/>
        <v>15</v>
      </c>
      <c r="E1438" s="47" t="str">
        <f t="shared" si="7"/>
        <v>Friday</v>
      </c>
      <c r="F1438" s="47" t="s">
        <v>43</v>
      </c>
      <c r="G1438" s="47" t="s">
        <v>63</v>
      </c>
      <c r="H1438" s="43" t="s">
        <v>18</v>
      </c>
      <c r="I1438" s="48">
        <v>1</v>
      </c>
      <c r="J1438" s="49">
        <f>K1438/I1438</f>
        <v>1500</v>
      </c>
      <c r="K1438" s="49">
        <v>1500</v>
      </c>
      <c r="L1438" s="47" t="s">
        <v>22</v>
      </c>
      <c r="M1438" s="46">
        <v>0</v>
      </c>
      <c r="N1438" s="48" t="s">
        <v>23</v>
      </c>
      <c r="O1438" s="47" t="s">
        <v>73</v>
      </c>
    </row>
    <row r="1439" ht="14.25" customHeight="1" spans="1:15">
      <c r="A1439" s="43" t="s">
        <v>2670</v>
      </c>
      <c r="B1439" s="44">
        <v>46234</v>
      </c>
      <c r="C1439" s="45">
        <v>0.765972222222222</v>
      </c>
      <c r="D1439" s="46">
        <f t="shared" si="0"/>
        <v>18</v>
      </c>
      <c r="E1439" s="47" t="str">
        <f t="shared" si="7"/>
        <v>Friday</v>
      </c>
      <c r="F1439" s="47" t="s">
        <v>16</v>
      </c>
      <c r="G1439" s="47" t="s">
        <v>50</v>
      </c>
      <c r="H1439" s="43" t="s">
        <v>28</v>
      </c>
      <c r="I1439" s="48">
        <v>1</v>
      </c>
      <c r="J1439" s="49">
        <v>25000</v>
      </c>
      <c r="K1439" s="49">
        <v>25000</v>
      </c>
      <c r="L1439" s="47" t="s">
        <v>22</v>
      </c>
      <c r="M1439" s="46">
        <v>0</v>
      </c>
      <c r="N1439" s="48">
        <v>4</v>
      </c>
      <c r="O1439" s="47" t="s">
        <v>24</v>
      </c>
    </row>
    <row r="1440" ht="14.25" customHeight="1" spans="1:15">
      <c r="A1440" s="43" t="s">
        <v>2671</v>
      </c>
      <c r="B1440" s="44">
        <v>46234</v>
      </c>
      <c r="C1440" s="45">
        <v>0.799305555555556</v>
      </c>
      <c r="D1440" s="46">
        <f t="shared" si="0"/>
        <v>19</v>
      </c>
      <c r="E1440" s="47" t="str">
        <f t="shared" si="7"/>
        <v>Friday</v>
      </c>
      <c r="F1440" s="47" t="s">
        <v>43</v>
      </c>
      <c r="G1440" s="47" t="s">
        <v>50</v>
      </c>
      <c r="H1440" s="43" t="s">
        <v>28</v>
      </c>
      <c r="I1440" s="48">
        <v>1</v>
      </c>
      <c r="J1440" s="49">
        <v>25000</v>
      </c>
      <c r="K1440" s="50">
        <v>22500</v>
      </c>
      <c r="L1440" s="47" t="s">
        <v>32</v>
      </c>
      <c r="M1440" s="51">
        <v>0.1</v>
      </c>
      <c r="N1440" s="48" t="s">
        <v>23</v>
      </c>
      <c r="O1440" s="47" t="s">
        <v>33</v>
      </c>
    </row>
    <row r="1441" ht="14.25" customHeight="1" spans="1:15">
      <c r="A1441" s="43" t="s">
        <v>2673</v>
      </c>
      <c r="B1441" s="44">
        <v>46234</v>
      </c>
      <c r="C1441" s="45">
        <v>0.807638888888889</v>
      </c>
      <c r="D1441" s="46">
        <f t="shared" si="0"/>
        <v>19</v>
      </c>
      <c r="E1441" s="47" t="str">
        <f t="shared" si="7"/>
        <v>Friday</v>
      </c>
      <c r="F1441" s="47" t="s">
        <v>43</v>
      </c>
      <c r="G1441" s="43" t="s">
        <v>36</v>
      </c>
      <c r="H1441" s="43" t="s">
        <v>37</v>
      </c>
      <c r="I1441" s="48">
        <v>2</v>
      </c>
      <c r="J1441" s="49">
        <v>3000</v>
      </c>
      <c r="K1441" s="50">
        <v>5100</v>
      </c>
      <c r="L1441" s="47" t="s">
        <v>22</v>
      </c>
      <c r="M1441" s="51">
        <v>0.15</v>
      </c>
      <c r="N1441" s="48" t="s">
        <v>23</v>
      </c>
      <c r="O1441" s="47" t="s">
        <v>33</v>
      </c>
    </row>
    <row r="1442" ht="14.25" customHeight="1" spans="1:15">
      <c r="A1442" s="43" t="s">
        <v>2674</v>
      </c>
      <c r="B1442" s="44">
        <v>46234</v>
      </c>
      <c r="C1442" s="45">
        <v>0.834027777777778</v>
      </c>
      <c r="D1442" s="46">
        <f t="shared" si="0"/>
        <v>20</v>
      </c>
      <c r="E1442" s="47" t="str">
        <f t="shared" si="7"/>
        <v>Friday</v>
      </c>
      <c r="F1442" s="47" t="s">
        <v>43</v>
      </c>
      <c r="G1442" s="43" t="s">
        <v>36</v>
      </c>
      <c r="H1442" s="43" t="s">
        <v>37</v>
      </c>
      <c r="I1442" s="48">
        <v>2</v>
      </c>
      <c r="J1442" s="49">
        <v>3000</v>
      </c>
      <c r="K1442" s="49">
        <v>6000</v>
      </c>
      <c r="L1442" s="47" t="s">
        <v>32</v>
      </c>
      <c r="M1442" s="46">
        <v>0</v>
      </c>
      <c r="N1442" s="48" t="s">
        <v>23</v>
      </c>
      <c r="O1442" s="47" t="s">
        <v>24</v>
      </c>
    </row>
    <row r="1443" ht="14.25" customHeight="1" spans="1:15">
      <c r="A1443" s="43" t="s">
        <v>2675</v>
      </c>
      <c r="B1443" s="44">
        <v>46234</v>
      </c>
      <c r="C1443" s="45">
        <v>0.847916666666667</v>
      </c>
      <c r="D1443" s="46">
        <f t="shared" si="0"/>
        <v>20</v>
      </c>
      <c r="E1443" s="47" t="str">
        <f t="shared" si="7"/>
        <v>Friday</v>
      </c>
      <c r="F1443" s="47" t="s">
        <v>16</v>
      </c>
      <c r="G1443" s="43" t="s">
        <v>647</v>
      </c>
      <c r="H1443" s="43" t="s">
        <v>45</v>
      </c>
      <c r="I1443" s="48">
        <v>1</v>
      </c>
      <c r="J1443" s="49">
        <v>4500</v>
      </c>
      <c r="K1443" s="50">
        <v>4500</v>
      </c>
      <c r="L1443" s="47" t="s">
        <v>32</v>
      </c>
      <c r="M1443" s="46">
        <v>0</v>
      </c>
      <c r="N1443" s="48">
        <v>2</v>
      </c>
      <c r="O1443" s="47" t="s">
        <v>47</v>
      </c>
    </row>
    <row r="1444" ht="14.25" customHeight="1" spans="1:15">
      <c r="A1444" s="43" t="s">
        <v>2677</v>
      </c>
      <c r="B1444" s="44">
        <v>46234</v>
      </c>
      <c r="C1444" s="45">
        <v>0.854861111111111</v>
      </c>
      <c r="D1444" s="46">
        <f t="shared" si="0"/>
        <v>20</v>
      </c>
      <c r="E1444" s="47" t="str">
        <f t="shared" si="7"/>
        <v>Friday</v>
      </c>
      <c r="F1444" s="47" t="s">
        <v>16</v>
      </c>
      <c r="G1444" s="43" t="s">
        <v>36</v>
      </c>
      <c r="H1444" s="43" t="s">
        <v>37</v>
      </c>
      <c r="I1444" s="48">
        <v>1</v>
      </c>
      <c r="J1444" s="49">
        <v>3000</v>
      </c>
      <c r="K1444" s="49">
        <v>3000</v>
      </c>
      <c r="L1444" s="47" t="s">
        <v>22</v>
      </c>
      <c r="M1444" s="46">
        <v>0</v>
      </c>
      <c r="N1444" s="48">
        <v>3</v>
      </c>
      <c r="O1444" s="47" t="s">
        <v>24</v>
      </c>
    </row>
    <row r="1445" ht="14.25" customHeight="1" spans="1:15">
      <c r="A1445" s="43" t="s">
        <v>2678</v>
      </c>
      <c r="B1445" s="44">
        <v>46234</v>
      </c>
      <c r="C1445" s="45">
        <v>0.859027777777778</v>
      </c>
      <c r="D1445" s="46">
        <f t="shared" si="0"/>
        <v>20</v>
      </c>
      <c r="E1445" s="47" t="str">
        <f t="shared" si="7"/>
        <v>Friday</v>
      </c>
      <c r="F1445" s="47" t="s">
        <v>43</v>
      </c>
      <c r="G1445" s="47" t="s">
        <v>63</v>
      </c>
      <c r="H1445" s="43" t="s">
        <v>18</v>
      </c>
      <c r="I1445" s="48">
        <v>1</v>
      </c>
      <c r="J1445" s="49">
        <v>1500</v>
      </c>
      <c r="K1445" s="49">
        <v>1500</v>
      </c>
      <c r="L1445" s="47" t="s">
        <v>22</v>
      </c>
      <c r="M1445" s="46">
        <v>0</v>
      </c>
      <c r="N1445" s="48">
        <v>3</v>
      </c>
      <c r="O1445" s="47" t="s">
        <v>73</v>
      </c>
    </row>
    <row r="1446" ht="14.25" customHeight="1" spans="1:15">
      <c r="A1446" s="43" t="s">
        <v>2679</v>
      </c>
      <c r="B1446" s="44">
        <v>46234</v>
      </c>
      <c r="C1446" s="45">
        <v>0.895138888888889</v>
      </c>
      <c r="D1446" s="46">
        <f t="shared" si="0"/>
        <v>21</v>
      </c>
      <c r="E1446" s="47" t="str">
        <f t="shared" si="7"/>
        <v>Friday</v>
      </c>
      <c r="F1446" s="47" t="s">
        <v>43</v>
      </c>
      <c r="G1446" s="47" t="s">
        <v>81</v>
      </c>
      <c r="H1446" s="43" t="s">
        <v>37</v>
      </c>
      <c r="I1446" s="48">
        <v>1</v>
      </c>
      <c r="J1446" s="49">
        <v>6000</v>
      </c>
      <c r="K1446" s="49">
        <v>6000</v>
      </c>
      <c r="L1446" s="47" t="s">
        <v>22</v>
      </c>
      <c r="M1446" s="46">
        <v>0</v>
      </c>
      <c r="N1446" s="48" t="s">
        <v>23</v>
      </c>
      <c r="O1446" s="47" t="s">
        <v>40</v>
      </c>
    </row>
    <row r="1447" ht="14.25" customHeight="1" spans="1:15">
      <c r="A1447" s="43" t="s">
        <v>2680</v>
      </c>
      <c r="B1447" s="44">
        <v>46234</v>
      </c>
      <c r="C1447" s="45">
        <v>0.896527777777778</v>
      </c>
      <c r="D1447" s="46">
        <f t="shared" si="0"/>
        <v>21</v>
      </c>
      <c r="E1447" s="47" t="str">
        <f t="shared" si="7"/>
        <v>Friday</v>
      </c>
      <c r="F1447" s="47" t="s">
        <v>43</v>
      </c>
      <c r="G1447" s="47" t="s">
        <v>81</v>
      </c>
      <c r="H1447" s="43" t="str">
        <f>VLOOKUP(G1447,'02_Menu_Lookup'!$A$2:$C$16,2,FALSE)</f>
        <v>Sandwiches</v>
      </c>
      <c r="I1447" s="48">
        <v>1</v>
      </c>
      <c r="J1447" s="50">
        <v>6000</v>
      </c>
      <c r="K1447" s="50">
        <v>4800</v>
      </c>
      <c r="L1447" s="47" t="s">
        <v>32</v>
      </c>
      <c r="M1447" s="51">
        <v>0.2</v>
      </c>
      <c r="N1447" s="48">
        <v>5</v>
      </c>
      <c r="O1447" s="47" t="s">
        <v>33</v>
      </c>
    </row>
    <row r="1448" ht="14.25" customHeight="1" spans="1:15">
      <c r="A1448" s="43" t="s">
        <v>2681</v>
      </c>
      <c r="B1448" s="44">
        <v>46231</v>
      </c>
      <c r="C1448" s="45">
        <v>0.818055555555556</v>
      </c>
      <c r="D1448" s="46">
        <f t="shared" si="0"/>
        <v>19</v>
      </c>
      <c r="E1448" s="47" t="str">
        <f t="shared" si="7"/>
        <v>Tuesday</v>
      </c>
      <c r="F1448" s="47" t="s">
        <v>43</v>
      </c>
      <c r="G1448" s="47" t="s">
        <v>103</v>
      </c>
      <c r="H1448" s="43" t="s">
        <v>37</v>
      </c>
      <c r="I1448" s="48">
        <v>2</v>
      </c>
      <c r="J1448" s="49">
        <v>5000</v>
      </c>
      <c r="K1448" s="49">
        <v>10000</v>
      </c>
      <c r="L1448" s="47" t="s">
        <v>22</v>
      </c>
      <c r="M1448" s="46">
        <v>0</v>
      </c>
      <c r="N1448" s="48" t="s">
        <v>23</v>
      </c>
      <c r="O1448" s="47" t="s">
        <v>73</v>
      </c>
    </row>
    <row r="1449" ht="14.25" customHeight="1" spans="1:15">
      <c r="A1449" s="43" t="s">
        <v>2682</v>
      </c>
      <c r="B1449" s="44">
        <v>46234</v>
      </c>
      <c r="C1449" s="45">
        <v>0.922222222222222</v>
      </c>
      <c r="D1449" s="46">
        <f t="shared" si="0"/>
        <v>22</v>
      </c>
      <c r="E1449" s="47" t="str">
        <f t="shared" si="7"/>
        <v>Friday</v>
      </c>
      <c r="F1449" s="47" t="s">
        <v>43</v>
      </c>
      <c r="G1449" s="47" t="s">
        <v>63</v>
      </c>
      <c r="H1449" s="43" t="s">
        <v>18</v>
      </c>
      <c r="I1449" s="48">
        <v>2</v>
      </c>
      <c r="J1449" s="49">
        <v>1500</v>
      </c>
      <c r="K1449" s="49">
        <v>3000</v>
      </c>
      <c r="L1449" s="47" t="s">
        <v>22</v>
      </c>
      <c r="M1449" s="46">
        <v>0</v>
      </c>
      <c r="N1449" s="48" t="s">
        <v>23</v>
      </c>
      <c r="O1449" s="47" t="s">
        <v>40</v>
      </c>
    </row>
    <row r="1450" ht="14.25" customHeight="1" spans="1:15">
      <c r="A1450" s="43" t="s">
        <v>2683</v>
      </c>
      <c r="B1450" s="44">
        <v>46234</v>
      </c>
      <c r="C1450" s="45">
        <v>0.934027777777778</v>
      </c>
      <c r="D1450" s="46">
        <f t="shared" si="0"/>
        <v>22</v>
      </c>
      <c r="E1450" s="47" t="str">
        <f t="shared" si="7"/>
        <v>Friday</v>
      </c>
      <c r="F1450" s="47" t="s">
        <v>43</v>
      </c>
      <c r="G1450" s="43" t="s">
        <v>36</v>
      </c>
      <c r="H1450" s="43" t="s">
        <v>37</v>
      </c>
      <c r="I1450" s="48">
        <v>1</v>
      </c>
      <c r="J1450" s="49">
        <v>3000</v>
      </c>
      <c r="K1450" s="50">
        <v>2700</v>
      </c>
      <c r="L1450" s="47" t="s">
        <v>32</v>
      </c>
      <c r="M1450" s="51">
        <v>0.1</v>
      </c>
      <c r="N1450" s="48" t="s">
        <v>23</v>
      </c>
      <c r="O1450" s="47" t="s">
        <v>40</v>
      </c>
    </row>
    <row r="1451" ht="14.25" customHeight="1" spans="1:15">
      <c r="A1451" s="43" t="s">
        <v>2684</v>
      </c>
      <c r="B1451" s="44">
        <v>46234</v>
      </c>
      <c r="C1451" s="45">
        <v>0.938888888888889</v>
      </c>
      <c r="D1451" s="46">
        <f t="shared" si="0"/>
        <v>22</v>
      </c>
      <c r="E1451" s="47" t="str">
        <f t="shared" si="7"/>
        <v>Friday</v>
      </c>
      <c r="F1451" s="47" t="s">
        <v>16</v>
      </c>
      <c r="G1451" s="47" t="s">
        <v>103</v>
      </c>
      <c r="H1451" s="43" t="s">
        <v>37</v>
      </c>
      <c r="I1451" s="48">
        <v>1</v>
      </c>
      <c r="J1451" s="49">
        <v>5000</v>
      </c>
      <c r="K1451" s="49">
        <v>5000</v>
      </c>
      <c r="L1451" s="47" t="s">
        <v>22</v>
      </c>
      <c r="M1451" s="46">
        <v>0</v>
      </c>
      <c r="N1451" s="48" t="s">
        <v>23</v>
      </c>
      <c r="O1451" s="47" t="s">
        <v>40</v>
      </c>
    </row>
    <row r="1452" ht="14.25" customHeight="1" spans="1:15">
      <c r="B1452" s="53"/>
      <c r="C1452" s="54"/>
      <c r="D1452" s="55"/>
      <c r="E1452" s="47"/>
      <c r="I1452" s="55"/>
      <c r="J1452" s="56"/>
      <c r="K1452" s="56"/>
      <c r="M1452" s="46"/>
      <c r="N1452" s="55"/>
    </row>
    <row r="1453" ht="14.25" customHeight="1" spans="1:15">
      <c r="B1453" s="53"/>
      <c r="C1453" s="54"/>
      <c r="D1453" s="55"/>
      <c r="E1453" s="47"/>
      <c r="I1453" s="55"/>
      <c r="J1453" s="56"/>
      <c r="K1453" s="56"/>
      <c r="M1453" s="46"/>
      <c r="N1453" s="55"/>
    </row>
    <row r="1454" ht="14.25" customHeight="1" spans="1:15">
      <c r="B1454" s="53"/>
      <c r="C1454" s="54"/>
      <c r="D1454" s="55"/>
      <c r="E1454" s="47"/>
      <c r="I1454" s="55"/>
      <c r="J1454" s="56"/>
      <c r="K1454" s="56"/>
      <c r="M1454" s="46"/>
      <c r="N1454" s="55"/>
    </row>
    <row r="1455" ht="14.25" customHeight="1" spans="1:15">
      <c r="B1455" s="53"/>
      <c r="C1455" s="54"/>
      <c r="D1455" s="55"/>
      <c r="I1455" s="55"/>
      <c r="J1455" s="56"/>
      <c r="K1455" s="56"/>
      <c r="M1455" s="46"/>
      <c r="N1455" s="55"/>
    </row>
    <row r="1456" ht="14.25" customHeight="1" spans="1:15">
      <c r="B1456" s="53"/>
      <c r="C1456" s="54"/>
      <c r="D1456" s="55"/>
      <c r="I1456" s="55"/>
      <c r="J1456" s="56"/>
      <c r="K1456" s="56"/>
      <c r="M1456" s="46"/>
      <c r="N1456" s="55"/>
    </row>
    <row r="1457" ht="14.25" customHeight="1" spans="2:14">
      <c r="B1457" s="53"/>
      <c r="C1457" s="54"/>
      <c r="D1457" s="55"/>
      <c r="I1457" s="55"/>
      <c r="J1457" s="56"/>
      <c r="K1457" s="56"/>
      <c r="M1457" s="46"/>
      <c r="N1457" s="55"/>
    </row>
    <row r="1458" ht="14.25" customHeight="1" spans="2:14">
      <c r="B1458" s="53"/>
      <c r="C1458" s="54"/>
      <c r="D1458" s="55"/>
      <c r="I1458" s="55"/>
      <c r="J1458" s="56"/>
      <c r="K1458" s="56"/>
      <c r="M1458" s="46"/>
      <c r="N1458" s="55"/>
    </row>
    <row r="1459" ht="14.25" customHeight="1" spans="2:14">
      <c r="B1459" s="53"/>
      <c r="C1459" s="54"/>
      <c r="D1459" s="55"/>
      <c r="I1459" s="55"/>
      <c r="J1459" s="56"/>
      <c r="K1459" s="56"/>
      <c r="M1459" s="46"/>
      <c r="N1459" s="55"/>
    </row>
    <row r="1460" ht="14.25" customHeight="1" spans="2:14">
      <c r="B1460" s="53"/>
      <c r="C1460" s="54"/>
      <c r="D1460" s="55"/>
      <c r="I1460" s="55"/>
      <c r="J1460" s="56"/>
      <c r="K1460" s="56"/>
      <c r="M1460" s="46"/>
      <c r="N1460" s="55"/>
    </row>
    <row r="1461" ht="14.25" customHeight="1" spans="2:14">
      <c r="B1461" s="53"/>
      <c r="C1461" s="54"/>
      <c r="D1461" s="55"/>
      <c r="I1461" s="55"/>
      <c r="J1461" s="56"/>
      <c r="K1461" s="56"/>
      <c r="M1461" s="46"/>
      <c r="N1461" s="55"/>
    </row>
    <row r="1462" ht="14.25" customHeight="1" spans="2:14">
      <c r="B1462" s="53"/>
      <c r="C1462" s="54"/>
      <c r="D1462" s="55"/>
      <c r="I1462" s="55"/>
      <c r="J1462" s="56"/>
      <c r="K1462" s="56"/>
      <c r="M1462" s="46"/>
      <c r="N1462" s="55"/>
    </row>
    <row r="1463" ht="14.25" customHeight="1" spans="2:14">
      <c r="B1463" s="53"/>
      <c r="C1463" s="54"/>
      <c r="D1463" s="55"/>
      <c r="I1463" s="55"/>
      <c r="J1463" s="56"/>
      <c r="K1463" s="56"/>
      <c r="M1463" s="46"/>
      <c r="N1463" s="55"/>
    </row>
    <row r="1464" ht="14.25" customHeight="1" spans="2:14">
      <c r="B1464" s="53"/>
      <c r="C1464" s="54"/>
      <c r="D1464" s="55"/>
      <c r="I1464" s="55"/>
      <c r="J1464" s="56"/>
      <c r="K1464" s="56"/>
      <c r="M1464" s="46"/>
      <c r="N1464" s="55"/>
    </row>
    <row r="1465" ht="14.25" customHeight="1" spans="2:14">
      <c r="B1465" s="53"/>
      <c r="C1465" s="54"/>
      <c r="D1465" s="55"/>
      <c r="I1465" s="55"/>
      <c r="J1465" s="56"/>
      <c r="K1465" s="56"/>
      <c r="M1465" s="46"/>
      <c r="N1465" s="55"/>
    </row>
    <row r="1466" ht="14.25" customHeight="1" spans="2:14">
      <c r="B1466" s="53"/>
      <c r="C1466" s="54"/>
      <c r="D1466" s="55"/>
      <c r="I1466" s="55"/>
      <c r="J1466" s="56"/>
      <c r="K1466" s="56"/>
      <c r="M1466" s="46"/>
      <c r="N1466" s="55"/>
    </row>
    <row r="1467" ht="14.25" customHeight="1" spans="2:14">
      <c r="B1467" s="53"/>
      <c r="C1467" s="54"/>
      <c r="D1467" s="55"/>
      <c r="I1467" s="55"/>
      <c r="J1467" s="56"/>
      <c r="K1467" s="56"/>
      <c r="M1467" s="46"/>
      <c r="N1467" s="55"/>
    </row>
    <row r="1468" ht="14.25" customHeight="1" spans="2:14">
      <c r="B1468" s="53"/>
      <c r="C1468" s="54"/>
      <c r="D1468" s="55"/>
      <c r="I1468" s="55"/>
      <c r="J1468" s="56"/>
      <c r="K1468" s="56"/>
      <c r="M1468" s="46"/>
      <c r="N1468" s="55"/>
    </row>
    <row r="1469" ht="14.25" customHeight="1" spans="2:14">
      <c r="B1469" s="53"/>
      <c r="C1469" s="54"/>
      <c r="D1469" s="55"/>
      <c r="I1469" s="55"/>
      <c r="J1469" s="56"/>
      <c r="K1469" s="56"/>
      <c r="M1469" s="55"/>
      <c r="N1469" s="55"/>
    </row>
    <row r="1470" ht="14.25" customHeight="1" spans="2:14">
      <c r="B1470" s="53"/>
      <c r="C1470" s="54"/>
      <c r="D1470" s="55"/>
      <c r="I1470" s="55"/>
      <c r="J1470" s="56"/>
      <c r="K1470" s="56"/>
      <c r="M1470" s="55"/>
      <c r="N1470" s="55"/>
    </row>
    <row r="1471" ht="14.25" customHeight="1" spans="2:14">
      <c r="B1471" s="53"/>
      <c r="C1471" s="54"/>
      <c r="D1471" s="55"/>
      <c r="I1471" s="55"/>
      <c r="J1471" s="56"/>
      <c r="K1471" s="56"/>
      <c r="M1471" s="55"/>
      <c r="N1471" s="55"/>
    </row>
    <row r="1472" ht="14.25" customHeight="1" spans="2:14">
      <c r="B1472" s="53"/>
      <c r="C1472" s="54"/>
      <c r="D1472" s="55"/>
      <c r="I1472" s="55"/>
      <c r="J1472" s="56"/>
      <c r="K1472" s="56"/>
      <c r="M1472" s="55"/>
      <c r="N1472" s="55"/>
    </row>
    <row r="1473" ht="14.25" customHeight="1" spans="2:14">
      <c r="B1473" s="53"/>
      <c r="C1473" s="54"/>
      <c r="D1473" s="55"/>
      <c r="I1473" s="55"/>
      <c r="J1473" s="56"/>
      <c r="K1473" s="56"/>
      <c r="M1473" s="55"/>
      <c r="N1473" s="55"/>
    </row>
    <row r="1474" ht="14.25" customHeight="1" spans="2:14">
      <c r="B1474" s="53"/>
      <c r="C1474" s="54"/>
      <c r="D1474" s="55"/>
      <c r="I1474" s="55"/>
      <c r="J1474" s="56"/>
      <c r="K1474" s="56"/>
      <c r="M1474" s="55"/>
      <c r="N1474" s="55"/>
    </row>
    <row r="1475" ht="14.25" customHeight="1" spans="2:14">
      <c r="B1475" s="53"/>
      <c r="C1475" s="54"/>
      <c r="D1475" s="55"/>
      <c r="I1475" s="55"/>
      <c r="J1475" s="56"/>
      <c r="K1475" s="56"/>
      <c r="M1475" s="55"/>
      <c r="N1475" s="55"/>
    </row>
    <row r="1476" ht="14.25" customHeight="1" spans="2:14">
      <c r="B1476" s="53"/>
      <c r="C1476" s="54"/>
      <c r="D1476" s="55"/>
      <c r="I1476" s="55"/>
      <c r="J1476" s="56"/>
      <c r="K1476" s="56"/>
      <c r="M1476" s="55"/>
      <c r="N1476" s="55"/>
    </row>
    <row r="1477" ht="14.25" customHeight="1" spans="2:14">
      <c r="B1477" s="53"/>
      <c r="C1477" s="54"/>
      <c r="D1477" s="55"/>
      <c r="I1477" s="55"/>
      <c r="J1477" s="56"/>
      <c r="K1477" s="56"/>
      <c r="M1477" s="55"/>
      <c r="N1477" s="55"/>
    </row>
    <row r="1478" ht="14.25" customHeight="1" spans="2:14">
      <c r="B1478" s="53"/>
      <c r="C1478" s="54"/>
      <c r="D1478" s="55"/>
      <c r="I1478" s="55"/>
      <c r="J1478" s="56"/>
      <c r="K1478" s="56"/>
      <c r="M1478" s="55"/>
      <c r="N1478" s="55"/>
    </row>
    <row r="1479" ht="14.25" customHeight="1" spans="2:14">
      <c r="B1479" s="53"/>
      <c r="C1479" s="54"/>
      <c r="D1479" s="55"/>
      <c r="I1479" s="55"/>
      <c r="J1479" s="56"/>
      <c r="K1479" s="56"/>
      <c r="M1479" s="55"/>
      <c r="N1479" s="55"/>
    </row>
    <row r="1480" ht="14.25" customHeight="1" spans="2:14">
      <c r="B1480" s="53"/>
      <c r="C1480" s="54"/>
      <c r="D1480" s="55"/>
      <c r="I1480" s="55"/>
      <c r="J1480" s="56"/>
      <c r="K1480" s="56"/>
      <c r="M1480" s="55"/>
      <c r="N1480" s="55"/>
    </row>
    <row r="1481" ht="14.25" customHeight="1" spans="2:14">
      <c r="B1481" s="53"/>
      <c r="C1481" s="54"/>
      <c r="D1481" s="55"/>
      <c r="I1481" s="55"/>
      <c r="J1481" s="56"/>
      <c r="K1481" s="56"/>
      <c r="M1481" s="55"/>
      <c r="N1481" s="55"/>
    </row>
    <row r="1482" ht="14.25" customHeight="1" spans="2:14">
      <c r="B1482" s="53"/>
      <c r="C1482" s="54"/>
      <c r="D1482" s="55"/>
      <c r="I1482" s="55"/>
      <c r="J1482" s="56"/>
      <c r="K1482" s="56"/>
      <c r="M1482" s="55"/>
      <c r="N1482" s="55"/>
    </row>
    <row r="1483" ht="14.25" customHeight="1" spans="2:14">
      <c r="B1483" s="53"/>
      <c r="C1483" s="54"/>
      <c r="D1483" s="55"/>
      <c r="I1483" s="55"/>
      <c r="J1483" s="56"/>
      <c r="K1483" s="56"/>
      <c r="M1483" s="55"/>
      <c r="N1483" s="55"/>
    </row>
    <row r="1484" ht="14.25" customHeight="1" spans="2:14">
      <c r="B1484" s="53"/>
      <c r="C1484" s="54"/>
      <c r="D1484" s="55"/>
      <c r="I1484" s="55"/>
      <c r="J1484" s="56"/>
      <c r="K1484" s="56"/>
      <c r="M1484" s="55"/>
      <c r="N1484" s="55"/>
    </row>
    <row r="1485" ht="14.25" customHeight="1" spans="2:14">
      <c r="B1485" s="53"/>
      <c r="C1485" s="54"/>
      <c r="D1485" s="55"/>
      <c r="I1485" s="55"/>
      <c r="J1485" s="56"/>
      <c r="K1485" s="56"/>
      <c r="M1485" s="55"/>
      <c r="N1485" s="55"/>
    </row>
    <row r="1486" ht="14.25" customHeight="1" spans="2:14">
      <c r="B1486" s="53"/>
      <c r="C1486" s="54"/>
      <c r="D1486" s="55"/>
      <c r="I1486" s="55"/>
      <c r="J1486" s="56"/>
      <c r="K1486" s="56"/>
      <c r="M1486" s="55"/>
      <c r="N1486" s="55"/>
    </row>
    <row r="1487" ht="14.25" customHeight="1" spans="2:14">
      <c r="B1487" s="53"/>
      <c r="C1487" s="54"/>
      <c r="D1487" s="55"/>
      <c r="I1487" s="55"/>
      <c r="J1487" s="56"/>
      <c r="K1487" s="56"/>
      <c r="M1487" s="55"/>
      <c r="N1487" s="55"/>
    </row>
    <row r="1488" ht="14.25" customHeight="1" spans="2:14">
      <c r="B1488" s="53"/>
      <c r="C1488" s="54"/>
      <c r="D1488" s="55"/>
      <c r="I1488" s="55"/>
      <c r="J1488" s="56"/>
      <c r="K1488" s="56"/>
      <c r="M1488" s="55"/>
      <c r="N1488" s="55"/>
    </row>
    <row r="1489" ht="14.25" customHeight="1" spans="2:14">
      <c r="B1489" s="53"/>
      <c r="C1489" s="54"/>
      <c r="D1489" s="55"/>
      <c r="I1489" s="55"/>
      <c r="J1489" s="56"/>
      <c r="K1489" s="56"/>
      <c r="M1489" s="55"/>
      <c r="N1489" s="55"/>
    </row>
    <row r="1490" ht="14.25" customHeight="1" spans="2:14">
      <c r="B1490" s="53"/>
      <c r="C1490" s="54"/>
      <c r="D1490" s="55"/>
      <c r="I1490" s="55"/>
      <c r="J1490" s="56"/>
      <c r="K1490" s="56"/>
      <c r="M1490" s="55"/>
      <c r="N1490" s="55"/>
    </row>
    <row r="1491" ht="14.25" customHeight="1" spans="2:14">
      <c r="B1491" s="53"/>
      <c r="C1491" s="54"/>
      <c r="D1491" s="55"/>
      <c r="I1491" s="55"/>
      <c r="J1491" s="56"/>
      <c r="K1491" s="56"/>
      <c r="M1491" s="55"/>
      <c r="N1491" s="55"/>
    </row>
    <row r="1492" ht="14.25" customHeight="1" spans="2:14">
      <c r="B1492" s="53"/>
      <c r="C1492" s="54"/>
      <c r="D1492" s="55"/>
      <c r="I1492" s="55"/>
      <c r="J1492" s="56"/>
      <c r="K1492" s="56"/>
      <c r="M1492" s="55"/>
      <c r="N1492" s="55"/>
    </row>
    <row r="1493" ht="14.25" customHeight="1" spans="2:14">
      <c r="B1493" s="53"/>
      <c r="C1493" s="54"/>
      <c r="D1493" s="55"/>
      <c r="I1493" s="55"/>
      <c r="J1493" s="56"/>
      <c r="K1493" s="56"/>
      <c r="M1493" s="55"/>
      <c r="N1493" s="55"/>
    </row>
    <row r="1494" ht="14.25" customHeight="1" spans="2:14">
      <c r="B1494" s="53"/>
      <c r="C1494" s="54"/>
      <c r="D1494" s="55"/>
      <c r="I1494" s="55"/>
      <c r="J1494" s="56"/>
      <c r="K1494" s="56"/>
      <c r="M1494" s="55"/>
      <c r="N1494" s="55"/>
    </row>
    <row r="1495" ht="14.25" customHeight="1" spans="2:14">
      <c r="B1495" s="53"/>
      <c r="C1495" s="54"/>
      <c r="D1495" s="55"/>
      <c r="I1495" s="55"/>
      <c r="J1495" s="56"/>
      <c r="K1495" s="56"/>
      <c r="M1495" s="55"/>
      <c r="N1495" s="55"/>
    </row>
    <row r="1496" ht="14.25" customHeight="1" spans="2:14">
      <c r="B1496" s="53"/>
      <c r="C1496" s="54"/>
      <c r="D1496" s="55"/>
      <c r="I1496" s="55"/>
      <c r="J1496" s="56"/>
      <c r="K1496" s="56"/>
      <c r="M1496" s="55"/>
      <c r="N1496" s="55"/>
    </row>
    <row r="1497" ht="14.25" customHeight="1" spans="2:14">
      <c r="B1497" s="53"/>
      <c r="C1497" s="54"/>
      <c r="D1497" s="55"/>
      <c r="I1497" s="55"/>
      <c r="J1497" s="56"/>
      <c r="K1497" s="56"/>
      <c r="M1497" s="55"/>
      <c r="N1497" s="55"/>
    </row>
    <row r="1498" ht="14.25" customHeight="1" spans="2:14">
      <c r="B1498" s="53"/>
      <c r="C1498" s="54"/>
      <c r="D1498" s="55"/>
      <c r="I1498" s="55"/>
      <c r="J1498" s="56"/>
      <c r="K1498" s="56"/>
      <c r="M1498" s="55"/>
      <c r="N1498" s="55"/>
    </row>
    <row r="1499" ht="14.25" customHeight="1" spans="2:14">
      <c r="B1499" s="53"/>
      <c r="C1499" s="54"/>
      <c r="D1499" s="55"/>
      <c r="I1499" s="55"/>
      <c r="J1499" s="56"/>
      <c r="K1499" s="56"/>
      <c r="M1499" s="55"/>
      <c r="N1499" s="55"/>
    </row>
    <row r="1500" ht="14.25" customHeight="1" spans="2:14">
      <c r="B1500" s="57"/>
      <c r="C1500" s="54"/>
      <c r="D1500" s="55"/>
      <c r="I1500" s="55"/>
      <c r="J1500" s="56"/>
      <c r="K1500" s="56"/>
      <c r="M1500" s="55"/>
      <c r="N1500" s="55"/>
    </row>
    <row r="1501" ht="14.25" customHeight="1" spans="2:14">
      <c r="B1501" s="57"/>
      <c r="C1501" s="54"/>
      <c r="D1501" s="55"/>
      <c r="I1501" s="55"/>
      <c r="J1501" s="56"/>
      <c r="K1501" s="56"/>
      <c r="M1501" s="55"/>
      <c r="N1501" s="55"/>
    </row>
    <row r="1502" ht="14.25" customHeight="1" spans="2:14">
      <c r="B1502" s="57"/>
      <c r="C1502" s="54"/>
      <c r="D1502" s="55"/>
      <c r="I1502" s="55"/>
      <c r="J1502" s="56"/>
      <c r="K1502" s="56"/>
      <c r="M1502" s="55"/>
      <c r="N1502" s="55"/>
    </row>
    <row r="1503" ht="14.25" customHeight="1" spans="2:14">
      <c r="B1503" s="57"/>
      <c r="C1503" s="54"/>
      <c r="D1503" s="55"/>
      <c r="I1503" s="55"/>
      <c r="J1503" s="56"/>
      <c r="K1503" s="56"/>
      <c r="M1503" s="55"/>
      <c r="N1503" s="55"/>
    </row>
    <row r="1504" ht="14.25" customHeight="1" spans="2:14">
      <c r="B1504" s="57"/>
      <c r="C1504" s="54"/>
      <c r="D1504" s="55"/>
      <c r="I1504" s="55"/>
      <c r="J1504" s="56"/>
      <c r="K1504" s="56"/>
      <c r="M1504" s="55"/>
      <c r="N1504" s="55"/>
    </row>
    <row r="1505" ht="14.25" customHeight="1" spans="2:14">
      <c r="B1505" s="57"/>
      <c r="C1505" s="54"/>
      <c r="D1505" s="55"/>
      <c r="I1505" s="55"/>
      <c r="J1505" s="56"/>
      <c r="K1505" s="56"/>
      <c r="M1505" s="55"/>
      <c r="N1505" s="55"/>
    </row>
    <row r="1506" ht="14.25" customHeight="1" spans="2:14">
      <c r="B1506" s="57"/>
      <c r="C1506" s="54"/>
      <c r="D1506" s="55"/>
      <c r="I1506" s="55"/>
      <c r="J1506" s="56"/>
      <c r="K1506" s="56"/>
      <c r="M1506" s="55"/>
      <c r="N1506" s="55"/>
    </row>
    <row r="1507" ht="14.25" customHeight="1" spans="2:14">
      <c r="B1507" s="57"/>
      <c r="C1507" s="54"/>
      <c r="D1507" s="55"/>
      <c r="I1507" s="55"/>
      <c r="J1507" s="56"/>
      <c r="K1507" s="56"/>
      <c r="M1507" s="55"/>
      <c r="N1507" s="55"/>
    </row>
    <row r="1508" ht="14.25" customHeight="1" spans="2:14">
      <c r="B1508" s="57"/>
      <c r="C1508" s="54"/>
      <c r="D1508" s="55"/>
      <c r="I1508" s="55"/>
      <c r="J1508" s="56"/>
      <c r="K1508" s="56"/>
      <c r="M1508" s="55"/>
      <c r="N1508" s="55"/>
    </row>
    <row r="1509" ht="14.25" customHeight="1" spans="2:14">
      <c r="B1509" s="57"/>
      <c r="C1509" s="54"/>
      <c r="D1509" s="55"/>
      <c r="I1509" s="55"/>
      <c r="J1509" s="56"/>
      <c r="K1509" s="56"/>
      <c r="M1509" s="55"/>
      <c r="N1509" s="55"/>
    </row>
    <row r="1510" ht="14.25" customHeight="1" spans="2:14">
      <c r="B1510" s="57"/>
      <c r="C1510" s="54"/>
      <c r="D1510" s="55"/>
      <c r="I1510" s="55"/>
      <c r="J1510" s="56"/>
      <c r="K1510" s="56"/>
      <c r="M1510" s="55"/>
      <c r="N1510" s="55"/>
    </row>
    <row r="1511" ht="14.25" customHeight="1" spans="2:14">
      <c r="B1511" s="57"/>
      <c r="C1511" s="54"/>
      <c r="D1511" s="55"/>
      <c r="I1511" s="55"/>
      <c r="J1511" s="56"/>
      <c r="K1511" s="56"/>
      <c r="M1511" s="55"/>
      <c r="N1511" s="55"/>
    </row>
    <row r="1512" ht="14.25" customHeight="1" spans="2:14">
      <c r="B1512" s="57"/>
      <c r="C1512" s="54"/>
      <c r="D1512" s="55"/>
      <c r="I1512" s="55"/>
      <c r="J1512" s="56"/>
      <c r="K1512" s="56"/>
      <c r="M1512" s="55"/>
      <c r="N1512" s="55"/>
    </row>
    <row r="1513" ht="14.25" customHeight="1" spans="2:14">
      <c r="B1513" s="57"/>
      <c r="C1513" s="54"/>
      <c r="D1513" s="55"/>
      <c r="I1513" s="55"/>
      <c r="J1513" s="56"/>
      <c r="K1513" s="56"/>
      <c r="M1513" s="55"/>
      <c r="N1513" s="55"/>
    </row>
    <row r="1514" ht="14.25" customHeight="1" spans="2:14">
      <c r="B1514" s="57"/>
      <c r="C1514" s="54"/>
      <c r="D1514" s="55"/>
      <c r="I1514" s="55"/>
      <c r="J1514" s="56"/>
      <c r="K1514" s="56"/>
      <c r="M1514" s="55"/>
      <c r="N1514" s="55"/>
    </row>
    <row r="1515" ht="14.25" customHeight="1" spans="2:14">
      <c r="B1515" s="57"/>
      <c r="C1515" s="54"/>
      <c r="D1515" s="55"/>
      <c r="I1515" s="55"/>
      <c r="J1515" s="56"/>
      <c r="K1515" s="56"/>
      <c r="M1515" s="55"/>
      <c r="N1515" s="55"/>
    </row>
    <row r="1516" ht="14.25" customHeight="1" spans="2:14">
      <c r="B1516" s="57"/>
      <c r="C1516" s="54"/>
      <c r="D1516" s="55"/>
      <c r="I1516" s="55"/>
      <c r="J1516" s="56"/>
      <c r="K1516" s="56"/>
      <c r="M1516" s="55"/>
      <c r="N1516" s="55"/>
    </row>
    <row r="1517" ht="14.25" customHeight="1" spans="2:14">
      <c r="B1517" s="57"/>
      <c r="C1517" s="54"/>
      <c r="D1517" s="55"/>
      <c r="I1517" s="55"/>
      <c r="J1517" s="56"/>
      <c r="K1517" s="56"/>
      <c r="M1517" s="55"/>
      <c r="N1517" s="55"/>
    </row>
    <row r="1518" ht="14.25" customHeight="1" spans="2:14">
      <c r="B1518" s="57"/>
      <c r="C1518" s="54"/>
      <c r="D1518" s="55"/>
      <c r="I1518" s="55"/>
      <c r="J1518" s="56"/>
      <c r="K1518" s="56"/>
      <c r="M1518" s="55"/>
      <c r="N1518" s="55"/>
    </row>
    <row r="1519" ht="14.25" customHeight="1" spans="2:14">
      <c r="B1519" s="57"/>
      <c r="C1519" s="54"/>
      <c r="D1519" s="55"/>
      <c r="I1519" s="55"/>
      <c r="J1519" s="56"/>
      <c r="K1519" s="56"/>
      <c r="M1519" s="55"/>
      <c r="N1519" s="55"/>
    </row>
    <row r="1520" ht="14.25" customHeight="1" spans="2:14">
      <c r="B1520" s="57"/>
      <c r="C1520" s="54"/>
      <c r="D1520" s="55"/>
      <c r="I1520" s="55"/>
      <c r="J1520" s="56"/>
      <c r="K1520" s="56"/>
      <c r="M1520" s="55"/>
      <c r="N1520" s="55"/>
    </row>
    <row r="1521" ht="14.25" customHeight="1" spans="2:14">
      <c r="B1521" s="57"/>
      <c r="C1521" s="54"/>
      <c r="D1521" s="55"/>
      <c r="I1521" s="55"/>
      <c r="J1521" s="56"/>
      <c r="K1521" s="56"/>
      <c r="M1521" s="55"/>
      <c r="N1521" s="55"/>
    </row>
    <row r="1522" ht="14.25" customHeight="1" spans="2:14">
      <c r="B1522" s="57"/>
      <c r="C1522" s="54"/>
      <c r="D1522" s="55"/>
      <c r="I1522" s="55"/>
      <c r="J1522" s="56"/>
      <c r="K1522" s="56"/>
      <c r="M1522" s="55"/>
      <c r="N1522" s="55"/>
    </row>
    <row r="1523" ht="14.25" customHeight="1" spans="2:14">
      <c r="B1523" s="57"/>
      <c r="C1523" s="54"/>
      <c r="D1523" s="55"/>
      <c r="I1523" s="55"/>
      <c r="J1523" s="56"/>
      <c r="K1523" s="56"/>
      <c r="M1523" s="55"/>
      <c r="N1523" s="55"/>
    </row>
    <row r="1524" ht="14.25" customHeight="1" spans="2:14">
      <c r="B1524" s="57"/>
      <c r="C1524" s="54"/>
      <c r="D1524" s="55"/>
      <c r="I1524" s="55"/>
      <c r="J1524" s="56"/>
      <c r="K1524" s="56"/>
      <c r="M1524" s="55"/>
      <c r="N1524" s="55"/>
    </row>
    <row r="1525" ht="14.25" customHeight="1" spans="2:14">
      <c r="B1525" s="57"/>
      <c r="C1525" s="54"/>
      <c r="D1525" s="55"/>
      <c r="I1525" s="55"/>
      <c r="J1525" s="56"/>
      <c r="K1525" s="56"/>
      <c r="M1525" s="55"/>
      <c r="N1525" s="55"/>
    </row>
    <row r="1526" ht="14.25" customHeight="1" spans="2:14">
      <c r="B1526" s="57"/>
      <c r="C1526" s="54"/>
      <c r="D1526" s="55"/>
      <c r="I1526" s="55"/>
      <c r="J1526" s="56"/>
      <c r="K1526" s="56"/>
      <c r="M1526" s="55"/>
      <c r="N1526" s="55"/>
    </row>
    <row r="1527" ht="14.25" customHeight="1" spans="2:14">
      <c r="B1527" s="57"/>
      <c r="C1527" s="54"/>
      <c r="D1527" s="55"/>
      <c r="I1527" s="55"/>
      <c r="J1527" s="56"/>
      <c r="K1527" s="56"/>
      <c r="M1527" s="55"/>
      <c r="N1527" s="55"/>
    </row>
    <row r="1528" ht="14.25" customHeight="1" spans="2:14">
      <c r="B1528" s="57"/>
      <c r="C1528" s="54"/>
      <c r="D1528" s="55"/>
      <c r="I1528" s="55"/>
      <c r="J1528" s="56"/>
      <c r="K1528" s="56"/>
      <c r="M1528" s="55"/>
      <c r="N1528" s="55"/>
    </row>
    <row r="1529" ht="14.25" customHeight="1" spans="2:14">
      <c r="B1529" s="57"/>
      <c r="C1529" s="54"/>
      <c r="D1529" s="55"/>
      <c r="I1529" s="55"/>
      <c r="J1529" s="56"/>
      <c r="K1529" s="56"/>
      <c r="M1529" s="55"/>
      <c r="N1529" s="55"/>
    </row>
    <row r="1530" ht="14.25" customHeight="1" spans="2:14">
      <c r="B1530" s="57"/>
      <c r="C1530" s="54"/>
      <c r="D1530" s="55"/>
      <c r="I1530" s="55"/>
      <c r="J1530" s="56"/>
      <c r="K1530" s="56"/>
      <c r="M1530" s="55"/>
      <c r="N1530" s="55"/>
    </row>
    <row r="1531" ht="14.25" customHeight="1" spans="2:14">
      <c r="B1531" s="57"/>
      <c r="C1531" s="54"/>
      <c r="D1531" s="55"/>
      <c r="I1531" s="55"/>
      <c r="J1531" s="56"/>
      <c r="K1531" s="56"/>
      <c r="M1531" s="55"/>
      <c r="N1531" s="55"/>
    </row>
    <row r="1532" ht="14.25" customHeight="1" spans="2:14">
      <c r="B1532" s="57"/>
      <c r="C1532" s="54"/>
      <c r="D1532" s="55"/>
      <c r="I1532" s="55"/>
      <c r="J1532" s="56"/>
      <c r="K1532" s="56"/>
      <c r="M1532" s="55"/>
      <c r="N1532" s="55"/>
    </row>
    <row r="1533" ht="14.25" customHeight="1" spans="2:14">
      <c r="B1533" s="57"/>
      <c r="C1533" s="54"/>
      <c r="D1533" s="55"/>
      <c r="I1533" s="55"/>
      <c r="J1533" s="56"/>
      <c r="K1533" s="56"/>
      <c r="M1533" s="55"/>
      <c r="N1533" s="55"/>
    </row>
    <row r="1534" ht="14.25" customHeight="1" spans="2:14">
      <c r="B1534" s="57"/>
      <c r="C1534" s="54"/>
      <c r="D1534" s="55"/>
      <c r="I1534" s="55"/>
      <c r="J1534" s="56"/>
      <c r="K1534" s="56"/>
      <c r="M1534" s="55"/>
      <c r="N1534" s="55"/>
    </row>
    <row r="1535" ht="14.25" customHeight="1" spans="2:14">
      <c r="B1535" s="57"/>
      <c r="C1535" s="54"/>
      <c r="D1535" s="55"/>
      <c r="I1535" s="55"/>
      <c r="J1535" s="56"/>
      <c r="K1535" s="56"/>
      <c r="M1535" s="55"/>
      <c r="N1535" s="55"/>
    </row>
    <row r="1536" ht="14.25" customHeight="1" spans="2:14">
      <c r="B1536" s="57"/>
      <c r="C1536" s="54"/>
      <c r="D1536" s="55"/>
      <c r="I1536" s="55"/>
      <c r="J1536" s="56"/>
      <c r="K1536" s="56"/>
      <c r="M1536" s="55"/>
      <c r="N1536" s="55"/>
    </row>
    <row r="1537" ht="14.25" customHeight="1" spans="2:14">
      <c r="B1537" s="57"/>
      <c r="C1537" s="54"/>
      <c r="D1537" s="55"/>
      <c r="I1537" s="55"/>
      <c r="J1537" s="56"/>
      <c r="K1537" s="56"/>
      <c r="M1537" s="55"/>
      <c r="N1537" s="55"/>
    </row>
    <row r="1538" ht="14.25" customHeight="1" spans="2:14">
      <c r="B1538" s="57"/>
      <c r="C1538" s="54"/>
      <c r="D1538" s="55"/>
      <c r="I1538" s="55"/>
      <c r="J1538" s="56"/>
      <c r="K1538" s="56"/>
      <c r="M1538" s="55"/>
      <c r="N1538" s="55"/>
    </row>
    <row r="1539" ht="14.25" customHeight="1" spans="2:14">
      <c r="B1539" s="57"/>
      <c r="C1539" s="54"/>
      <c r="D1539" s="55"/>
      <c r="I1539" s="55"/>
      <c r="J1539" s="56"/>
      <c r="K1539" s="56"/>
      <c r="M1539" s="55"/>
      <c r="N1539" s="55"/>
    </row>
    <row r="1540" ht="14.25" customHeight="1" spans="2:14">
      <c r="B1540" s="57"/>
      <c r="C1540" s="54"/>
      <c r="D1540" s="55"/>
      <c r="I1540" s="55"/>
      <c r="J1540" s="56"/>
      <c r="K1540" s="56"/>
      <c r="M1540" s="55"/>
      <c r="N1540" s="55"/>
    </row>
    <row r="1541" ht="14.25" customHeight="1" spans="2:14">
      <c r="B1541" s="57"/>
      <c r="C1541" s="54"/>
      <c r="D1541" s="55"/>
      <c r="I1541" s="55"/>
      <c r="J1541" s="56"/>
      <c r="K1541" s="56"/>
      <c r="M1541" s="55"/>
      <c r="N1541" s="55"/>
    </row>
    <row r="1542" ht="14.25" customHeight="1" spans="2:14">
      <c r="B1542" s="57"/>
      <c r="C1542" s="54"/>
      <c r="D1542" s="55"/>
      <c r="I1542" s="55"/>
      <c r="J1542" s="56"/>
      <c r="K1542" s="56"/>
      <c r="M1542" s="55"/>
      <c r="N1542" s="55"/>
    </row>
    <row r="1543" ht="14.25" customHeight="1" spans="2:14">
      <c r="B1543" s="57"/>
      <c r="C1543" s="54"/>
      <c r="D1543" s="55"/>
      <c r="I1543" s="55"/>
      <c r="J1543" s="56"/>
      <c r="K1543" s="56"/>
      <c r="M1543" s="55"/>
      <c r="N1543" s="55"/>
    </row>
    <row r="1544" ht="14.25" customHeight="1" spans="2:14">
      <c r="B1544" s="57"/>
      <c r="C1544" s="54"/>
      <c r="D1544" s="55"/>
      <c r="I1544" s="55"/>
      <c r="J1544" s="56"/>
      <c r="K1544" s="56"/>
      <c r="M1544" s="55"/>
      <c r="N1544" s="55"/>
    </row>
    <row r="1545" ht="14.25" customHeight="1" spans="2:14">
      <c r="B1545" s="57"/>
      <c r="C1545" s="54"/>
      <c r="D1545" s="55"/>
      <c r="I1545" s="55"/>
      <c r="J1545" s="56"/>
      <c r="K1545" s="56"/>
      <c r="M1545" s="55"/>
      <c r="N1545" s="55"/>
    </row>
    <row r="1546" ht="14.25" customHeight="1" spans="2:14">
      <c r="B1546" s="57"/>
      <c r="C1546" s="54"/>
      <c r="D1546" s="55"/>
      <c r="I1546" s="55"/>
      <c r="J1546" s="56"/>
      <c r="K1546" s="56"/>
      <c r="M1546" s="55"/>
      <c r="N1546" s="55"/>
    </row>
    <row r="1547" ht="14.25" customHeight="1" spans="2:14">
      <c r="B1547" s="57"/>
      <c r="C1547" s="54"/>
      <c r="D1547" s="55"/>
      <c r="I1547" s="55"/>
      <c r="J1547" s="56"/>
      <c r="K1547" s="56"/>
      <c r="M1547" s="55"/>
      <c r="N1547" s="55"/>
    </row>
    <row r="1548" ht="14.25" customHeight="1" spans="2:14">
      <c r="B1548" s="57"/>
      <c r="C1548" s="54"/>
      <c r="D1548" s="55"/>
      <c r="I1548" s="55"/>
      <c r="J1548" s="56"/>
      <c r="K1548" s="56"/>
      <c r="M1548" s="55"/>
      <c r="N1548" s="55"/>
    </row>
    <row r="1549" ht="14.25" customHeight="1" spans="2:14">
      <c r="B1549" s="57"/>
      <c r="C1549" s="54"/>
      <c r="D1549" s="55"/>
      <c r="I1549" s="55"/>
      <c r="J1549" s="56"/>
      <c r="K1549" s="56"/>
      <c r="M1549" s="55"/>
      <c r="N1549" s="55"/>
    </row>
    <row r="1550" ht="14.25" customHeight="1" spans="2:14">
      <c r="B1550" s="57"/>
      <c r="C1550" s="54"/>
      <c r="D1550" s="55"/>
      <c r="I1550" s="55"/>
      <c r="J1550" s="56"/>
      <c r="K1550" s="56"/>
      <c r="M1550" s="55"/>
      <c r="N1550" s="55"/>
    </row>
    <row r="1551" ht="14.25" customHeight="1" spans="2:14">
      <c r="B1551" s="57"/>
      <c r="C1551" s="54"/>
      <c r="D1551" s="55"/>
      <c r="I1551" s="55"/>
      <c r="J1551" s="56"/>
      <c r="K1551" s="56"/>
      <c r="M1551" s="55"/>
      <c r="N1551" s="55"/>
    </row>
    <row r="1552" ht="14.25" customHeight="1" spans="2:14">
      <c r="B1552" s="57"/>
      <c r="C1552" s="54"/>
      <c r="D1552" s="55"/>
      <c r="I1552" s="55"/>
      <c r="J1552" s="56"/>
      <c r="K1552" s="56"/>
      <c r="M1552" s="55"/>
      <c r="N1552" s="55"/>
    </row>
    <row r="1553" ht="14.25" customHeight="1" spans="2:14">
      <c r="B1553" s="57"/>
      <c r="C1553" s="54"/>
      <c r="D1553" s="55"/>
      <c r="I1553" s="55"/>
      <c r="J1553" s="56"/>
      <c r="K1553" s="56"/>
      <c r="M1553" s="55"/>
      <c r="N1553" s="55"/>
    </row>
    <row r="1554" ht="14.25" customHeight="1" spans="2:14">
      <c r="B1554" s="57"/>
      <c r="C1554" s="54"/>
      <c r="D1554" s="55"/>
      <c r="I1554" s="55"/>
      <c r="J1554" s="56"/>
      <c r="K1554" s="56"/>
      <c r="M1554" s="55"/>
      <c r="N1554" s="55"/>
    </row>
    <row r="1555" ht="14.25" customHeight="1" spans="2:14">
      <c r="B1555" s="57"/>
      <c r="C1555" s="54"/>
      <c r="D1555" s="55"/>
      <c r="I1555" s="55"/>
      <c r="J1555" s="56"/>
      <c r="K1555" s="56"/>
      <c r="M1555" s="55"/>
      <c r="N1555" s="55"/>
    </row>
    <row r="1556" ht="14.25" customHeight="1" spans="2:14">
      <c r="B1556" s="57"/>
      <c r="C1556" s="54"/>
      <c r="D1556" s="55"/>
      <c r="I1556" s="55"/>
      <c r="J1556" s="56"/>
      <c r="K1556" s="56"/>
      <c r="M1556" s="55"/>
      <c r="N1556" s="55"/>
    </row>
    <row r="1557" ht="14.25" customHeight="1" spans="2:14">
      <c r="B1557" s="57"/>
      <c r="C1557" s="54"/>
      <c r="D1557" s="55"/>
      <c r="I1557" s="55"/>
      <c r="J1557" s="56"/>
      <c r="K1557" s="56"/>
      <c r="M1557" s="55"/>
      <c r="N1557" s="55"/>
    </row>
    <row r="1558" ht="14.25" customHeight="1" spans="2:14">
      <c r="B1558" s="57"/>
      <c r="C1558" s="54"/>
      <c r="D1558" s="55"/>
      <c r="I1558" s="55"/>
      <c r="J1558" s="56"/>
      <c r="K1558" s="56"/>
      <c r="M1558" s="55"/>
      <c r="N1558" s="55"/>
    </row>
    <row r="1559" ht="14.25" customHeight="1" spans="2:14">
      <c r="B1559" s="57"/>
      <c r="C1559" s="54"/>
      <c r="D1559" s="55"/>
      <c r="I1559" s="55"/>
      <c r="J1559" s="56"/>
      <c r="K1559" s="56"/>
      <c r="M1559" s="55"/>
      <c r="N1559" s="55"/>
    </row>
    <row r="1560" ht="14.25" customHeight="1" spans="2:14">
      <c r="B1560" s="57"/>
      <c r="C1560" s="54"/>
      <c r="D1560" s="55"/>
      <c r="I1560" s="55"/>
      <c r="J1560" s="56"/>
      <c r="K1560" s="56"/>
      <c r="M1560" s="55"/>
      <c r="N1560" s="55"/>
    </row>
    <row r="1561" ht="14.25" customHeight="1" spans="2:14">
      <c r="B1561" s="57"/>
      <c r="C1561" s="54"/>
      <c r="D1561" s="55"/>
      <c r="I1561" s="55"/>
      <c r="J1561" s="56"/>
      <c r="K1561" s="56"/>
      <c r="M1561" s="55"/>
      <c r="N1561" s="55"/>
    </row>
    <row r="1562" ht="14.25" customHeight="1" spans="2:14">
      <c r="B1562" s="57"/>
      <c r="C1562" s="54"/>
      <c r="D1562" s="55"/>
      <c r="I1562" s="55"/>
      <c r="J1562" s="56"/>
      <c r="K1562" s="56"/>
      <c r="M1562" s="55"/>
      <c r="N1562" s="55"/>
    </row>
    <row r="1563" ht="14.25" customHeight="1" spans="2:14">
      <c r="B1563" s="57"/>
      <c r="C1563" s="54"/>
      <c r="D1563" s="55"/>
      <c r="I1563" s="55"/>
      <c r="J1563" s="56"/>
      <c r="K1563" s="56"/>
      <c r="M1563" s="55"/>
      <c r="N1563" s="55"/>
    </row>
    <row r="1564" ht="14.25" customHeight="1" spans="2:14">
      <c r="B1564" s="57"/>
      <c r="C1564" s="54"/>
      <c r="D1564" s="55"/>
      <c r="I1564" s="55"/>
      <c r="J1564" s="56"/>
      <c r="K1564" s="56"/>
      <c r="M1564" s="55"/>
      <c r="N1564" s="55"/>
    </row>
    <row r="1565" ht="14.25" customHeight="1" spans="2:14">
      <c r="B1565" s="57"/>
      <c r="C1565" s="54"/>
      <c r="D1565" s="55"/>
      <c r="I1565" s="55"/>
      <c r="J1565" s="56"/>
      <c r="K1565" s="56"/>
      <c r="M1565" s="55"/>
      <c r="N1565" s="55"/>
    </row>
    <row r="1566" ht="14.25" customHeight="1" spans="2:14">
      <c r="B1566" s="57"/>
      <c r="C1566" s="54"/>
      <c r="D1566" s="55"/>
      <c r="I1566" s="55"/>
      <c r="J1566" s="56"/>
      <c r="K1566" s="56"/>
      <c r="M1566" s="55"/>
      <c r="N1566" s="55"/>
    </row>
    <row r="1567" ht="14.25" customHeight="1" spans="2:14">
      <c r="B1567" s="57"/>
      <c r="C1567" s="54"/>
      <c r="D1567" s="55"/>
      <c r="I1567" s="55"/>
      <c r="J1567" s="56"/>
      <c r="K1567" s="56"/>
      <c r="M1567" s="55"/>
      <c r="N1567" s="55"/>
    </row>
    <row r="1568" ht="14.25" customHeight="1" spans="2:14">
      <c r="B1568" s="57"/>
      <c r="C1568" s="54"/>
      <c r="D1568" s="55"/>
      <c r="I1568" s="55"/>
      <c r="J1568" s="56"/>
      <c r="K1568" s="56"/>
      <c r="M1568" s="55"/>
      <c r="N1568" s="55"/>
    </row>
    <row r="1569" ht="14.25" customHeight="1" spans="2:14">
      <c r="B1569" s="57"/>
      <c r="C1569" s="54"/>
      <c r="D1569" s="55"/>
      <c r="I1569" s="55"/>
      <c r="J1569" s="56"/>
      <c r="K1569" s="56"/>
      <c r="M1569" s="55"/>
      <c r="N1569" s="55"/>
    </row>
    <row r="1570" ht="14.25" customHeight="1" spans="2:14">
      <c r="B1570" s="57"/>
      <c r="C1570" s="54"/>
      <c r="D1570" s="55"/>
      <c r="I1570" s="55"/>
      <c r="J1570" s="56"/>
      <c r="K1570" s="56"/>
      <c r="M1570" s="55"/>
      <c r="N1570" s="55"/>
    </row>
    <row r="1571" ht="14.25" customHeight="1" spans="2:14">
      <c r="B1571" s="57"/>
      <c r="C1571" s="54"/>
      <c r="D1571" s="55"/>
      <c r="I1571" s="55"/>
      <c r="J1571" s="56"/>
      <c r="K1571" s="56"/>
      <c r="M1571" s="55"/>
      <c r="N1571" s="55"/>
    </row>
    <row r="1572" ht="14.25" customHeight="1" spans="2:14">
      <c r="B1572" s="57"/>
      <c r="C1572" s="54"/>
      <c r="D1572" s="55"/>
      <c r="I1572" s="55"/>
      <c r="J1572" s="56"/>
      <c r="K1572" s="56"/>
      <c r="M1572" s="55"/>
      <c r="N1572" s="55"/>
    </row>
    <row r="1573" ht="14.25" customHeight="1" spans="2:14">
      <c r="B1573" s="57"/>
      <c r="C1573" s="54"/>
      <c r="D1573" s="55"/>
      <c r="I1573" s="55"/>
      <c r="J1573" s="56"/>
      <c r="K1573" s="56"/>
      <c r="M1573" s="55"/>
      <c r="N1573" s="55"/>
    </row>
    <row r="1574" ht="14.25" customHeight="1" spans="2:14">
      <c r="B1574" s="57"/>
      <c r="C1574" s="54"/>
      <c r="D1574" s="55"/>
      <c r="I1574" s="55"/>
      <c r="J1574" s="56"/>
      <c r="K1574" s="56"/>
      <c r="M1574" s="55"/>
      <c r="N1574" s="55"/>
    </row>
    <row r="1575" ht="14.25" customHeight="1" spans="2:14">
      <c r="B1575" s="57"/>
      <c r="C1575" s="54"/>
      <c r="D1575" s="55"/>
      <c r="I1575" s="55"/>
      <c r="J1575" s="56"/>
      <c r="K1575" s="56"/>
      <c r="M1575" s="55"/>
      <c r="N1575" s="55"/>
    </row>
    <row r="1576" ht="14.25" customHeight="1" spans="2:14">
      <c r="B1576" s="57"/>
      <c r="C1576" s="54"/>
      <c r="D1576" s="55"/>
      <c r="I1576" s="55"/>
      <c r="J1576" s="56"/>
      <c r="K1576" s="56"/>
      <c r="M1576" s="55"/>
      <c r="N1576" s="55"/>
    </row>
    <row r="1577" ht="14.25" customHeight="1" spans="2:14">
      <c r="B1577" s="57"/>
      <c r="C1577" s="54"/>
      <c r="D1577" s="55"/>
      <c r="I1577" s="55"/>
      <c r="J1577" s="56"/>
      <c r="K1577" s="56"/>
      <c r="M1577" s="55"/>
      <c r="N1577" s="55"/>
    </row>
    <row r="1578" ht="14.25" customHeight="1" spans="2:14">
      <c r="B1578" s="57"/>
      <c r="C1578" s="54"/>
      <c r="D1578" s="55"/>
      <c r="I1578" s="55"/>
      <c r="J1578" s="56"/>
      <c r="K1578" s="56"/>
      <c r="M1578" s="55"/>
      <c r="N1578" s="55"/>
    </row>
    <row r="1579" ht="14.25" customHeight="1" spans="2:14">
      <c r="B1579" s="57"/>
      <c r="C1579" s="54"/>
      <c r="D1579" s="55"/>
      <c r="I1579" s="55"/>
      <c r="J1579" s="56"/>
      <c r="K1579" s="56"/>
      <c r="M1579" s="55"/>
      <c r="N1579" s="55"/>
    </row>
    <row r="1580" ht="14.25" customHeight="1" spans="2:14">
      <c r="B1580" s="57"/>
      <c r="C1580" s="54"/>
      <c r="D1580" s="55"/>
      <c r="I1580" s="55"/>
      <c r="J1580" s="56"/>
      <c r="K1580" s="56"/>
      <c r="M1580" s="55"/>
      <c r="N1580" s="55"/>
    </row>
    <row r="1581" ht="14.25" customHeight="1" spans="2:14">
      <c r="B1581" s="57"/>
      <c r="C1581" s="54"/>
      <c r="D1581" s="55"/>
      <c r="I1581" s="55"/>
      <c r="J1581" s="56"/>
      <c r="K1581" s="56"/>
      <c r="M1581" s="55"/>
      <c r="N1581" s="55"/>
    </row>
    <row r="1582" ht="14.25" customHeight="1" spans="2:14">
      <c r="B1582" s="57"/>
      <c r="C1582" s="54"/>
      <c r="D1582" s="55"/>
      <c r="I1582" s="55"/>
      <c r="J1582" s="56"/>
      <c r="K1582" s="56"/>
      <c r="M1582" s="55"/>
      <c r="N1582" s="55"/>
    </row>
    <row r="1583" ht="14.25" customHeight="1" spans="2:14">
      <c r="B1583" s="57"/>
      <c r="C1583" s="54"/>
      <c r="D1583" s="55"/>
      <c r="I1583" s="55"/>
      <c r="J1583" s="56"/>
      <c r="K1583" s="56"/>
      <c r="M1583" s="55"/>
      <c r="N1583" s="55"/>
    </row>
    <row r="1584" ht="14.25" customHeight="1" spans="2:14">
      <c r="B1584" s="57"/>
      <c r="C1584" s="54"/>
      <c r="D1584" s="55"/>
      <c r="I1584" s="55"/>
      <c r="J1584" s="56"/>
      <c r="K1584" s="56"/>
      <c r="M1584" s="55"/>
      <c r="N1584" s="55"/>
    </row>
    <row r="1585" ht="14.25" customHeight="1" spans="2:14">
      <c r="B1585" s="57"/>
      <c r="C1585" s="54"/>
      <c r="D1585" s="55"/>
      <c r="I1585" s="55"/>
      <c r="J1585" s="56"/>
      <c r="K1585" s="56"/>
      <c r="M1585" s="55"/>
      <c r="N1585" s="55"/>
    </row>
    <row r="1586" ht="14.25" customHeight="1" spans="2:14">
      <c r="B1586" s="57"/>
      <c r="C1586" s="54"/>
      <c r="D1586" s="55"/>
      <c r="I1586" s="55"/>
      <c r="J1586" s="56"/>
      <c r="K1586" s="56"/>
      <c r="M1586" s="55"/>
      <c r="N1586" s="55"/>
    </row>
    <row r="1587" ht="14.25" customHeight="1" spans="2:14">
      <c r="B1587" s="57"/>
      <c r="C1587" s="54"/>
      <c r="D1587" s="55"/>
      <c r="I1587" s="55"/>
      <c r="J1587" s="56"/>
      <c r="K1587" s="56"/>
      <c r="M1587" s="55"/>
      <c r="N1587" s="55"/>
    </row>
    <row r="1588" ht="14.25" customHeight="1" spans="2:14">
      <c r="B1588" s="57"/>
      <c r="C1588" s="54"/>
      <c r="D1588" s="55"/>
      <c r="I1588" s="55"/>
      <c r="J1588" s="56"/>
      <c r="K1588" s="56"/>
      <c r="M1588" s="55"/>
      <c r="N1588" s="55"/>
    </row>
    <row r="1589" ht="14.25" customHeight="1" spans="2:14">
      <c r="B1589" s="57"/>
      <c r="C1589" s="54"/>
      <c r="D1589" s="55"/>
      <c r="I1589" s="55"/>
      <c r="J1589" s="56"/>
      <c r="K1589" s="56"/>
      <c r="M1589" s="55"/>
      <c r="N1589" s="55"/>
    </row>
    <row r="1590" ht="14.25" customHeight="1" spans="2:14">
      <c r="B1590" s="57"/>
      <c r="C1590" s="54"/>
      <c r="D1590" s="55"/>
      <c r="I1590" s="55"/>
      <c r="J1590" s="56"/>
      <c r="K1590" s="56"/>
      <c r="M1590" s="55"/>
      <c r="N1590" s="55"/>
    </row>
    <row r="1591" ht="14.25" customHeight="1" spans="2:14">
      <c r="B1591" s="57"/>
      <c r="C1591" s="54"/>
      <c r="D1591" s="55"/>
      <c r="I1591" s="55"/>
      <c r="J1591" s="56"/>
      <c r="K1591" s="56"/>
      <c r="M1591" s="55"/>
      <c r="N1591" s="55"/>
    </row>
    <row r="1592" ht="14.25" customHeight="1" spans="2:14">
      <c r="B1592" s="57"/>
      <c r="C1592" s="54"/>
      <c r="D1592" s="55"/>
      <c r="I1592" s="55"/>
      <c r="J1592" s="56"/>
      <c r="K1592" s="56"/>
      <c r="M1592" s="55"/>
      <c r="N1592" s="55"/>
    </row>
    <row r="1593" ht="14.25" customHeight="1" spans="2:14">
      <c r="B1593" s="57"/>
      <c r="C1593" s="54"/>
      <c r="D1593" s="55"/>
      <c r="I1593" s="55"/>
      <c r="J1593" s="56"/>
      <c r="K1593" s="56"/>
      <c r="M1593" s="55"/>
      <c r="N1593" s="55"/>
    </row>
    <row r="1594" ht="14.25" customHeight="1" spans="2:14">
      <c r="B1594" s="57"/>
      <c r="C1594" s="54"/>
      <c r="D1594" s="55"/>
      <c r="I1594" s="55"/>
      <c r="J1594" s="56"/>
      <c r="K1594" s="56"/>
      <c r="M1594" s="55"/>
      <c r="N1594" s="55"/>
    </row>
    <row r="1595" ht="14.25" customHeight="1" spans="2:14">
      <c r="B1595" s="57"/>
      <c r="C1595" s="54"/>
      <c r="D1595" s="55"/>
      <c r="I1595" s="55"/>
      <c r="J1595" s="56"/>
      <c r="K1595" s="56"/>
      <c r="M1595" s="55"/>
      <c r="N1595" s="55"/>
    </row>
    <row r="1596" ht="14.25" customHeight="1" spans="2:14">
      <c r="B1596" s="57"/>
      <c r="C1596" s="54"/>
      <c r="D1596" s="55"/>
      <c r="I1596" s="55"/>
      <c r="J1596" s="56"/>
      <c r="K1596" s="56"/>
      <c r="M1596" s="55"/>
      <c r="N1596" s="55"/>
    </row>
    <row r="1597" ht="14.25" customHeight="1" spans="2:14">
      <c r="B1597" s="57"/>
      <c r="C1597" s="54"/>
      <c r="D1597" s="55"/>
      <c r="I1597" s="55"/>
      <c r="J1597" s="56"/>
      <c r="K1597" s="56"/>
      <c r="M1597" s="55"/>
      <c r="N1597" s="55"/>
    </row>
    <row r="1598" ht="14.25" customHeight="1" spans="2:14">
      <c r="B1598" s="57"/>
      <c r="C1598" s="54"/>
      <c r="D1598" s="55"/>
      <c r="I1598" s="55"/>
      <c r="J1598" s="56"/>
      <c r="K1598" s="56"/>
      <c r="M1598" s="55"/>
      <c r="N1598" s="55"/>
    </row>
    <row r="1599" ht="14.25" customHeight="1" spans="2:14">
      <c r="B1599" s="57"/>
      <c r="C1599" s="54"/>
      <c r="D1599" s="55"/>
      <c r="I1599" s="55"/>
      <c r="J1599" s="56"/>
      <c r="K1599" s="56"/>
      <c r="M1599" s="55"/>
      <c r="N1599" s="55"/>
    </row>
    <row r="1600" ht="14.25" customHeight="1" spans="2:14">
      <c r="B1600" s="57"/>
      <c r="C1600" s="54"/>
      <c r="D1600" s="55"/>
      <c r="I1600" s="55"/>
      <c r="J1600" s="56"/>
      <c r="K1600" s="56"/>
      <c r="M1600" s="55"/>
      <c r="N1600" s="55"/>
    </row>
    <row r="1601" ht="14.25" customHeight="1" spans="2:14">
      <c r="B1601" s="57"/>
      <c r="C1601" s="54"/>
      <c r="D1601" s="55"/>
      <c r="I1601" s="55"/>
      <c r="J1601" s="56"/>
      <c r="K1601" s="56"/>
      <c r="M1601" s="55"/>
      <c r="N1601" s="55"/>
    </row>
    <row r="1602" ht="14.25" customHeight="1" spans="2:14">
      <c r="B1602" s="57"/>
      <c r="C1602" s="54"/>
      <c r="D1602" s="55"/>
      <c r="I1602" s="55"/>
      <c r="J1602" s="56"/>
      <c r="K1602" s="56"/>
      <c r="M1602" s="55"/>
      <c r="N1602" s="55"/>
    </row>
    <row r="1603" ht="14.25" customHeight="1" spans="2:14">
      <c r="B1603" s="57"/>
      <c r="C1603" s="54"/>
      <c r="D1603" s="55"/>
      <c r="I1603" s="55"/>
      <c r="J1603" s="56"/>
      <c r="K1603" s="56"/>
      <c r="M1603" s="55"/>
      <c r="N1603" s="55"/>
    </row>
    <row r="1604" ht="14.25" customHeight="1" spans="2:14">
      <c r="B1604" s="57"/>
      <c r="C1604" s="54"/>
      <c r="D1604" s="55"/>
      <c r="I1604" s="55"/>
      <c r="J1604" s="56"/>
      <c r="K1604" s="56"/>
      <c r="M1604" s="55"/>
      <c r="N1604" s="55"/>
    </row>
    <row r="1605" ht="14.25" customHeight="1" spans="2:14">
      <c r="B1605" s="57"/>
      <c r="C1605" s="54"/>
      <c r="D1605" s="55"/>
      <c r="I1605" s="55"/>
      <c r="J1605" s="56"/>
      <c r="K1605" s="56"/>
      <c r="M1605" s="55"/>
      <c r="N1605" s="55"/>
    </row>
    <row r="1606" ht="14.25" customHeight="1" spans="2:14">
      <c r="B1606" s="57"/>
      <c r="C1606" s="54"/>
      <c r="D1606" s="55"/>
      <c r="I1606" s="55"/>
      <c r="J1606" s="56"/>
      <c r="K1606" s="56"/>
      <c r="M1606" s="55"/>
      <c r="N1606" s="55"/>
    </row>
    <row r="1607" ht="14.25" customHeight="1" spans="2:14">
      <c r="B1607" s="57"/>
      <c r="C1607" s="54"/>
      <c r="D1607" s="55"/>
      <c r="I1607" s="55"/>
      <c r="J1607" s="56"/>
      <c r="K1607" s="56"/>
      <c r="M1607" s="55"/>
      <c r="N1607" s="55"/>
    </row>
    <row r="1608" ht="14.25" customHeight="1" spans="2:14">
      <c r="B1608" s="57"/>
      <c r="C1608" s="54"/>
      <c r="D1608" s="55"/>
      <c r="I1608" s="55"/>
      <c r="J1608" s="56"/>
      <c r="K1608" s="56"/>
      <c r="M1608" s="55"/>
      <c r="N1608" s="55"/>
    </row>
    <row r="1609" ht="14.25" customHeight="1" spans="2:14">
      <c r="B1609" s="57"/>
      <c r="C1609" s="54"/>
      <c r="D1609" s="55"/>
      <c r="I1609" s="55"/>
      <c r="J1609" s="56"/>
      <c r="K1609" s="56"/>
      <c r="M1609" s="55"/>
      <c r="N1609" s="55"/>
    </row>
    <row r="1610" ht="14.25" customHeight="1" spans="2:14">
      <c r="B1610" s="57"/>
      <c r="C1610" s="54"/>
      <c r="D1610" s="55"/>
      <c r="I1610" s="55"/>
      <c r="J1610" s="56"/>
      <c r="K1610" s="56"/>
      <c r="M1610" s="55"/>
      <c r="N1610" s="55"/>
    </row>
    <row r="1611" ht="14.25" customHeight="1" spans="2:14">
      <c r="B1611" s="57"/>
      <c r="C1611" s="54"/>
      <c r="D1611" s="55"/>
      <c r="I1611" s="55"/>
      <c r="J1611" s="56"/>
      <c r="K1611" s="56"/>
      <c r="M1611" s="55"/>
      <c r="N1611" s="55"/>
    </row>
    <row r="1612" ht="14.25" customHeight="1" spans="2:14">
      <c r="B1612" s="57"/>
      <c r="C1612" s="54"/>
      <c r="D1612" s="55"/>
      <c r="I1612" s="55"/>
      <c r="J1612" s="56"/>
      <c r="K1612" s="56"/>
      <c r="M1612" s="55"/>
      <c r="N1612" s="55"/>
    </row>
    <row r="1613" ht="14.25" customHeight="1" spans="2:14">
      <c r="B1613" s="57"/>
      <c r="C1613" s="54"/>
      <c r="D1613" s="55"/>
      <c r="I1613" s="55"/>
      <c r="J1613" s="56"/>
      <c r="K1613" s="56"/>
      <c r="M1613" s="55"/>
      <c r="N1613" s="55"/>
    </row>
    <row r="1614" ht="14.25" customHeight="1" spans="2:14">
      <c r="B1614" s="57"/>
      <c r="C1614" s="54"/>
      <c r="D1614" s="55"/>
      <c r="I1614" s="55"/>
      <c r="J1614" s="56"/>
      <c r="K1614" s="56"/>
      <c r="M1614" s="55"/>
      <c r="N1614" s="55"/>
    </row>
    <row r="1615" ht="14.25" customHeight="1" spans="2:14">
      <c r="B1615" s="57"/>
      <c r="C1615" s="54"/>
      <c r="D1615" s="55"/>
      <c r="I1615" s="55"/>
      <c r="J1615" s="56"/>
      <c r="K1615" s="56"/>
      <c r="M1615" s="55"/>
      <c r="N1615" s="55"/>
    </row>
    <row r="1616" ht="14.25" customHeight="1" spans="2:14">
      <c r="B1616" s="57"/>
      <c r="C1616" s="54"/>
      <c r="D1616" s="55"/>
      <c r="I1616" s="55"/>
      <c r="J1616" s="56"/>
      <c r="K1616" s="56"/>
      <c r="M1616" s="55"/>
      <c r="N1616" s="55"/>
    </row>
    <row r="1617" ht="14.25" customHeight="1" spans="2:14">
      <c r="B1617" s="57"/>
      <c r="C1617" s="54"/>
      <c r="D1617" s="55"/>
      <c r="I1617" s="55"/>
      <c r="J1617" s="56"/>
      <c r="K1617" s="56"/>
      <c r="M1617" s="55"/>
      <c r="N1617" s="55"/>
    </row>
    <row r="1618" ht="14.25" customHeight="1" spans="2:14">
      <c r="B1618" s="57"/>
      <c r="C1618" s="54"/>
      <c r="D1618" s="55"/>
      <c r="I1618" s="55"/>
      <c r="J1618" s="56"/>
      <c r="K1618" s="56"/>
      <c r="M1618" s="55"/>
      <c r="N1618" s="55"/>
    </row>
    <row r="1619" ht="14.25" customHeight="1" spans="2:14">
      <c r="B1619" s="57"/>
      <c r="C1619" s="54"/>
      <c r="D1619" s="55"/>
      <c r="I1619" s="55"/>
      <c r="J1619" s="56"/>
      <c r="K1619" s="56"/>
      <c r="M1619" s="55"/>
      <c r="N1619" s="55"/>
    </row>
    <row r="1620" ht="14.25" customHeight="1" spans="2:14">
      <c r="B1620" s="57"/>
      <c r="C1620" s="54"/>
      <c r="D1620" s="55"/>
      <c r="I1620" s="55"/>
      <c r="J1620" s="56"/>
      <c r="K1620" s="56"/>
      <c r="M1620" s="55"/>
      <c r="N1620" s="55"/>
    </row>
    <row r="1621" ht="14.25" customHeight="1" spans="2:14">
      <c r="B1621" s="57"/>
      <c r="C1621" s="54"/>
      <c r="D1621" s="55"/>
      <c r="I1621" s="55"/>
      <c r="J1621" s="56"/>
      <c r="K1621" s="56"/>
      <c r="M1621" s="55"/>
      <c r="N1621" s="55"/>
    </row>
    <row r="1622" ht="14.25" customHeight="1" spans="2:14">
      <c r="B1622" s="57"/>
      <c r="C1622" s="54"/>
      <c r="D1622" s="55"/>
      <c r="I1622" s="55"/>
      <c r="J1622" s="56"/>
      <c r="K1622" s="56"/>
      <c r="M1622" s="55"/>
      <c r="N1622" s="55"/>
    </row>
    <row r="1623" ht="14.25" customHeight="1" spans="2:14">
      <c r="B1623" s="57"/>
      <c r="C1623" s="54"/>
      <c r="D1623" s="55"/>
      <c r="I1623" s="55"/>
      <c r="J1623" s="56"/>
      <c r="K1623" s="56"/>
      <c r="M1623" s="55"/>
      <c r="N1623" s="55"/>
    </row>
    <row r="1624" ht="14.25" customHeight="1" spans="2:14">
      <c r="B1624" s="57"/>
      <c r="C1624" s="54"/>
      <c r="D1624" s="55"/>
      <c r="I1624" s="55"/>
      <c r="J1624" s="56"/>
      <c r="K1624" s="56"/>
      <c r="M1624" s="55"/>
      <c r="N1624" s="55"/>
    </row>
    <row r="1625" ht="14.25" customHeight="1" spans="2:14">
      <c r="B1625" s="57"/>
      <c r="C1625" s="54"/>
      <c r="D1625" s="55"/>
      <c r="I1625" s="55"/>
      <c r="J1625" s="56"/>
      <c r="K1625" s="56"/>
      <c r="M1625" s="55"/>
      <c r="N1625" s="55"/>
    </row>
    <row r="1626" ht="14.25" customHeight="1" spans="2:14">
      <c r="B1626" s="57"/>
      <c r="C1626" s="54"/>
      <c r="D1626" s="55"/>
      <c r="I1626" s="55"/>
      <c r="J1626" s="56"/>
      <c r="K1626" s="56"/>
      <c r="M1626" s="55"/>
      <c r="N1626" s="55"/>
    </row>
    <row r="1627" ht="14.25" customHeight="1" spans="2:14">
      <c r="B1627" s="57"/>
      <c r="C1627" s="54"/>
      <c r="D1627" s="55"/>
      <c r="I1627" s="55"/>
      <c r="J1627" s="56"/>
      <c r="K1627" s="56"/>
      <c r="M1627" s="55"/>
      <c r="N1627" s="55"/>
    </row>
    <row r="1628" ht="14.25" customHeight="1" spans="2:14">
      <c r="B1628" s="57"/>
      <c r="C1628" s="54"/>
      <c r="D1628" s="55"/>
      <c r="I1628" s="55"/>
      <c r="J1628" s="56"/>
      <c r="K1628" s="56"/>
      <c r="M1628" s="55"/>
      <c r="N1628" s="55"/>
    </row>
    <row r="1629" ht="14.25" customHeight="1" spans="2:14">
      <c r="B1629" s="57"/>
      <c r="C1629" s="54"/>
      <c r="D1629" s="55"/>
      <c r="I1629" s="55"/>
      <c r="J1629" s="56"/>
      <c r="K1629" s="56"/>
      <c r="M1629" s="55"/>
      <c r="N1629" s="55"/>
    </row>
    <row r="1630" ht="14.25" customHeight="1" spans="2:14">
      <c r="B1630" s="57"/>
      <c r="C1630" s="54"/>
      <c r="D1630" s="55"/>
      <c r="I1630" s="55"/>
      <c r="J1630" s="56"/>
      <c r="K1630" s="56"/>
      <c r="M1630" s="55"/>
      <c r="N1630" s="55"/>
    </row>
    <row r="1631" ht="14.25" customHeight="1" spans="2:14">
      <c r="B1631" s="57"/>
      <c r="C1631" s="54"/>
      <c r="D1631" s="55"/>
      <c r="I1631" s="55"/>
      <c r="J1631" s="56"/>
      <c r="K1631" s="56"/>
      <c r="M1631" s="55"/>
      <c r="N1631" s="55"/>
    </row>
    <row r="1632" ht="14.25" customHeight="1" spans="2:14">
      <c r="B1632" s="57"/>
      <c r="C1632" s="54"/>
      <c r="D1632" s="55"/>
      <c r="I1632" s="55"/>
      <c r="J1632" s="56"/>
      <c r="K1632" s="56"/>
      <c r="M1632" s="55"/>
      <c r="N1632" s="55"/>
    </row>
    <row r="1633" ht="14.25" customHeight="1" spans="2:14">
      <c r="B1633" s="57"/>
      <c r="C1633" s="54"/>
      <c r="D1633" s="55"/>
      <c r="I1633" s="55"/>
      <c r="J1633" s="56"/>
      <c r="K1633" s="56"/>
      <c r="M1633" s="55"/>
      <c r="N1633" s="55"/>
    </row>
    <row r="1634" ht="14.25" customHeight="1" spans="2:14">
      <c r="B1634" s="57"/>
      <c r="C1634" s="54"/>
      <c r="D1634" s="55"/>
      <c r="I1634" s="55"/>
      <c r="J1634" s="56"/>
      <c r="K1634" s="56"/>
      <c r="M1634" s="55"/>
      <c r="N1634" s="55"/>
    </row>
    <row r="1635" ht="14.25" customHeight="1" spans="2:14">
      <c r="B1635" s="57"/>
      <c r="C1635" s="54"/>
      <c r="D1635" s="55"/>
      <c r="I1635" s="55"/>
      <c r="J1635" s="56"/>
      <c r="K1635" s="56"/>
      <c r="M1635" s="55"/>
      <c r="N1635" s="55"/>
    </row>
    <row r="1636" ht="14.25" customHeight="1" spans="2:14">
      <c r="B1636" s="57"/>
      <c r="C1636" s="54"/>
      <c r="D1636" s="55"/>
      <c r="I1636" s="55"/>
      <c r="J1636" s="56"/>
      <c r="K1636" s="56"/>
      <c r="M1636" s="55"/>
      <c r="N1636" s="55"/>
    </row>
    <row r="1637" ht="14.25" customHeight="1" spans="2:14">
      <c r="B1637" s="57"/>
      <c r="C1637" s="54"/>
      <c r="D1637" s="55"/>
      <c r="I1637" s="55"/>
      <c r="J1637" s="56"/>
      <c r="K1637" s="56"/>
      <c r="M1637" s="55"/>
      <c r="N1637" s="55"/>
    </row>
    <row r="1638" ht="14.25" customHeight="1" spans="2:14">
      <c r="B1638" s="57"/>
      <c r="C1638" s="54"/>
      <c r="D1638" s="55"/>
      <c r="I1638" s="55"/>
      <c r="J1638" s="56"/>
      <c r="K1638" s="56"/>
      <c r="M1638" s="55"/>
      <c r="N1638" s="55"/>
    </row>
    <row r="1639" ht="14.25" customHeight="1" spans="2:14">
      <c r="B1639" s="57"/>
      <c r="C1639" s="54"/>
      <c r="D1639" s="55"/>
      <c r="I1639" s="55"/>
      <c r="J1639" s="56"/>
      <c r="K1639" s="56"/>
      <c r="M1639" s="55"/>
      <c r="N1639" s="55"/>
    </row>
    <row r="1640" ht="14.25" customHeight="1" spans="2:14">
      <c r="B1640" s="57"/>
      <c r="C1640" s="54"/>
      <c r="D1640" s="55"/>
      <c r="I1640" s="55"/>
      <c r="J1640" s="56"/>
      <c r="K1640" s="56"/>
      <c r="M1640" s="55"/>
      <c r="N1640" s="55"/>
    </row>
    <row r="1641" ht="14.25" customHeight="1" spans="2:14">
      <c r="B1641" s="57"/>
      <c r="C1641" s="54"/>
      <c r="D1641" s="55"/>
      <c r="I1641" s="55"/>
      <c r="J1641" s="56"/>
      <c r="K1641" s="56"/>
      <c r="M1641" s="55"/>
      <c r="N1641" s="55"/>
    </row>
    <row r="1642" ht="14.25" customHeight="1" spans="2:14">
      <c r="B1642" s="57"/>
      <c r="C1642" s="54"/>
      <c r="D1642" s="55"/>
      <c r="I1642" s="55"/>
      <c r="J1642" s="56"/>
      <c r="K1642" s="56"/>
      <c r="M1642" s="55"/>
      <c r="N1642" s="55"/>
    </row>
    <row r="1643" ht="14.25" customHeight="1" spans="2:14">
      <c r="B1643" s="57"/>
      <c r="C1643" s="54"/>
      <c r="D1643" s="55"/>
      <c r="I1643" s="55"/>
      <c r="J1643" s="56"/>
      <c r="K1643" s="56"/>
      <c r="M1643" s="55"/>
      <c r="N1643" s="55"/>
    </row>
    <row r="1644" ht="14.25" customHeight="1" spans="2:14">
      <c r="B1644" s="57"/>
      <c r="C1644" s="54"/>
      <c r="D1644" s="55"/>
      <c r="I1644" s="55"/>
      <c r="J1644" s="56"/>
      <c r="K1644" s="56"/>
      <c r="M1644" s="55"/>
      <c r="N1644" s="55"/>
    </row>
    <row r="1645" ht="14.25" customHeight="1" spans="2:14">
      <c r="B1645" s="57"/>
      <c r="C1645" s="54"/>
      <c r="D1645" s="55"/>
      <c r="I1645" s="55"/>
      <c r="J1645" s="56"/>
      <c r="K1645" s="56"/>
      <c r="M1645" s="55"/>
      <c r="N1645" s="55"/>
    </row>
    <row r="1646" ht="14.25" customHeight="1" spans="2:14">
      <c r="B1646" s="57"/>
      <c r="C1646" s="54"/>
      <c r="D1646" s="55"/>
      <c r="I1646" s="55"/>
      <c r="J1646" s="56"/>
      <c r="K1646" s="56"/>
      <c r="M1646" s="55"/>
      <c r="N1646" s="55"/>
    </row>
    <row r="1647" ht="14.25" customHeight="1" spans="2:14">
      <c r="B1647" s="57"/>
      <c r="C1647" s="54"/>
      <c r="D1647" s="55"/>
      <c r="I1647" s="55"/>
      <c r="J1647" s="56"/>
      <c r="K1647" s="56"/>
      <c r="M1647" s="55"/>
      <c r="N1647" s="55"/>
    </row>
    <row r="1648" ht="14.25" customHeight="1" spans="2:14">
      <c r="B1648" s="57"/>
      <c r="C1648" s="54"/>
      <c r="D1648" s="55"/>
      <c r="I1648" s="55"/>
      <c r="J1648" s="56"/>
      <c r="K1648" s="56"/>
      <c r="M1648" s="55"/>
      <c r="N1648" s="55"/>
    </row>
    <row r="1649" ht="14.25" customHeight="1" spans="2:14">
      <c r="B1649" s="57"/>
      <c r="C1649" s="54"/>
      <c r="D1649" s="55"/>
      <c r="I1649" s="55"/>
      <c r="J1649" s="56"/>
      <c r="K1649" s="56"/>
      <c r="M1649" s="55"/>
      <c r="N1649" s="55"/>
    </row>
    <row r="1650" ht="14.25" customHeight="1" spans="2:14">
      <c r="B1650" s="57"/>
      <c r="C1650" s="54"/>
      <c r="D1650" s="55"/>
      <c r="I1650" s="55"/>
      <c r="J1650" s="56"/>
      <c r="K1650" s="56"/>
      <c r="M1650" s="55"/>
      <c r="N1650" s="55"/>
    </row>
    <row r="1651" ht="14.25" customHeight="1" spans="2:14">
      <c r="B1651" s="57"/>
      <c r="C1651" s="54"/>
      <c r="D1651" s="55"/>
      <c r="I1651" s="55"/>
      <c r="J1651" s="56"/>
      <c r="K1651" s="56"/>
      <c r="M1651" s="55"/>
      <c r="N1651" s="55"/>
    </row>
    <row r="1652" ht="14.25" customHeight="1" spans="2:14">
      <c r="B1652" s="57"/>
      <c r="C1652" s="54"/>
      <c r="D1652" s="55"/>
      <c r="I1652" s="55"/>
      <c r="J1652" s="56"/>
      <c r="K1652" s="56"/>
      <c r="M1652" s="55"/>
      <c r="N1652" s="55"/>
    </row>
    <row r="1653" ht="14.25" customHeight="1" spans="2:14">
      <c r="B1653" s="57"/>
      <c r="C1653" s="54"/>
      <c r="D1653" s="55"/>
      <c r="I1653" s="55"/>
      <c r="J1653" s="56"/>
      <c r="K1653" s="56"/>
      <c r="M1653" s="55"/>
      <c r="N1653" s="55"/>
    </row>
    <row r="1654" ht="14.25" customHeight="1" spans="2:14">
      <c r="B1654" s="57"/>
      <c r="C1654" s="54"/>
      <c r="D1654" s="55"/>
      <c r="I1654" s="55"/>
      <c r="J1654" s="56"/>
      <c r="K1654" s="56"/>
      <c r="M1654" s="55"/>
      <c r="N1654" s="55"/>
    </row>
    <row r="1655" ht="14.25" customHeight="1" spans="2:14">
      <c r="B1655" s="57"/>
      <c r="C1655" s="54"/>
      <c r="D1655" s="55"/>
      <c r="I1655" s="55"/>
      <c r="J1655" s="56"/>
      <c r="K1655" s="56"/>
      <c r="M1655" s="55"/>
      <c r="N1655" s="55"/>
    </row>
    <row r="1656" ht="14.25" customHeight="1" spans="2:14">
      <c r="B1656" s="57"/>
      <c r="C1656" s="54"/>
      <c r="D1656" s="55"/>
      <c r="I1656" s="55"/>
      <c r="J1656" s="56"/>
      <c r="K1656" s="56"/>
      <c r="M1656" s="55"/>
      <c r="N1656" s="55"/>
    </row>
    <row r="1657" ht="14.25" customHeight="1" spans="2:14">
      <c r="B1657" s="57"/>
      <c r="C1657" s="54"/>
      <c r="D1657" s="55"/>
      <c r="I1657" s="55"/>
      <c r="J1657" s="56"/>
      <c r="K1657" s="56"/>
      <c r="M1657" s="55"/>
      <c r="N1657" s="55"/>
    </row>
    <row r="1658" ht="14.25" customHeight="1" spans="2:14">
      <c r="B1658" s="57"/>
      <c r="C1658" s="54"/>
      <c r="D1658" s="55"/>
      <c r="I1658" s="55"/>
      <c r="J1658" s="56"/>
      <c r="K1658" s="56"/>
      <c r="M1658" s="55"/>
      <c r="N1658" s="55"/>
    </row>
    <row r="1659" ht="14.25" customHeight="1" spans="2:14">
      <c r="B1659" s="57"/>
      <c r="C1659" s="54"/>
      <c r="D1659" s="55"/>
      <c r="I1659" s="55"/>
      <c r="J1659" s="56"/>
      <c r="K1659" s="56"/>
      <c r="M1659" s="55"/>
      <c r="N1659" s="55"/>
    </row>
    <row r="1660" ht="14.25" customHeight="1" spans="2:14">
      <c r="B1660" s="57"/>
      <c r="C1660" s="54"/>
      <c r="D1660" s="55"/>
      <c r="I1660" s="55"/>
      <c r="J1660" s="56"/>
      <c r="K1660" s="56"/>
      <c r="M1660" s="55"/>
      <c r="N1660" s="55"/>
    </row>
    <row r="1661" ht="14.25" customHeight="1" spans="2:14">
      <c r="B1661" s="57"/>
      <c r="C1661" s="54"/>
      <c r="D1661" s="55"/>
      <c r="I1661" s="55"/>
      <c r="J1661" s="56"/>
      <c r="K1661" s="56"/>
      <c r="M1661" s="55"/>
      <c r="N1661" s="55"/>
    </row>
    <row r="1662" ht="14.25" customHeight="1" spans="2:14">
      <c r="B1662" s="57"/>
      <c r="C1662" s="54"/>
      <c r="D1662" s="55"/>
      <c r="I1662" s="55"/>
      <c r="J1662" s="56"/>
      <c r="K1662" s="56"/>
      <c r="M1662" s="55"/>
      <c r="N1662" s="55"/>
    </row>
    <row r="1663" ht="14.25" customHeight="1" spans="2:14">
      <c r="B1663" s="57"/>
      <c r="C1663" s="54"/>
      <c r="D1663" s="55"/>
      <c r="I1663" s="55"/>
      <c r="J1663" s="56"/>
      <c r="K1663" s="56"/>
      <c r="M1663" s="55"/>
      <c r="N1663" s="55"/>
    </row>
    <row r="1664" ht="14.25" customHeight="1" spans="2:14">
      <c r="B1664" s="57"/>
      <c r="C1664" s="54"/>
      <c r="D1664" s="55"/>
      <c r="I1664" s="55"/>
      <c r="J1664" s="56"/>
      <c r="K1664" s="56"/>
      <c r="M1664" s="55"/>
      <c r="N1664" s="55"/>
    </row>
    <row r="1665" ht="14.25" customHeight="1" spans="2:14">
      <c r="B1665" s="57"/>
      <c r="C1665" s="54"/>
      <c r="D1665" s="55"/>
      <c r="I1665" s="55"/>
      <c r="J1665" s="56"/>
      <c r="K1665" s="56"/>
      <c r="M1665" s="55"/>
      <c r="N1665" s="55"/>
    </row>
    <row r="1666" ht="14.25" customHeight="1" spans="2:14">
      <c r="B1666" s="57"/>
      <c r="C1666" s="54"/>
      <c r="D1666" s="55"/>
      <c r="I1666" s="55"/>
      <c r="J1666" s="56"/>
      <c r="K1666" s="56"/>
      <c r="M1666" s="55"/>
      <c r="N1666" s="55"/>
    </row>
    <row r="1667" ht="14.25" customHeight="1" spans="2:14">
      <c r="B1667" s="57"/>
      <c r="C1667" s="54"/>
      <c r="D1667" s="55"/>
      <c r="I1667" s="55"/>
      <c r="J1667" s="56"/>
      <c r="K1667" s="56"/>
      <c r="M1667" s="55"/>
      <c r="N1667" s="55"/>
    </row>
    <row r="1668" ht="14.25" customHeight="1" spans="2:14">
      <c r="B1668" s="57"/>
      <c r="C1668" s="54"/>
      <c r="D1668" s="55"/>
      <c r="I1668" s="55"/>
      <c r="J1668" s="56"/>
      <c r="K1668" s="56"/>
      <c r="M1668" s="55"/>
      <c r="N1668" s="55"/>
    </row>
    <row r="1669" ht="14.25" customHeight="1" spans="2:14">
      <c r="B1669" s="57"/>
      <c r="C1669" s="54"/>
      <c r="D1669" s="55"/>
      <c r="I1669" s="55"/>
      <c r="J1669" s="56"/>
      <c r="K1669" s="56"/>
      <c r="M1669" s="55"/>
      <c r="N1669" s="55"/>
    </row>
    <row r="1670" ht="14.25" customHeight="1" spans="2:14">
      <c r="B1670" s="57"/>
      <c r="C1670" s="54"/>
      <c r="D1670" s="55"/>
      <c r="I1670" s="55"/>
      <c r="J1670" s="56"/>
      <c r="K1670" s="56"/>
      <c r="M1670" s="55"/>
      <c r="N1670" s="55"/>
    </row>
    <row r="1671" ht="14.25" customHeight="1" spans="2:14">
      <c r="B1671" s="57"/>
      <c r="C1671" s="54"/>
      <c r="D1671" s="55"/>
      <c r="I1671" s="55"/>
      <c r="J1671" s="56"/>
      <c r="K1671" s="56"/>
      <c r="M1671" s="55"/>
      <c r="N1671" s="55"/>
    </row>
    <row r="1672" ht="14.25" customHeight="1" spans="2:14">
      <c r="B1672" s="57"/>
      <c r="C1672" s="54"/>
      <c r="D1672" s="55"/>
      <c r="I1672" s="55"/>
      <c r="J1672" s="56"/>
      <c r="K1672" s="56"/>
      <c r="M1672" s="55"/>
      <c r="N1672" s="55"/>
    </row>
    <row r="1673" ht="14.25" customHeight="1" spans="2:14">
      <c r="B1673" s="57"/>
      <c r="C1673" s="54"/>
      <c r="D1673" s="55"/>
      <c r="I1673" s="55"/>
      <c r="J1673" s="56"/>
      <c r="K1673" s="56"/>
      <c r="M1673" s="55"/>
      <c r="N1673" s="55"/>
    </row>
    <row r="1674" ht="14.25" customHeight="1" spans="2:14">
      <c r="B1674" s="57"/>
      <c r="C1674" s="54"/>
      <c r="D1674" s="55"/>
      <c r="I1674" s="55"/>
      <c r="J1674" s="56"/>
      <c r="K1674" s="56"/>
      <c r="M1674" s="55"/>
      <c r="N1674" s="55"/>
    </row>
    <row r="1675" ht="14.25" customHeight="1" spans="2:14">
      <c r="B1675" s="57"/>
      <c r="C1675" s="54"/>
      <c r="D1675" s="55"/>
      <c r="I1675" s="55"/>
      <c r="J1675" s="56"/>
      <c r="K1675" s="56"/>
      <c r="M1675" s="55"/>
      <c r="N1675" s="55"/>
    </row>
    <row r="1676" ht="14.25" customHeight="1" spans="2:14">
      <c r="B1676" s="57"/>
      <c r="C1676" s="54"/>
      <c r="D1676" s="55"/>
      <c r="I1676" s="55"/>
      <c r="J1676" s="56"/>
      <c r="K1676" s="56"/>
      <c r="M1676" s="55"/>
      <c r="N1676" s="55"/>
    </row>
    <row r="1677" ht="14.25" customHeight="1" spans="2:14">
      <c r="B1677" s="57"/>
      <c r="C1677" s="54"/>
      <c r="D1677" s="55"/>
      <c r="I1677" s="55"/>
      <c r="J1677" s="56"/>
      <c r="K1677" s="56"/>
      <c r="M1677" s="55"/>
      <c r="N1677" s="55"/>
    </row>
    <row r="1678" ht="14.25" customHeight="1" spans="2:14">
      <c r="B1678" s="57"/>
      <c r="C1678" s="54"/>
      <c r="D1678" s="55"/>
      <c r="I1678" s="55"/>
      <c r="J1678" s="56"/>
      <c r="K1678" s="56"/>
      <c r="M1678" s="55"/>
      <c r="N1678" s="55"/>
    </row>
    <row r="1679" ht="14.25" customHeight="1" spans="2:14">
      <c r="B1679" s="57"/>
      <c r="C1679" s="54"/>
      <c r="D1679" s="55"/>
      <c r="I1679" s="55"/>
      <c r="J1679" s="56"/>
      <c r="K1679" s="56"/>
      <c r="M1679" s="55"/>
      <c r="N1679" s="55"/>
    </row>
    <row r="1680" ht="14.25" customHeight="1" spans="2:14">
      <c r="B1680" s="57"/>
      <c r="C1680" s="54"/>
      <c r="D1680" s="55"/>
      <c r="I1680" s="55"/>
      <c r="J1680" s="56"/>
      <c r="K1680" s="56"/>
      <c r="M1680" s="55"/>
      <c r="N1680" s="55"/>
    </row>
    <row r="1681" ht="14.25" customHeight="1" spans="2:14">
      <c r="B1681" s="57"/>
      <c r="C1681" s="54"/>
      <c r="D1681" s="55"/>
      <c r="I1681" s="55"/>
      <c r="J1681" s="56"/>
      <c r="K1681" s="56"/>
      <c r="M1681" s="55"/>
      <c r="N1681" s="55"/>
    </row>
    <row r="1682" ht="14.25" customHeight="1" spans="2:14">
      <c r="B1682" s="57"/>
      <c r="C1682" s="54"/>
      <c r="D1682" s="55"/>
      <c r="I1682" s="55"/>
      <c r="J1682" s="56"/>
      <c r="K1682" s="56"/>
      <c r="M1682" s="55"/>
      <c r="N1682" s="55"/>
    </row>
    <row r="1683" ht="14.25" customHeight="1" spans="2:14">
      <c r="B1683" s="57"/>
      <c r="C1683" s="54"/>
      <c r="D1683" s="55"/>
      <c r="I1683" s="55"/>
      <c r="J1683" s="56"/>
      <c r="K1683" s="56"/>
      <c r="M1683" s="55"/>
      <c r="N1683" s="55"/>
    </row>
    <row r="1684" ht="14.25" customHeight="1" spans="2:14">
      <c r="B1684" s="57"/>
      <c r="C1684" s="54"/>
      <c r="D1684" s="55"/>
      <c r="I1684" s="55"/>
      <c r="J1684" s="56"/>
      <c r="K1684" s="56"/>
      <c r="M1684" s="55"/>
      <c r="N1684" s="55"/>
    </row>
    <row r="1685" ht="14.25" customHeight="1" spans="2:14">
      <c r="B1685" s="57"/>
      <c r="C1685" s="54"/>
      <c r="D1685" s="55"/>
      <c r="I1685" s="55"/>
      <c r="J1685" s="56"/>
      <c r="K1685" s="56"/>
      <c r="M1685" s="55"/>
      <c r="N1685" s="55"/>
    </row>
    <row r="1686" ht="14.25" customHeight="1" spans="2:14">
      <c r="B1686" s="57"/>
      <c r="C1686" s="54"/>
      <c r="D1686" s="55"/>
      <c r="I1686" s="55"/>
      <c r="J1686" s="56"/>
      <c r="K1686" s="56"/>
      <c r="M1686" s="55"/>
      <c r="N1686" s="55"/>
    </row>
    <row r="1687" ht="14.25" customHeight="1" spans="2:14">
      <c r="B1687" s="57"/>
      <c r="C1687" s="54"/>
      <c r="D1687" s="55"/>
      <c r="I1687" s="55"/>
      <c r="J1687" s="56"/>
      <c r="K1687" s="56"/>
      <c r="M1687" s="55"/>
      <c r="N1687" s="55"/>
    </row>
    <row r="1688" ht="14.25" customHeight="1" spans="2:14">
      <c r="B1688" s="57"/>
      <c r="C1688" s="54"/>
      <c r="D1688" s="55"/>
      <c r="I1688" s="55"/>
      <c r="J1688" s="56"/>
      <c r="K1688" s="56"/>
      <c r="M1688" s="55"/>
      <c r="N1688" s="55"/>
    </row>
    <row r="1689" ht="14.25" customHeight="1" spans="2:14">
      <c r="B1689" s="57"/>
      <c r="C1689" s="54"/>
      <c r="D1689" s="55"/>
      <c r="I1689" s="55"/>
      <c r="J1689" s="56"/>
      <c r="K1689" s="56"/>
      <c r="M1689" s="55"/>
      <c r="N1689" s="55"/>
    </row>
    <row r="1690" ht="14.25" customHeight="1" spans="2:14">
      <c r="B1690" s="57"/>
      <c r="C1690" s="54"/>
      <c r="D1690" s="55"/>
      <c r="I1690" s="55"/>
      <c r="J1690" s="56"/>
      <c r="K1690" s="56"/>
      <c r="M1690" s="55"/>
      <c r="N1690" s="55"/>
    </row>
    <row r="1691" ht="14.25" customHeight="1" spans="2:14">
      <c r="B1691" s="57"/>
      <c r="C1691" s="54"/>
      <c r="D1691" s="55"/>
      <c r="I1691" s="55"/>
      <c r="J1691" s="56"/>
      <c r="K1691" s="56"/>
      <c r="M1691" s="55"/>
      <c r="N1691" s="55"/>
    </row>
    <row r="1692" ht="14.25" customHeight="1" spans="2:14">
      <c r="B1692" s="57"/>
      <c r="C1692" s="54"/>
      <c r="D1692" s="55"/>
      <c r="I1692" s="55"/>
      <c r="J1692" s="56"/>
      <c r="K1692" s="56"/>
      <c r="M1692" s="55"/>
      <c r="N1692" s="55"/>
    </row>
    <row r="1693" ht="14.25" customHeight="1" spans="2:14">
      <c r="B1693" s="57"/>
      <c r="C1693" s="54"/>
      <c r="D1693" s="55"/>
      <c r="I1693" s="55"/>
      <c r="J1693" s="56"/>
      <c r="K1693" s="56"/>
      <c r="M1693" s="55"/>
      <c r="N1693" s="55"/>
    </row>
    <row r="1694" ht="14.25" customHeight="1" spans="2:14">
      <c r="B1694" s="57"/>
      <c r="C1694" s="54"/>
      <c r="D1694" s="55"/>
      <c r="I1694" s="55"/>
      <c r="J1694" s="56"/>
      <c r="K1694" s="56"/>
      <c r="M1694" s="55"/>
      <c r="N1694" s="55"/>
    </row>
    <row r="1695" ht="14.25" customHeight="1" spans="2:14">
      <c r="B1695" s="57"/>
      <c r="C1695" s="54"/>
      <c r="D1695" s="55"/>
      <c r="I1695" s="55"/>
      <c r="J1695" s="56"/>
      <c r="K1695" s="56"/>
      <c r="M1695" s="55"/>
      <c r="N1695" s="55"/>
    </row>
    <row r="1696" ht="14.25" customHeight="1" spans="2:14">
      <c r="B1696" s="57"/>
      <c r="C1696" s="54"/>
      <c r="D1696" s="55"/>
      <c r="I1696" s="55"/>
      <c r="J1696" s="56"/>
      <c r="K1696" s="56"/>
      <c r="M1696" s="55"/>
      <c r="N1696" s="55"/>
    </row>
    <row r="1697" ht="14.25" customHeight="1" spans="2:14">
      <c r="B1697" s="57"/>
      <c r="C1697" s="54"/>
      <c r="D1697" s="55"/>
      <c r="I1697" s="55"/>
      <c r="J1697" s="56"/>
      <c r="K1697" s="56"/>
      <c r="M1697" s="55"/>
      <c r="N1697" s="55"/>
    </row>
    <row r="1698" ht="14.25" customHeight="1" spans="2:14">
      <c r="B1698" s="57"/>
      <c r="C1698" s="54"/>
      <c r="D1698" s="55"/>
      <c r="I1698" s="55"/>
      <c r="J1698" s="56"/>
      <c r="K1698" s="56"/>
      <c r="M1698" s="55"/>
      <c r="N1698" s="55"/>
    </row>
    <row r="1699" ht="14.25" customHeight="1" spans="2:14">
      <c r="B1699" s="57"/>
      <c r="C1699" s="54"/>
      <c r="D1699" s="55"/>
      <c r="I1699" s="55"/>
      <c r="J1699" s="56"/>
      <c r="K1699" s="56"/>
      <c r="M1699" s="55"/>
      <c r="N1699" s="55"/>
    </row>
    <row r="1700" ht="14.25" customHeight="1" spans="2:14">
      <c r="B1700" s="57"/>
      <c r="C1700" s="54"/>
      <c r="D1700" s="55"/>
      <c r="I1700" s="55"/>
      <c r="J1700" s="56"/>
      <c r="K1700" s="56"/>
      <c r="M1700" s="55"/>
      <c r="N1700" s="55"/>
    </row>
    <row r="1701" ht="14.25" customHeight="1" spans="2:14">
      <c r="B1701" s="57"/>
      <c r="C1701" s="54"/>
      <c r="D1701" s="55"/>
      <c r="I1701" s="55"/>
      <c r="J1701" s="56"/>
      <c r="K1701" s="56"/>
      <c r="M1701" s="55"/>
      <c r="N1701" s="55"/>
    </row>
    <row r="1702" ht="14.25" customHeight="1" spans="2:14">
      <c r="B1702" s="57"/>
      <c r="C1702" s="54"/>
      <c r="D1702" s="55"/>
      <c r="I1702" s="55"/>
      <c r="J1702" s="56"/>
      <c r="K1702" s="56"/>
      <c r="M1702" s="55"/>
      <c r="N1702" s="55"/>
    </row>
    <row r="1703" ht="14.25" customHeight="1" spans="2:14">
      <c r="B1703" s="57"/>
      <c r="C1703" s="54"/>
      <c r="D1703" s="55"/>
      <c r="I1703" s="55"/>
      <c r="J1703" s="56"/>
      <c r="K1703" s="56"/>
      <c r="M1703" s="55"/>
      <c r="N1703" s="55"/>
    </row>
    <row r="1704" ht="14.25" customHeight="1" spans="2:14">
      <c r="B1704" s="57"/>
      <c r="C1704" s="54"/>
      <c r="D1704" s="55"/>
      <c r="I1704" s="55"/>
      <c r="J1704" s="56"/>
      <c r="K1704" s="56"/>
      <c r="M1704" s="55"/>
      <c r="N1704" s="55"/>
    </row>
    <row r="1705" ht="14.25" customHeight="1" spans="2:14">
      <c r="B1705" s="57"/>
      <c r="C1705" s="54"/>
      <c r="D1705" s="55"/>
      <c r="I1705" s="55"/>
      <c r="J1705" s="56"/>
      <c r="K1705" s="56"/>
      <c r="M1705" s="55"/>
      <c r="N1705" s="55"/>
    </row>
    <row r="1706" ht="14.25" customHeight="1" spans="2:14">
      <c r="B1706" s="57"/>
      <c r="C1706" s="54"/>
      <c r="D1706" s="55"/>
      <c r="I1706" s="55"/>
      <c r="J1706" s="56"/>
      <c r="K1706" s="56"/>
      <c r="M1706" s="55"/>
      <c r="N1706" s="55"/>
    </row>
    <row r="1707" ht="14.25" customHeight="1" spans="2:14">
      <c r="B1707" s="57"/>
      <c r="C1707" s="54"/>
      <c r="D1707" s="55"/>
      <c r="I1707" s="55"/>
      <c r="J1707" s="56"/>
      <c r="K1707" s="56"/>
      <c r="M1707" s="55"/>
      <c r="N1707" s="55"/>
    </row>
    <row r="1708" ht="14.25" customHeight="1" spans="2:14">
      <c r="B1708" s="57"/>
      <c r="C1708" s="54"/>
      <c r="D1708" s="55"/>
      <c r="I1708" s="55"/>
      <c r="J1708" s="56"/>
      <c r="K1708" s="56"/>
      <c r="M1708" s="55"/>
      <c r="N1708" s="55"/>
    </row>
    <row r="1709" ht="14.25" customHeight="1" spans="2:14">
      <c r="B1709" s="57"/>
      <c r="C1709" s="54"/>
      <c r="D1709" s="55"/>
      <c r="I1709" s="55"/>
      <c r="J1709" s="56"/>
      <c r="K1709" s="56"/>
      <c r="M1709" s="55"/>
      <c r="N1709" s="55"/>
    </row>
    <row r="1710" ht="14.25" customHeight="1" spans="2:14">
      <c r="B1710" s="57"/>
      <c r="C1710" s="54"/>
      <c r="D1710" s="55"/>
      <c r="I1710" s="55"/>
      <c r="J1710" s="56"/>
      <c r="K1710" s="56"/>
      <c r="M1710" s="55"/>
      <c r="N1710" s="55"/>
    </row>
    <row r="1711" ht="14.25" customHeight="1" spans="2:14">
      <c r="B1711" s="57"/>
      <c r="C1711" s="54"/>
      <c r="D1711" s="55"/>
      <c r="I1711" s="55"/>
      <c r="J1711" s="56"/>
      <c r="K1711" s="56"/>
      <c r="M1711" s="55"/>
      <c r="N1711" s="55"/>
    </row>
    <row r="1712" ht="14.25" customHeight="1" spans="2:14">
      <c r="B1712" s="57"/>
      <c r="C1712" s="54"/>
      <c r="D1712" s="55"/>
      <c r="I1712" s="55"/>
      <c r="J1712" s="56"/>
      <c r="K1712" s="56"/>
      <c r="M1712" s="55"/>
      <c r="N1712" s="55"/>
    </row>
    <row r="1713" ht="14.25" customHeight="1" spans="2:14">
      <c r="B1713" s="57"/>
      <c r="C1713" s="54"/>
      <c r="D1713" s="55"/>
      <c r="I1713" s="55"/>
      <c r="J1713" s="56"/>
      <c r="K1713" s="56"/>
      <c r="M1713" s="55"/>
      <c r="N1713" s="55"/>
    </row>
    <row r="1714" ht="14.25" customHeight="1" spans="2:14">
      <c r="B1714" s="57"/>
      <c r="C1714" s="54"/>
      <c r="D1714" s="55"/>
      <c r="I1714" s="55"/>
      <c r="J1714" s="56"/>
      <c r="K1714" s="56"/>
      <c r="M1714" s="55"/>
      <c r="N1714" s="55"/>
    </row>
    <row r="1715" ht="14.25" customHeight="1" spans="2:14">
      <c r="B1715" s="57"/>
      <c r="C1715" s="54"/>
      <c r="D1715" s="55"/>
      <c r="I1715" s="55"/>
      <c r="J1715" s="56"/>
      <c r="K1715" s="56"/>
      <c r="M1715" s="55"/>
      <c r="N1715" s="55"/>
    </row>
    <row r="1716" ht="14.25" customHeight="1" spans="2:14">
      <c r="B1716" s="57"/>
      <c r="C1716" s="54"/>
      <c r="D1716" s="55"/>
      <c r="I1716" s="55"/>
      <c r="J1716" s="56"/>
      <c r="K1716" s="56"/>
      <c r="M1716" s="55"/>
      <c r="N1716" s="55"/>
    </row>
    <row r="1717" ht="14.25" customHeight="1" spans="2:14">
      <c r="B1717" s="57"/>
      <c r="C1717" s="54"/>
      <c r="D1717" s="55"/>
      <c r="I1717" s="55"/>
      <c r="J1717" s="56"/>
      <c r="K1717" s="56"/>
      <c r="M1717" s="55"/>
      <c r="N1717" s="55"/>
    </row>
    <row r="1718" ht="14.25" customHeight="1" spans="2:14">
      <c r="B1718" s="57"/>
      <c r="C1718" s="54"/>
      <c r="D1718" s="55"/>
      <c r="I1718" s="55"/>
      <c r="J1718" s="56"/>
      <c r="K1718" s="56"/>
      <c r="M1718" s="55"/>
      <c r="N1718" s="55"/>
    </row>
    <row r="1719" ht="14.25" customHeight="1" spans="2:14">
      <c r="B1719" s="57"/>
      <c r="C1719" s="54"/>
      <c r="D1719" s="55"/>
      <c r="I1719" s="55"/>
      <c r="J1719" s="56"/>
      <c r="K1719" s="56"/>
      <c r="M1719" s="55"/>
      <c r="N1719" s="55"/>
    </row>
    <row r="1720" ht="14.25" customHeight="1" spans="2:14">
      <c r="B1720" s="57"/>
      <c r="C1720" s="54"/>
      <c r="D1720" s="55"/>
      <c r="I1720" s="55"/>
      <c r="J1720" s="56"/>
      <c r="K1720" s="56"/>
      <c r="M1720" s="55"/>
      <c r="N1720" s="55"/>
    </row>
    <row r="1721" ht="14.25" customHeight="1" spans="2:14">
      <c r="B1721" s="57"/>
      <c r="C1721" s="54"/>
      <c r="D1721" s="55"/>
      <c r="I1721" s="55"/>
      <c r="J1721" s="56"/>
      <c r="K1721" s="56"/>
      <c r="M1721" s="55"/>
      <c r="N1721" s="55"/>
    </row>
    <row r="1722" ht="14.25" customHeight="1" spans="2:14">
      <c r="B1722" s="57"/>
      <c r="C1722" s="54"/>
      <c r="D1722" s="55"/>
      <c r="I1722" s="55"/>
      <c r="J1722" s="56"/>
      <c r="K1722" s="56"/>
      <c r="M1722" s="55"/>
      <c r="N1722" s="55"/>
    </row>
    <row r="1723" ht="14.25" customHeight="1" spans="2:14">
      <c r="B1723" s="57"/>
      <c r="C1723" s="54"/>
      <c r="D1723" s="55"/>
      <c r="I1723" s="55"/>
      <c r="J1723" s="56"/>
      <c r="K1723" s="56"/>
      <c r="M1723" s="55"/>
      <c r="N1723" s="55"/>
    </row>
    <row r="1724" ht="14.25" customHeight="1" spans="2:14">
      <c r="B1724" s="57"/>
      <c r="C1724" s="54"/>
      <c r="D1724" s="55"/>
      <c r="I1724" s="55"/>
      <c r="J1724" s="56"/>
      <c r="K1724" s="56"/>
      <c r="M1724" s="55"/>
      <c r="N1724" s="55"/>
    </row>
    <row r="1725" ht="14.25" customHeight="1" spans="2:14">
      <c r="B1725" s="57"/>
      <c r="C1725" s="54"/>
      <c r="D1725" s="55"/>
      <c r="I1725" s="55"/>
      <c r="J1725" s="56"/>
      <c r="K1725" s="56"/>
      <c r="M1725" s="55"/>
      <c r="N1725" s="55"/>
    </row>
    <row r="1726" ht="14.25" customHeight="1" spans="2:14">
      <c r="B1726" s="57"/>
      <c r="C1726" s="54"/>
      <c r="D1726" s="55"/>
      <c r="I1726" s="55"/>
      <c r="J1726" s="56"/>
      <c r="K1726" s="56"/>
      <c r="M1726" s="55"/>
      <c r="N1726" s="55"/>
    </row>
    <row r="1727" ht="14.25" customHeight="1" spans="2:14">
      <c r="B1727" s="57"/>
      <c r="C1727" s="54"/>
      <c r="D1727" s="55"/>
      <c r="I1727" s="55"/>
      <c r="J1727" s="56"/>
      <c r="K1727" s="56"/>
      <c r="M1727" s="55"/>
      <c r="N1727" s="55"/>
    </row>
    <row r="1728" ht="14.25" customHeight="1" spans="2:14">
      <c r="B1728" s="57"/>
      <c r="C1728" s="54"/>
      <c r="D1728" s="55"/>
      <c r="I1728" s="55"/>
      <c r="J1728" s="56"/>
      <c r="K1728" s="56"/>
      <c r="M1728" s="55"/>
      <c r="N1728" s="55"/>
    </row>
    <row r="1729" ht="14.25" customHeight="1" spans="2:14">
      <c r="B1729" s="57"/>
      <c r="C1729" s="54"/>
      <c r="D1729" s="55"/>
      <c r="I1729" s="55"/>
      <c r="J1729" s="56"/>
      <c r="K1729" s="56"/>
      <c r="M1729" s="55"/>
      <c r="N1729" s="55"/>
    </row>
    <row r="1730" ht="14.25" customHeight="1" spans="2:14">
      <c r="B1730" s="57"/>
      <c r="C1730" s="54"/>
      <c r="D1730" s="55"/>
      <c r="I1730" s="55"/>
      <c r="J1730" s="56"/>
      <c r="K1730" s="56"/>
      <c r="M1730" s="55"/>
      <c r="N1730" s="55"/>
    </row>
    <row r="1731" ht="14.25" customHeight="1" spans="2:14">
      <c r="B1731" s="57"/>
      <c r="C1731" s="54"/>
      <c r="D1731" s="55"/>
      <c r="I1731" s="55"/>
      <c r="J1731" s="56"/>
      <c r="K1731" s="56"/>
      <c r="M1731" s="55"/>
      <c r="N1731" s="55"/>
    </row>
    <row r="1732" ht="14.25" customHeight="1" spans="2:14">
      <c r="B1732" s="57"/>
      <c r="C1732" s="54"/>
      <c r="D1732" s="55"/>
      <c r="I1732" s="55"/>
      <c r="J1732" s="56"/>
      <c r="K1732" s="56"/>
      <c r="M1732" s="55"/>
      <c r="N1732" s="55"/>
    </row>
    <row r="1733" ht="14.25" customHeight="1" spans="2:14">
      <c r="B1733" s="57"/>
      <c r="C1733" s="54"/>
      <c r="D1733" s="55"/>
      <c r="I1733" s="55"/>
      <c r="J1733" s="56"/>
      <c r="K1733" s="56"/>
      <c r="M1733" s="55"/>
      <c r="N1733" s="55"/>
    </row>
    <row r="1734" ht="14.25" customHeight="1" spans="2:14">
      <c r="B1734" s="57"/>
      <c r="C1734" s="54"/>
      <c r="D1734" s="55"/>
      <c r="I1734" s="55"/>
      <c r="J1734" s="56"/>
      <c r="K1734" s="56"/>
      <c r="M1734" s="55"/>
      <c r="N1734" s="55"/>
    </row>
    <row r="1735" ht="14.25" customHeight="1" spans="2:14">
      <c r="B1735" s="57"/>
      <c r="C1735" s="54"/>
      <c r="D1735" s="55"/>
      <c r="I1735" s="55"/>
      <c r="J1735" s="56"/>
      <c r="K1735" s="56"/>
      <c r="M1735" s="55"/>
      <c r="N1735" s="55"/>
    </row>
    <row r="1736" ht="14.25" customHeight="1" spans="2:14">
      <c r="B1736" s="57"/>
      <c r="C1736" s="54"/>
      <c r="D1736" s="55"/>
      <c r="I1736" s="55"/>
      <c r="J1736" s="56"/>
      <c r="K1736" s="56"/>
      <c r="M1736" s="55"/>
      <c r="N1736" s="55"/>
    </row>
    <row r="1737" ht="14.25" customHeight="1" spans="2:14">
      <c r="B1737" s="57"/>
      <c r="C1737" s="54"/>
      <c r="D1737" s="55"/>
      <c r="I1737" s="55"/>
      <c r="J1737" s="56"/>
      <c r="K1737" s="56"/>
      <c r="M1737" s="55"/>
      <c r="N1737" s="55"/>
    </row>
    <row r="1738" ht="14.25" customHeight="1" spans="2:14">
      <c r="B1738" s="57"/>
      <c r="C1738" s="54"/>
      <c r="D1738" s="55"/>
      <c r="I1738" s="55"/>
      <c r="J1738" s="56"/>
      <c r="K1738" s="56"/>
      <c r="M1738" s="55"/>
      <c r="N1738" s="55"/>
    </row>
    <row r="1739" ht="14.25" customHeight="1" spans="2:14">
      <c r="B1739" s="57"/>
      <c r="C1739" s="54"/>
      <c r="D1739" s="55"/>
      <c r="I1739" s="55"/>
      <c r="J1739" s="56"/>
      <c r="K1739" s="56"/>
      <c r="M1739" s="55"/>
      <c r="N1739" s="55"/>
    </row>
    <row r="1740" ht="14.25" customHeight="1" spans="2:14">
      <c r="B1740" s="57"/>
      <c r="C1740" s="54"/>
      <c r="D1740" s="55"/>
      <c r="I1740" s="55"/>
      <c r="J1740" s="56"/>
      <c r="K1740" s="56"/>
      <c r="M1740" s="55"/>
      <c r="N1740" s="55"/>
    </row>
    <row r="1741" ht="14.25" customHeight="1" spans="2:14">
      <c r="B1741" s="57"/>
      <c r="C1741" s="54"/>
      <c r="D1741" s="55"/>
      <c r="I1741" s="55"/>
      <c r="J1741" s="56"/>
      <c r="K1741" s="56"/>
      <c r="M1741" s="55"/>
      <c r="N1741" s="55"/>
    </row>
    <row r="1742" ht="14.25" customHeight="1" spans="2:14">
      <c r="B1742" s="57"/>
      <c r="C1742" s="54"/>
      <c r="D1742" s="55"/>
      <c r="I1742" s="55"/>
      <c r="J1742" s="56"/>
      <c r="K1742" s="56"/>
      <c r="M1742" s="55"/>
      <c r="N1742" s="55"/>
    </row>
    <row r="1743" ht="14.25" customHeight="1" spans="2:14">
      <c r="B1743" s="57"/>
      <c r="C1743" s="54"/>
      <c r="D1743" s="55"/>
      <c r="I1743" s="55"/>
      <c r="J1743" s="56"/>
      <c r="K1743" s="56"/>
      <c r="M1743" s="55"/>
      <c r="N1743" s="55"/>
    </row>
    <row r="1744" ht="14.25" customHeight="1" spans="2:14">
      <c r="B1744" s="57"/>
      <c r="C1744" s="54"/>
      <c r="D1744" s="55"/>
      <c r="I1744" s="55"/>
      <c r="J1744" s="56"/>
      <c r="K1744" s="56"/>
      <c r="M1744" s="55"/>
      <c r="N1744" s="55"/>
    </row>
    <row r="1745" ht="14.25" customHeight="1" spans="2:14">
      <c r="B1745" s="57"/>
      <c r="C1745" s="54"/>
      <c r="D1745" s="55"/>
      <c r="I1745" s="55"/>
      <c r="J1745" s="56"/>
      <c r="K1745" s="56"/>
      <c r="M1745" s="55"/>
      <c r="N1745" s="55"/>
    </row>
    <row r="1746" ht="14.25" customHeight="1" spans="2:14">
      <c r="B1746" s="57"/>
      <c r="C1746" s="54"/>
      <c r="D1746" s="55"/>
      <c r="I1746" s="55"/>
      <c r="J1746" s="56"/>
      <c r="K1746" s="56"/>
      <c r="M1746" s="55"/>
      <c r="N1746" s="55"/>
    </row>
    <row r="1747" ht="14.25" customHeight="1" spans="2:14">
      <c r="B1747" s="57"/>
      <c r="C1747" s="54"/>
      <c r="D1747" s="55"/>
      <c r="I1747" s="55"/>
      <c r="J1747" s="56"/>
      <c r="K1747" s="56"/>
      <c r="M1747" s="55"/>
      <c r="N1747" s="55"/>
    </row>
    <row r="1748" ht="14.25" customHeight="1" spans="2:14">
      <c r="B1748" s="57"/>
      <c r="C1748" s="54"/>
      <c r="D1748" s="55"/>
      <c r="I1748" s="55"/>
      <c r="J1748" s="56"/>
      <c r="K1748" s="56"/>
      <c r="M1748" s="55"/>
      <c r="N1748" s="55"/>
    </row>
    <row r="1749" ht="14.25" customHeight="1" spans="2:14">
      <c r="B1749" s="57"/>
      <c r="C1749" s="54"/>
      <c r="D1749" s="55"/>
      <c r="I1749" s="55"/>
      <c r="J1749" s="56"/>
      <c r="K1749" s="56"/>
      <c r="M1749" s="55"/>
      <c r="N1749" s="55"/>
    </row>
    <row r="1750" ht="14.25" customHeight="1" spans="2:14">
      <c r="B1750" s="57"/>
      <c r="C1750" s="54"/>
      <c r="D1750" s="55"/>
      <c r="I1750" s="55"/>
      <c r="J1750" s="56"/>
      <c r="K1750" s="56"/>
      <c r="M1750" s="55"/>
      <c r="N1750" s="55"/>
    </row>
    <row r="1751" ht="14.25" customHeight="1" spans="2:14">
      <c r="B1751" s="57"/>
      <c r="C1751" s="54"/>
      <c r="D1751" s="55"/>
      <c r="I1751" s="55"/>
      <c r="J1751" s="56"/>
      <c r="K1751" s="56"/>
      <c r="M1751" s="55"/>
      <c r="N1751" s="55"/>
    </row>
    <row r="1752" ht="14.25" customHeight="1" spans="2:14">
      <c r="B1752" s="57"/>
      <c r="C1752" s="54"/>
      <c r="D1752" s="55"/>
      <c r="I1752" s="55"/>
      <c r="J1752" s="56"/>
      <c r="K1752" s="56"/>
      <c r="M1752" s="55"/>
      <c r="N1752" s="55"/>
    </row>
    <row r="1753" ht="14.25" customHeight="1" spans="2:14">
      <c r="B1753" s="57"/>
      <c r="C1753" s="54"/>
      <c r="D1753" s="55"/>
      <c r="I1753" s="55"/>
      <c r="J1753" s="56"/>
      <c r="K1753" s="56"/>
      <c r="M1753" s="55"/>
      <c r="N1753" s="55"/>
    </row>
    <row r="1754" ht="14.25" customHeight="1" spans="2:14">
      <c r="B1754" s="57"/>
      <c r="C1754" s="54"/>
      <c r="D1754" s="55"/>
      <c r="I1754" s="55"/>
      <c r="J1754" s="56"/>
      <c r="K1754" s="56"/>
      <c r="M1754" s="55"/>
      <c r="N1754" s="55"/>
    </row>
    <row r="1755" ht="14.25" customHeight="1" spans="2:14">
      <c r="B1755" s="57"/>
      <c r="C1755" s="54"/>
      <c r="D1755" s="55"/>
      <c r="I1755" s="55"/>
      <c r="J1755" s="56"/>
      <c r="K1755" s="56"/>
      <c r="M1755" s="55"/>
      <c r="N1755" s="55"/>
    </row>
    <row r="1756" ht="14.25" customHeight="1" spans="2:14">
      <c r="B1756" s="57"/>
      <c r="C1756" s="54"/>
      <c r="D1756" s="55"/>
      <c r="I1756" s="55"/>
      <c r="J1756" s="56"/>
      <c r="K1756" s="56"/>
      <c r="M1756" s="55"/>
      <c r="N1756" s="55"/>
    </row>
    <row r="1757" ht="14.25" customHeight="1" spans="2:14">
      <c r="B1757" s="57"/>
      <c r="C1757" s="54"/>
      <c r="D1757" s="55"/>
      <c r="I1757" s="55"/>
      <c r="J1757" s="56"/>
      <c r="K1757" s="56"/>
      <c r="M1757" s="55"/>
      <c r="N1757" s="55"/>
    </row>
    <row r="1758" ht="14.25" customHeight="1" spans="2:14">
      <c r="B1758" s="57"/>
      <c r="C1758" s="54"/>
      <c r="D1758" s="55"/>
      <c r="I1758" s="55"/>
      <c r="J1758" s="56"/>
      <c r="K1758" s="56"/>
      <c r="M1758" s="55"/>
      <c r="N1758" s="55"/>
    </row>
    <row r="1759" ht="14.25" customHeight="1" spans="2:14">
      <c r="B1759" s="57"/>
      <c r="C1759" s="54"/>
      <c r="D1759" s="55"/>
      <c r="I1759" s="55"/>
      <c r="J1759" s="56"/>
      <c r="K1759" s="56"/>
      <c r="M1759" s="55"/>
      <c r="N1759" s="55"/>
    </row>
    <row r="1760" ht="14.25" customHeight="1" spans="2:14">
      <c r="B1760" s="57"/>
      <c r="C1760" s="54"/>
      <c r="D1760" s="55"/>
      <c r="I1760" s="55"/>
      <c r="J1760" s="56"/>
      <c r="K1760" s="56"/>
      <c r="M1760" s="55"/>
      <c r="N1760" s="55"/>
    </row>
    <row r="1761" ht="14.25" customHeight="1" spans="2:14">
      <c r="B1761" s="57"/>
      <c r="C1761" s="54"/>
      <c r="D1761" s="55"/>
      <c r="I1761" s="55"/>
      <c r="J1761" s="56"/>
      <c r="K1761" s="56"/>
      <c r="M1761" s="55"/>
      <c r="N1761" s="55"/>
    </row>
    <row r="1762" ht="14.25" customHeight="1" spans="2:14">
      <c r="B1762" s="57"/>
      <c r="C1762" s="54"/>
      <c r="D1762" s="55"/>
      <c r="I1762" s="55"/>
      <c r="J1762" s="56"/>
      <c r="K1762" s="56"/>
      <c r="M1762" s="55"/>
      <c r="N1762" s="55"/>
    </row>
    <row r="1763" ht="14.25" customHeight="1" spans="2:14">
      <c r="B1763" s="57"/>
      <c r="C1763" s="54"/>
      <c r="D1763" s="55"/>
      <c r="I1763" s="55"/>
      <c r="J1763" s="56"/>
      <c r="K1763" s="56"/>
      <c r="M1763" s="55"/>
      <c r="N1763" s="55"/>
    </row>
    <row r="1764" ht="14.25" customHeight="1" spans="2:14">
      <c r="B1764" s="57"/>
      <c r="C1764" s="54"/>
      <c r="D1764" s="55"/>
      <c r="I1764" s="55"/>
      <c r="J1764" s="56"/>
      <c r="K1764" s="56"/>
      <c r="M1764" s="55"/>
      <c r="N1764" s="55"/>
    </row>
    <row r="1765" ht="14.25" customHeight="1" spans="2:14">
      <c r="B1765" s="57"/>
      <c r="C1765" s="54"/>
      <c r="D1765" s="55"/>
      <c r="I1765" s="55"/>
      <c r="J1765" s="56"/>
      <c r="K1765" s="56"/>
      <c r="M1765" s="55"/>
      <c r="N1765" s="55"/>
    </row>
    <row r="1766" ht="14.25" customHeight="1" spans="2:14">
      <c r="B1766" s="57"/>
      <c r="C1766" s="54"/>
      <c r="D1766" s="55"/>
      <c r="I1766" s="55"/>
      <c r="J1766" s="56"/>
      <c r="K1766" s="56"/>
      <c r="M1766" s="55"/>
      <c r="N1766" s="55"/>
    </row>
    <row r="1767" ht="14.25" customHeight="1" spans="2:14">
      <c r="B1767" s="57"/>
      <c r="C1767" s="54"/>
      <c r="D1767" s="55"/>
      <c r="I1767" s="55"/>
      <c r="J1767" s="56"/>
      <c r="K1767" s="56"/>
      <c r="M1767" s="55"/>
      <c r="N1767" s="55"/>
    </row>
    <row r="1768" ht="14.25" customHeight="1" spans="2:14">
      <c r="B1768" s="57"/>
      <c r="C1768" s="54"/>
      <c r="D1768" s="55"/>
      <c r="I1768" s="55"/>
      <c r="J1768" s="56"/>
      <c r="K1768" s="56"/>
      <c r="M1768" s="55"/>
      <c r="N1768" s="55"/>
    </row>
    <row r="1769" ht="14.25" customHeight="1" spans="2:14">
      <c r="B1769" s="57"/>
      <c r="C1769" s="54"/>
      <c r="D1769" s="55"/>
      <c r="I1769" s="55"/>
      <c r="J1769" s="56"/>
      <c r="K1769" s="56"/>
      <c r="M1769" s="55"/>
      <c r="N1769" s="55"/>
    </row>
    <row r="1770" ht="14.25" customHeight="1" spans="2:14">
      <c r="B1770" s="57"/>
      <c r="C1770" s="54"/>
      <c r="D1770" s="55"/>
      <c r="I1770" s="55"/>
      <c r="J1770" s="56"/>
      <c r="K1770" s="56"/>
      <c r="M1770" s="55"/>
      <c r="N1770" s="55"/>
    </row>
    <row r="1771" ht="14.25" customHeight="1" spans="2:14">
      <c r="B1771" s="57"/>
      <c r="C1771" s="54"/>
      <c r="D1771" s="55"/>
      <c r="I1771" s="55"/>
      <c r="J1771" s="56"/>
      <c r="K1771" s="56"/>
      <c r="M1771" s="55"/>
      <c r="N1771" s="55"/>
    </row>
    <row r="1772" ht="14.25" customHeight="1" spans="2:14">
      <c r="B1772" s="57"/>
      <c r="C1772" s="54"/>
      <c r="D1772" s="55"/>
      <c r="I1772" s="55"/>
      <c r="J1772" s="56"/>
      <c r="K1772" s="56"/>
      <c r="M1772" s="55"/>
      <c r="N1772" s="55"/>
    </row>
    <row r="1773" ht="14.25" customHeight="1" spans="2:14">
      <c r="B1773" s="57"/>
      <c r="C1773" s="54"/>
      <c r="D1773" s="55"/>
      <c r="I1773" s="55"/>
      <c r="J1773" s="56"/>
      <c r="K1773" s="56"/>
      <c r="M1773" s="55"/>
      <c r="N1773" s="55"/>
    </row>
    <row r="1774" ht="14.25" customHeight="1" spans="2:14">
      <c r="B1774" s="57"/>
      <c r="C1774" s="54"/>
      <c r="D1774" s="55"/>
      <c r="I1774" s="55"/>
      <c r="J1774" s="56"/>
      <c r="K1774" s="56"/>
      <c r="M1774" s="55"/>
      <c r="N1774" s="55"/>
    </row>
    <row r="1775" ht="14.25" customHeight="1" spans="2:14">
      <c r="B1775" s="57"/>
      <c r="C1775" s="54"/>
      <c r="D1775" s="55"/>
      <c r="I1775" s="55"/>
      <c r="J1775" s="56"/>
      <c r="K1775" s="56"/>
      <c r="M1775" s="55"/>
      <c r="N1775" s="55"/>
    </row>
    <row r="1776" ht="14.25" customHeight="1" spans="2:14">
      <c r="B1776" s="57"/>
      <c r="C1776" s="54"/>
      <c r="D1776" s="55"/>
      <c r="I1776" s="55"/>
      <c r="J1776" s="56"/>
      <c r="K1776" s="56"/>
      <c r="M1776" s="55"/>
      <c r="N1776" s="55"/>
    </row>
    <row r="1777" ht="14.25" customHeight="1" spans="2:14">
      <c r="B1777" s="57"/>
      <c r="C1777" s="54"/>
      <c r="D1777" s="55"/>
      <c r="I1777" s="55"/>
      <c r="J1777" s="56"/>
      <c r="K1777" s="56"/>
      <c r="M1777" s="55"/>
      <c r="N1777" s="55"/>
    </row>
    <row r="1778" ht="14.25" customHeight="1" spans="2:14">
      <c r="B1778" s="57"/>
      <c r="C1778" s="54"/>
      <c r="D1778" s="55"/>
      <c r="I1778" s="55"/>
      <c r="J1778" s="56"/>
      <c r="K1778" s="56"/>
      <c r="M1778" s="55"/>
      <c r="N1778" s="55"/>
    </row>
    <row r="1779" ht="14.25" customHeight="1" spans="2:14">
      <c r="B1779" s="57"/>
      <c r="C1779" s="54"/>
      <c r="D1779" s="55"/>
      <c r="I1779" s="55"/>
      <c r="J1779" s="56"/>
      <c r="K1779" s="56"/>
      <c r="M1779" s="55"/>
      <c r="N1779" s="55"/>
    </row>
    <row r="1780" ht="14.25" customHeight="1" spans="2:14">
      <c r="B1780" s="57"/>
      <c r="C1780" s="54"/>
      <c r="D1780" s="55"/>
      <c r="I1780" s="55"/>
      <c r="J1780" s="56"/>
      <c r="K1780" s="56"/>
      <c r="M1780" s="55"/>
      <c r="N1780" s="55"/>
    </row>
    <row r="1781" ht="14.25" customHeight="1" spans="2:14">
      <c r="B1781" s="57"/>
      <c r="C1781" s="54"/>
      <c r="D1781" s="55"/>
      <c r="I1781" s="55"/>
      <c r="J1781" s="56"/>
      <c r="K1781" s="56"/>
      <c r="M1781" s="55"/>
      <c r="N1781" s="55"/>
    </row>
    <row r="1782" ht="14.25" customHeight="1" spans="2:14">
      <c r="B1782" s="57"/>
      <c r="C1782" s="54"/>
      <c r="D1782" s="55"/>
      <c r="I1782" s="55"/>
      <c r="J1782" s="56"/>
      <c r="K1782" s="56"/>
      <c r="M1782" s="55"/>
      <c r="N1782" s="55"/>
    </row>
    <row r="1783" ht="14.25" customHeight="1" spans="2:14">
      <c r="B1783" s="57"/>
      <c r="C1783" s="54"/>
      <c r="D1783" s="55"/>
      <c r="I1783" s="55"/>
      <c r="J1783" s="56"/>
      <c r="K1783" s="56"/>
      <c r="M1783" s="55"/>
      <c r="N1783" s="55"/>
    </row>
    <row r="1784" ht="14.25" customHeight="1" spans="2:14">
      <c r="B1784" s="57"/>
      <c r="C1784" s="54"/>
      <c r="D1784" s="55"/>
      <c r="I1784" s="55"/>
      <c r="J1784" s="56"/>
      <c r="K1784" s="56"/>
      <c r="M1784" s="55"/>
      <c r="N1784" s="55"/>
    </row>
    <row r="1785" ht="14.25" customHeight="1" spans="2:14">
      <c r="B1785" s="57"/>
      <c r="C1785" s="54"/>
      <c r="D1785" s="55"/>
      <c r="I1785" s="55"/>
      <c r="J1785" s="56"/>
      <c r="K1785" s="56"/>
      <c r="M1785" s="55"/>
      <c r="N1785" s="55"/>
    </row>
    <row r="1786" ht="14.25" customHeight="1" spans="2:14">
      <c r="B1786" s="57"/>
      <c r="C1786" s="54"/>
      <c r="D1786" s="55"/>
      <c r="I1786" s="55"/>
      <c r="J1786" s="56"/>
      <c r="K1786" s="56"/>
      <c r="M1786" s="55"/>
      <c r="N1786" s="55"/>
    </row>
    <row r="1787" ht="14.25" customHeight="1" spans="2:14">
      <c r="B1787" s="57"/>
      <c r="C1787" s="54"/>
      <c r="D1787" s="55"/>
      <c r="I1787" s="55"/>
      <c r="J1787" s="56"/>
      <c r="K1787" s="56"/>
      <c r="M1787" s="55"/>
      <c r="N1787" s="55"/>
    </row>
    <row r="1788" ht="14.25" customHeight="1" spans="2:14">
      <c r="B1788" s="57"/>
      <c r="C1788" s="54"/>
      <c r="D1788" s="55"/>
      <c r="I1788" s="55"/>
      <c r="J1788" s="56"/>
      <c r="K1788" s="56"/>
      <c r="M1788" s="55"/>
      <c r="N1788" s="55"/>
    </row>
    <row r="1789" ht="14.25" customHeight="1" spans="2:14">
      <c r="B1789" s="57"/>
      <c r="C1789" s="54"/>
      <c r="D1789" s="55"/>
      <c r="I1789" s="55"/>
      <c r="J1789" s="56"/>
      <c r="K1789" s="56"/>
      <c r="M1789" s="55"/>
      <c r="N1789" s="55"/>
    </row>
    <row r="1790" ht="14.25" customHeight="1" spans="2:14">
      <c r="B1790" s="57"/>
      <c r="C1790" s="54"/>
      <c r="D1790" s="55"/>
      <c r="I1790" s="55"/>
      <c r="J1790" s="56"/>
      <c r="K1790" s="56"/>
      <c r="M1790" s="55"/>
      <c r="N1790" s="55"/>
    </row>
    <row r="1791" ht="14.25" customHeight="1" spans="2:14">
      <c r="B1791" s="57"/>
      <c r="C1791" s="54"/>
      <c r="D1791" s="55"/>
      <c r="I1791" s="55"/>
      <c r="J1791" s="56"/>
      <c r="K1791" s="56"/>
      <c r="M1791" s="55"/>
      <c r="N1791" s="55"/>
    </row>
    <row r="1792" ht="14.25" customHeight="1" spans="2:14">
      <c r="B1792" s="57"/>
      <c r="C1792" s="54"/>
      <c r="D1792" s="55"/>
      <c r="I1792" s="55"/>
      <c r="J1792" s="56"/>
      <c r="K1792" s="56"/>
      <c r="M1792" s="55"/>
      <c r="N1792" s="55"/>
    </row>
    <row r="1793" ht="14.25" customHeight="1" spans="2:14">
      <c r="B1793" s="57"/>
      <c r="C1793" s="54"/>
      <c r="D1793" s="55"/>
      <c r="I1793" s="55"/>
      <c r="J1793" s="56"/>
      <c r="K1793" s="56"/>
      <c r="M1793" s="55"/>
      <c r="N1793" s="55"/>
    </row>
    <row r="1794" ht="14.25" customHeight="1" spans="2:14">
      <c r="B1794" s="57"/>
      <c r="C1794" s="54"/>
      <c r="D1794" s="55"/>
      <c r="I1794" s="55"/>
      <c r="J1794" s="56"/>
      <c r="K1794" s="56"/>
      <c r="M1794" s="55"/>
      <c r="N1794" s="55"/>
    </row>
    <row r="1795" ht="14.25" customHeight="1" spans="2:14">
      <c r="B1795" s="57"/>
      <c r="C1795" s="54"/>
      <c r="D1795" s="55"/>
      <c r="I1795" s="55"/>
      <c r="J1795" s="56"/>
      <c r="K1795" s="56"/>
      <c r="M1795" s="55"/>
      <c r="N1795" s="55"/>
    </row>
    <row r="1796" ht="14.25" customHeight="1" spans="2:14">
      <c r="B1796" s="57"/>
      <c r="C1796" s="54"/>
      <c r="D1796" s="55"/>
      <c r="I1796" s="55"/>
      <c r="J1796" s="56"/>
      <c r="K1796" s="56"/>
      <c r="M1796" s="55"/>
      <c r="N1796" s="55"/>
    </row>
    <row r="1797" ht="14.25" customHeight="1" spans="2:14">
      <c r="B1797" s="57"/>
      <c r="C1797" s="54"/>
      <c r="D1797" s="55"/>
      <c r="I1797" s="55"/>
      <c r="J1797" s="56"/>
      <c r="K1797" s="56"/>
      <c r="M1797" s="55"/>
      <c r="N1797" s="55"/>
    </row>
    <row r="1798" ht="14.25" customHeight="1" spans="2:14">
      <c r="B1798" s="57"/>
      <c r="C1798" s="54"/>
      <c r="D1798" s="55"/>
      <c r="I1798" s="55"/>
      <c r="J1798" s="56"/>
      <c r="K1798" s="56"/>
      <c r="M1798" s="55"/>
      <c r="N1798" s="55"/>
    </row>
    <row r="1799" ht="14.25" customHeight="1" spans="2:14">
      <c r="B1799" s="57"/>
      <c r="C1799" s="54"/>
      <c r="D1799" s="55"/>
      <c r="I1799" s="55"/>
      <c r="J1799" s="56"/>
      <c r="K1799" s="56"/>
      <c r="M1799" s="55"/>
      <c r="N1799" s="55"/>
    </row>
    <row r="1800" ht="14.25" customHeight="1" spans="2:14">
      <c r="B1800" s="57"/>
      <c r="C1800" s="54"/>
      <c r="D1800" s="55"/>
      <c r="I1800" s="55"/>
      <c r="J1800" s="56"/>
      <c r="K1800" s="56"/>
      <c r="M1800" s="55"/>
      <c r="N1800" s="55"/>
    </row>
    <row r="1801" ht="14.25" customHeight="1" spans="2:14">
      <c r="B1801" s="57"/>
      <c r="C1801" s="54"/>
      <c r="D1801" s="55"/>
      <c r="I1801" s="55"/>
      <c r="J1801" s="56"/>
      <c r="K1801" s="56"/>
      <c r="M1801" s="55"/>
      <c r="N1801" s="55"/>
    </row>
    <row r="1802" ht="14.25" customHeight="1" spans="2:14">
      <c r="B1802" s="57"/>
      <c r="C1802" s="54"/>
      <c r="D1802" s="55"/>
      <c r="I1802" s="55"/>
      <c r="J1802" s="56"/>
      <c r="K1802" s="56"/>
      <c r="M1802" s="55"/>
      <c r="N1802" s="55"/>
    </row>
    <row r="1803" ht="14.25" customHeight="1" spans="2:14">
      <c r="B1803" s="57"/>
      <c r="C1803" s="54"/>
      <c r="D1803" s="55"/>
      <c r="I1803" s="55"/>
      <c r="J1803" s="56"/>
      <c r="K1803" s="56"/>
      <c r="M1803" s="55"/>
      <c r="N1803" s="55"/>
    </row>
    <row r="1804" ht="14.25" customHeight="1" spans="2:14">
      <c r="B1804" s="57"/>
      <c r="C1804" s="54"/>
      <c r="D1804" s="55"/>
      <c r="I1804" s="55"/>
      <c r="J1804" s="56"/>
      <c r="K1804" s="56"/>
      <c r="M1804" s="55"/>
      <c r="N1804" s="55"/>
    </row>
    <row r="1805" ht="14.25" customHeight="1" spans="2:14">
      <c r="B1805" s="57"/>
      <c r="C1805" s="54"/>
      <c r="D1805" s="55"/>
      <c r="I1805" s="55"/>
      <c r="J1805" s="56"/>
      <c r="K1805" s="56"/>
      <c r="M1805" s="55"/>
      <c r="N1805" s="55"/>
    </row>
    <row r="1806" ht="14.25" customHeight="1" spans="2:14">
      <c r="B1806" s="57"/>
      <c r="C1806" s="54"/>
      <c r="D1806" s="55"/>
      <c r="I1806" s="55"/>
      <c r="J1806" s="56"/>
      <c r="K1806" s="56"/>
      <c r="M1806" s="55"/>
      <c r="N1806" s="55"/>
    </row>
    <row r="1807" ht="14.25" customHeight="1" spans="2:14">
      <c r="B1807" s="57"/>
      <c r="C1807" s="54"/>
      <c r="D1807" s="55"/>
      <c r="I1807" s="55"/>
      <c r="J1807" s="56"/>
      <c r="K1807" s="56"/>
      <c r="M1807" s="55"/>
      <c r="N1807" s="55"/>
    </row>
    <row r="1808" ht="14.25" customHeight="1" spans="2:14">
      <c r="B1808" s="57"/>
      <c r="C1808" s="54"/>
      <c r="D1808" s="55"/>
      <c r="I1808" s="55"/>
      <c r="J1808" s="56"/>
      <c r="K1808" s="56"/>
      <c r="M1808" s="55"/>
      <c r="N1808" s="55"/>
    </row>
    <row r="1809" ht="14.25" customHeight="1" spans="2:14">
      <c r="B1809" s="57"/>
      <c r="C1809" s="54"/>
      <c r="D1809" s="55"/>
      <c r="I1809" s="55"/>
      <c r="J1809" s="56"/>
      <c r="K1809" s="56"/>
      <c r="M1809" s="55"/>
      <c r="N1809" s="55"/>
    </row>
    <row r="1810" ht="14.25" customHeight="1" spans="2:14">
      <c r="B1810" s="57"/>
      <c r="C1810" s="54"/>
      <c r="D1810" s="55"/>
      <c r="I1810" s="55"/>
      <c r="J1810" s="56"/>
      <c r="K1810" s="56"/>
      <c r="M1810" s="55"/>
      <c r="N1810" s="55"/>
    </row>
    <row r="1811" ht="14.25" customHeight="1" spans="2:14">
      <c r="B1811" s="57"/>
      <c r="C1811" s="54"/>
      <c r="D1811" s="55"/>
      <c r="I1811" s="55"/>
      <c r="J1811" s="56"/>
      <c r="K1811" s="56"/>
      <c r="M1811" s="55"/>
      <c r="N1811" s="55"/>
    </row>
    <row r="1812" ht="14.25" customHeight="1" spans="2:14">
      <c r="B1812" s="57"/>
      <c r="C1812" s="54"/>
      <c r="D1812" s="55"/>
      <c r="I1812" s="55"/>
      <c r="J1812" s="56"/>
      <c r="K1812" s="56"/>
      <c r="M1812" s="55"/>
      <c r="N1812" s="55"/>
    </row>
    <row r="1813" ht="14.25" customHeight="1" spans="2:14">
      <c r="B1813" s="57"/>
      <c r="C1813" s="54"/>
      <c r="D1813" s="55"/>
      <c r="I1813" s="55"/>
      <c r="J1813" s="56"/>
      <c r="K1813" s="56"/>
      <c r="M1813" s="55"/>
      <c r="N1813" s="55"/>
    </row>
    <row r="1814" ht="14.25" customHeight="1" spans="2:14">
      <c r="B1814" s="57"/>
      <c r="C1814" s="54"/>
      <c r="D1814" s="55"/>
      <c r="I1814" s="55"/>
      <c r="J1814" s="56"/>
      <c r="K1814" s="56"/>
      <c r="M1814" s="55"/>
      <c r="N1814" s="55"/>
    </row>
    <row r="1815" ht="14.25" customHeight="1" spans="2:14">
      <c r="B1815" s="57"/>
      <c r="C1815" s="54"/>
      <c r="D1815" s="55"/>
      <c r="I1815" s="55"/>
      <c r="J1815" s="56"/>
      <c r="K1815" s="56"/>
      <c r="M1815" s="55"/>
      <c r="N1815" s="55"/>
    </row>
    <row r="1816" ht="14.25" customHeight="1" spans="2:14">
      <c r="B1816" s="57"/>
      <c r="C1816" s="54"/>
      <c r="D1816" s="55"/>
      <c r="I1816" s="55"/>
      <c r="J1816" s="56"/>
      <c r="K1816" s="56"/>
      <c r="M1816" s="55"/>
      <c r="N1816" s="55"/>
    </row>
    <row r="1817" ht="14.25" customHeight="1" spans="2:14">
      <c r="B1817" s="57"/>
      <c r="C1817" s="54"/>
      <c r="D1817" s="55"/>
      <c r="I1817" s="55"/>
      <c r="J1817" s="56"/>
      <c r="K1817" s="56"/>
      <c r="M1817" s="55"/>
      <c r="N1817" s="55"/>
    </row>
    <row r="1818" ht="14.25" customHeight="1" spans="2:14">
      <c r="B1818" s="57"/>
      <c r="C1818" s="54"/>
      <c r="D1818" s="55"/>
      <c r="I1818" s="55"/>
      <c r="J1818" s="56"/>
      <c r="K1818" s="56"/>
      <c r="M1818" s="55"/>
      <c r="N1818" s="55"/>
    </row>
    <row r="1819" ht="14.25" customHeight="1" spans="2:14">
      <c r="B1819" s="57"/>
      <c r="C1819" s="54"/>
      <c r="D1819" s="55"/>
      <c r="I1819" s="55"/>
      <c r="J1819" s="56"/>
      <c r="K1819" s="56"/>
      <c r="M1819" s="55"/>
      <c r="N1819" s="55"/>
    </row>
    <row r="1820" ht="14.25" customHeight="1" spans="2:14">
      <c r="B1820" s="57"/>
      <c r="C1820" s="54"/>
      <c r="D1820" s="55"/>
      <c r="I1820" s="55"/>
      <c r="J1820" s="56"/>
      <c r="K1820" s="56"/>
      <c r="M1820" s="55"/>
      <c r="N1820" s="55"/>
    </row>
    <row r="1821" ht="14.25" customHeight="1" spans="2:14">
      <c r="B1821" s="57"/>
      <c r="C1821" s="54"/>
      <c r="D1821" s="55"/>
      <c r="I1821" s="55"/>
      <c r="J1821" s="56"/>
      <c r="K1821" s="56"/>
      <c r="M1821" s="55"/>
      <c r="N1821" s="55"/>
    </row>
    <row r="1822" ht="14.25" customHeight="1" spans="2:14">
      <c r="B1822" s="57"/>
      <c r="C1822" s="54"/>
      <c r="D1822" s="55"/>
      <c r="I1822" s="55"/>
      <c r="J1822" s="56"/>
      <c r="K1822" s="56"/>
      <c r="M1822" s="55"/>
      <c r="N1822" s="55"/>
    </row>
    <row r="1823" ht="14.25" customHeight="1" spans="2:14">
      <c r="B1823" s="57"/>
      <c r="C1823" s="54"/>
      <c r="D1823" s="55"/>
      <c r="I1823" s="55"/>
      <c r="J1823" s="56"/>
      <c r="K1823" s="56"/>
      <c r="M1823" s="55"/>
      <c r="N1823" s="55"/>
    </row>
    <row r="1824" ht="14.25" customHeight="1" spans="2:14">
      <c r="B1824" s="57"/>
      <c r="C1824" s="54"/>
      <c r="D1824" s="55"/>
      <c r="I1824" s="55"/>
      <c r="J1824" s="56"/>
      <c r="K1824" s="56"/>
      <c r="M1824" s="55"/>
      <c r="N1824" s="55"/>
    </row>
    <row r="1825" ht="14.25" customHeight="1" spans="2:14">
      <c r="B1825" s="57"/>
      <c r="C1825" s="54"/>
      <c r="D1825" s="55"/>
      <c r="I1825" s="55"/>
      <c r="J1825" s="56"/>
      <c r="K1825" s="56"/>
      <c r="M1825" s="55"/>
      <c r="N1825" s="55"/>
    </row>
    <row r="1826" ht="14.25" customHeight="1" spans="2:14">
      <c r="B1826" s="57"/>
      <c r="C1826" s="54"/>
      <c r="D1826" s="55"/>
      <c r="I1826" s="55"/>
      <c r="J1826" s="56"/>
      <c r="K1826" s="56"/>
      <c r="M1826" s="55"/>
      <c r="N1826" s="55"/>
    </row>
    <row r="1827" ht="14.25" customHeight="1" spans="2:14">
      <c r="B1827" s="57"/>
      <c r="C1827" s="54"/>
      <c r="D1827" s="55"/>
      <c r="I1827" s="55"/>
      <c r="J1827" s="56"/>
      <c r="K1827" s="56"/>
      <c r="M1827" s="55"/>
      <c r="N1827" s="55"/>
    </row>
    <row r="1828" ht="14.25" customHeight="1" spans="2:14">
      <c r="B1828" s="57"/>
      <c r="C1828" s="54"/>
      <c r="D1828" s="55"/>
      <c r="I1828" s="55"/>
      <c r="J1828" s="56"/>
      <c r="K1828" s="56"/>
      <c r="M1828" s="55"/>
      <c r="N1828" s="55"/>
    </row>
    <row r="1829" ht="14.25" customHeight="1" spans="2:14">
      <c r="B1829" s="57"/>
      <c r="C1829" s="54"/>
      <c r="D1829" s="55"/>
      <c r="I1829" s="55"/>
      <c r="J1829" s="56"/>
      <c r="K1829" s="56"/>
      <c r="M1829" s="55"/>
      <c r="N1829" s="55"/>
    </row>
    <row r="1830" ht="14.25" customHeight="1" spans="2:14">
      <c r="B1830" s="57"/>
      <c r="C1830" s="54"/>
      <c r="D1830" s="55"/>
      <c r="I1830" s="55"/>
      <c r="J1830" s="56"/>
      <c r="K1830" s="56"/>
      <c r="M1830" s="55"/>
      <c r="N1830" s="55"/>
    </row>
    <row r="1831" ht="14.25" customHeight="1" spans="2:14">
      <c r="B1831" s="57"/>
      <c r="C1831" s="54"/>
      <c r="D1831" s="55"/>
      <c r="I1831" s="55"/>
      <c r="J1831" s="56"/>
      <c r="K1831" s="56"/>
      <c r="M1831" s="55"/>
      <c r="N1831" s="55"/>
    </row>
    <row r="1832" ht="14.25" customHeight="1" spans="2:14">
      <c r="B1832" s="57"/>
      <c r="C1832" s="54"/>
      <c r="D1832" s="55"/>
      <c r="I1832" s="55"/>
      <c r="J1832" s="56"/>
      <c r="K1832" s="56"/>
      <c r="M1832" s="55"/>
      <c r="N1832" s="55"/>
    </row>
    <row r="1833" ht="14.25" customHeight="1" spans="2:14">
      <c r="B1833" s="57"/>
      <c r="C1833" s="54"/>
      <c r="D1833" s="55"/>
      <c r="I1833" s="55"/>
      <c r="J1833" s="56"/>
      <c r="K1833" s="56"/>
      <c r="M1833" s="55"/>
      <c r="N1833" s="55"/>
    </row>
    <row r="1834" ht="14.25" customHeight="1" spans="2:14">
      <c r="B1834" s="57"/>
      <c r="C1834" s="54"/>
      <c r="D1834" s="55"/>
      <c r="I1834" s="55"/>
      <c r="J1834" s="56"/>
      <c r="K1834" s="56"/>
      <c r="M1834" s="55"/>
      <c r="N1834" s="55"/>
    </row>
    <row r="1835" ht="14.25" customHeight="1" spans="2:14">
      <c r="B1835" s="57"/>
      <c r="C1835" s="54"/>
      <c r="D1835" s="55"/>
      <c r="I1835" s="55"/>
      <c r="J1835" s="56"/>
      <c r="K1835" s="56"/>
      <c r="M1835" s="55"/>
      <c r="N1835" s="55"/>
    </row>
    <row r="1836" ht="14.25" customHeight="1" spans="2:14">
      <c r="B1836" s="57"/>
      <c r="C1836" s="54"/>
      <c r="D1836" s="55"/>
      <c r="I1836" s="55"/>
      <c r="J1836" s="56"/>
      <c r="K1836" s="56"/>
      <c r="M1836" s="55"/>
      <c r="N1836" s="55"/>
    </row>
    <row r="1837" ht="14.25" customHeight="1" spans="2:14">
      <c r="B1837" s="57"/>
      <c r="C1837" s="54"/>
      <c r="D1837" s="55"/>
      <c r="I1837" s="55"/>
      <c r="J1837" s="56"/>
      <c r="K1837" s="56"/>
      <c r="M1837" s="55"/>
      <c r="N1837" s="55"/>
    </row>
    <row r="1838" ht="14.25" customHeight="1" spans="2:14">
      <c r="B1838" s="57"/>
      <c r="C1838" s="54"/>
      <c r="D1838" s="55"/>
      <c r="I1838" s="55"/>
      <c r="J1838" s="56"/>
      <c r="K1838" s="56"/>
      <c r="M1838" s="55"/>
      <c r="N1838" s="55"/>
    </row>
    <row r="1839" ht="14.25" customHeight="1" spans="2:14">
      <c r="B1839" s="57"/>
      <c r="C1839" s="54"/>
      <c r="D1839" s="55"/>
      <c r="I1839" s="55"/>
      <c r="J1839" s="56"/>
      <c r="K1839" s="56"/>
      <c r="M1839" s="55"/>
      <c r="N1839" s="55"/>
    </row>
    <row r="1840" ht="14.25" customHeight="1" spans="2:14">
      <c r="B1840" s="57"/>
      <c r="C1840" s="54"/>
      <c r="D1840" s="55"/>
      <c r="I1840" s="55"/>
      <c r="J1840" s="56"/>
      <c r="K1840" s="56"/>
      <c r="M1840" s="55"/>
      <c r="N1840" s="55"/>
    </row>
    <row r="1841" ht="14.25" customHeight="1" spans="2:14">
      <c r="B1841" s="57"/>
      <c r="C1841" s="54"/>
      <c r="D1841" s="55"/>
      <c r="I1841" s="55"/>
      <c r="J1841" s="56"/>
      <c r="K1841" s="56"/>
      <c r="M1841" s="55"/>
      <c r="N1841" s="55"/>
    </row>
    <row r="1842" ht="14.25" customHeight="1" spans="2:14">
      <c r="B1842" s="57"/>
      <c r="C1842" s="54"/>
      <c r="D1842" s="55"/>
      <c r="I1842" s="55"/>
      <c r="J1842" s="56"/>
      <c r="K1842" s="56"/>
      <c r="M1842" s="55"/>
      <c r="N1842" s="55"/>
    </row>
    <row r="1843" ht="14.25" customHeight="1" spans="2:14">
      <c r="B1843" s="57"/>
      <c r="C1843" s="54"/>
      <c r="D1843" s="55"/>
      <c r="I1843" s="55"/>
      <c r="J1843" s="56"/>
      <c r="K1843" s="56"/>
      <c r="M1843" s="55"/>
      <c r="N1843" s="55"/>
    </row>
    <row r="1844" ht="14.25" customHeight="1" spans="2:14">
      <c r="B1844" s="57"/>
      <c r="C1844" s="54"/>
      <c r="D1844" s="55"/>
      <c r="I1844" s="55"/>
      <c r="J1844" s="56"/>
      <c r="K1844" s="56"/>
      <c r="M1844" s="55"/>
      <c r="N1844" s="55"/>
    </row>
    <row r="1845" ht="14.25" customHeight="1" spans="2:14">
      <c r="B1845" s="57"/>
      <c r="C1845" s="54"/>
      <c r="D1845" s="55"/>
      <c r="I1845" s="55"/>
      <c r="J1845" s="56"/>
      <c r="K1845" s="56"/>
      <c r="M1845" s="55"/>
      <c r="N1845" s="55"/>
    </row>
    <row r="1846" ht="14.25" customHeight="1" spans="2:14">
      <c r="B1846" s="57"/>
      <c r="C1846" s="54"/>
      <c r="D1846" s="55"/>
      <c r="I1846" s="55"/>
      <c r="J1846" s="56"/>
      <c r="K1846" s="56"/>
      <c r="M1846" s="55"/>
      <c r="N1846" s="55"/>
    </row>
    <row r="1847" ht="14.25" customHeight="1" spans="2:14">
      <c r="B1847" s="57"/>
      <c r="C1847" s="54"/>
      <c r="D1847" s="55"/>
      <c r="I1847" s="55"/>
      <c r="J1847" s="56"/>
      <c r="K1847" s="56"/>
      <c r="M1847" s="55"/>
      <c r="N1847" s="55"/>
    </row>
    <row r="1848" ht="14.25" customHeight="1" spans="2:14">
      <c r="B1848" s="57"/>
      <c r="C1848" s="54"/>
      <c r="D1848" s="55"/>
      <c r="I1848" s="55"/>
      <c r="J1848" s="56"/>
      <c r="K1848" s="56"/>
      <c r="M1848" s="55"/>
      <c r="N1848" s="55"/>
    </row>
    <row r="1849" ht="14.25" customHeight="1" spans="2:14">
      <c r="B1849" s="57"/>
      <c r="C1849" s="54"/>
      <c r="D1849" s="55"/>
      <c r="I1849" s="55"/>
      <c r="J1849" s="56"/>
      <c r="K1849" s="56"/>
      <c r="M1849" s="55"/>
      <c r="N1849" s="55"/>
    </row>
    <row r="1850" ht="14.25" customHeight="1" spans="2:14">
      <c r="B1850" s="57"/>
      <c r="C1850" s="54"/>
      <c r="D1850" s="55"/>
      <c r="I1850" s="55"/>
      <c r="J1850" s="56"/>
      <c r="K1850" s="56"/>
      <c r="M1850" s="55"/>
      <c r="N1850" s="55"/>
    </row>
    <row r="1851" ht="14.25" customHeight="1" spans="2:14">
      <c r="B1851" s="57"/>
      <c r="C1851" s="54"/>
      <c r="D1851" s="55"/>
      <c r="I1851" s="55"/>
      <c r="J1851" s="56"/>
      <c r="K1851" s="56"/>
      <c r="M1851" s="55"/>
      <c r="N1851" s="55"/>
    </row>
    <row r="1852" ht="14.25" customHeight="1" spans="2:14">
      <c r="B1852" s="57"/>
      <c r="C1852" s="54"/>
      <c r="D1852" s="55"/>
      <c r="I1852" s="55"/>
      <c r="J1852" s="56"/>
      <c r="K1852" s="56"/>
      <c r="M1852" s="55"/>
      <c r="N1852" s="55"/>
    </row>
    <row r="1853" ht="14.25" customHeight="1" spans="2:14">
      <c r="B1853" s="57"/>
      <c r="C1853" s="54"/>
      <c r="D1853" s="55"/>
      <c r="I1853" s="55"/>
      <c r="J1853" s="56"/>
      <c r="K1853" s="56"/>
      <c r="M1853" s="55"/>
      <c r="N1853" s="55"/>
    </row>
    <row r="1854" ht="14.25" customHeight="1" spans="2:14">
      <c r="B1854" s="57"/>
      <c r="C1854" s="54"/>
      <c r="D1854" s="55"/>
      <c r="I1854" s="55"/>
      <c r="J1854" s="56"/>
      <c r="K1854" s="56"/>
      <c r="M1854" s="55"/>
      <c r="N1854" s="55"/>
    </row>
    <row r="1855" ht="14.25" customHeight="1" spans="2:14">
      <c r="B1855" s="57"/>
      <c r="C1855" s="54"/>
      <c r="D1855" s="55"/>
      <c r="I1855" s="55"/>
      <c r="J1855" s="56"/>
      <c r="K1855" s="56"/>
      <c r="M1855" s="55"/>
      <c r="N1855" s="55"/>
    </row>
    <row r="1856" ht="14.25" customHeight="1" spans="2:14">
      <c r="B1856" s="57"/>
      <c r="C1856" s="54"/>
      <c r="D1856" s="55"/>
      <c r="I1856" s="55"/>
      <c r="J1856" s="56"/>
      <c r="K1856" s="56"/>
      <c r="M1856" s="55"/>
      <c r="N1856" s="55"/>
    </row>
    <row r="1857" ht="14.25" customHeight="1" spans="2:14">
      <c r="B1857" s="57"/>
      <c r="C1857" s="54"/>
      <c r="D1857" s="55"/>
      <c r="I1857" s="55"/>
      <c r="J1857" s="56"/>
      <c r="K1857" s="56"/>
      <c r="M1857" s="55"/>
      <c r="N1857" s="55"/>
    </row>
    <row r="1858" ht="14.25" customHeight="1" spans="2:14">
      <c r="B1858" s="57"/>
      <c r="C1858" s="54"/>
      <c r="D1858" s="55"/>
      <c r="I1858" s="55"/>
      <c r="J1858" s="56"/>
      <c r="K1858" s="56"/>
      <c r="M1858" s="55"/>
      <c r="N1858" s="55"/>
    </row>
    <row r="1859" ht="14.25" customHeight="1" spans="2:14">
      <c r="B1859" s="57"/>
      <c r="C1859" s="54"/>
      <c r="D1859" s="55"/>
      <c r="I1859" s="55"/>
      <c r="J1859" s="56"/>
      <c r="K1859" s="56"/>
      <c r="M1859" s="55"/>
      <c r="N1859" s="55"/>
    </row>
    <row r="1860" ht="14.25" customHeight="1" spans="2:14">
      <c r="B1860" s="57"/>
      <c r="C1860" s="54"/>
      <c r="D1860" s="55"/>
      <c r="I1860" s="55"/>
      <c r="J1860" s="56"/>
      <c r="K1860" s="56"/>
      <c r="M1860" s="55"/>
      <c r="N1860" s="55"/>
    </row>
    <row r="1861" ht="14.25" customHeight="1" spans="2:14">
      <c r="B1861" s="57"/>
      <c r="C1861" s="54"/>
      <c r="D1861" s="55"/>
      <c r="I1861" s="55"/>
      <c r="J1861" s="56"/>
      <c r="K1861" s="56"/>
      <c r="M1861" s="55"/>
      <c r="N1861" s="55"/>
    </row>
    <row r="1862" ht="14.25" customHeight="1" spans="2:14">
      <c r="B1862" s="57"/>
      <c r="C1862" s="54"/>
      <c r="D1862" s="55"/>
      <c r="I1862" s="55"/>
      <c r="J1862" s="56"/>
      <c r="K1862" s="56"/>
      <c r="M1862" s="55"/>
      <c r="N1862" s="55"/>
    </row>
    <row r="1863" ht="14.25" customHeight="1" spans="2:14">
      <c r="B1863" s="57"/>
      <c r="C1863" s="54"/>
      <c r="D1863" s="55"/>
      <c r="I1863" s="55"/>
      <c r="J1863" s="56"/>
      <c r="K1863" s="56"/>
      <c r="M1863" s="55"/>
      <c r="N1863" s="55"/>
    </row>
    <row r="1864" ht="14.25" customHeight="1" spans="2:14">
      <c r="B1864" s="57"/>
      <c r="C1864" s="54"/>
      <c r="D1864" s="55"/>
      <c r="I1864" s="55"/>
      <c r="J1864" s="56"/>
      <c r="K1864" s="56"/>
      <c r="M1864" s="55"/>
      <c r="N1864" s="55"/>
    </row>
    <row r="1865" ht="14.25" customHeight="1" spans="2:14">
      <c r="B1865" s="57"/>
      <c r="C1865" s="54"/>
      <c r="D1865" s="55"/>
      <c r="I1865" s="55"/>
      <c r="J1865" s="56"/>
      <c r="K1865" s="56"/>
      <c r="M1865" s="55"/>
      <c r="N1865" s="55"/>
    </row>
    <row r="1866" ht="14.25" customHeight="1" spans="2:14">
      <c r="B1866" s="57"/>
      <c r="C1866" s="54"/>
      <c r="D1866" s="55"/>
      <c r="I1866" s="55"/>
      <c r="J1866" s="56"/>
      <c r="K1866" s="56"/>
      <c r="M1866" s="55"/>
      <c r="N1866" s="55"/>
    </row>
    <row r="1867" ht="14.25" customHeight="1" spans="2:14">
      <c r="B1867" s="57"/>
      <c r="C1867" s="54"/>
      <c r="D1867" s="55"/>
      <c r="I1867" s="55"/>
      <c r="J1867" s="56"/>
      <c r="K1867" s="56"/>
      <c r="M1867" s="55"/>
      <c r="N1867" s="55"/>
    </row>
    <row r="1868" ht="14.25" customHeight="1" spans="2:14">
      <c r="B1868" s="57"/>
      <c r="C1868" s="54"/>
      <c r="D1868" s="55"/>
      <c r="I1868" s="55"/>
      <c r="J1868" s="56"/>
      <c r="K1868" s="56"/>
      <c r="M1868" s="55"/>
      <c r="N1868" s="55"/>
    </row>
    <row r="1869" ht="14.25" customHeight="1" spans="2:14">
      <c r="B1869" s="57"/>
      <c r="C1869" s="54"/>
      <c r="D1869" s="55"/>
      <c r="I1869" s="55"/>
      <c r="J1869" s="56"/>
      <c r="K1869" s="56"/>
      <c r="M1869" s="55"/>
      <c r="N1869" s="55"/>
    </row>
    <row r="1870" ht="14.25" customHeight="1" spans="2:14">
      <c r="B1870" s="57"/>
      <c r="C1870" s="54"/>
      <c r="D1870" s="55"/>
      <c r="I1870" s="55"/>
      <c r="J1870" s="56"/>
      <c r="K1870" s="56"/>
      <c r="M1870" s="55"/>
      <c r="N1870" s="55"/>
    </row>
    <row r="1871" ht="14.25" customHeight="1" spans="2:14">
      <c r="B1871" s="57"/>
      <c r="C1871" s="54"/>
      <c r="D1871" s="55"/>
      <c r="I1871" s="55"/>
      <c r="J1871" s="56"/>
      <c r="K1871" s="56"/>
      <c r="M1871" s="55"/>
      <c r="N1871" s="55"/>
    </row>
    <row r="1872" ht="14.25" customHeight="1" spans="2:14">
      <c r="B1872" s="57"/>
      <c r="C1872" s="54"/>
      <c r="D1872" s="55"/>
      <c r="I1872" s="55"/>
      <c r="J1872" s="56"/>
      <c r="K1872" s="56"/>
      <c r="M1872" s="55"/>
      <c r="N1872" s="55"/>
    </row>
    <row r="1873" ht="14.25" customHeight="1" spans="2:14">
      <c r="B1873" s="57"/>
      <c r="C1873" s="54"/>
      <c r="D1873" s="55"/>
      <c r="I1873" s="55"/>
      <c r="J1873" s="56"/>
      <c r="K1873" s="56"/>
      <c r="M1873" s="55"/>
      <c r="N1873" s="55"/>
    </row>
    <row r="1874" ht="14.25" customHeight="1" spans="2:14">
      <c r="B1874" s="57"/>
      <c r="C1874" s="54"/>
      <c r="D1874" s="55"/>
      <c r="I1874" s="55"/>
      <c r="J1874" s="56"/>
      <c r="K1874" s="56"/>
      <c r="M1874" s="55"/>
      <c r="N1874" s="55"/>
    </row>
    <row r="1875" ht="14.25" customHeight="1" spans="2:14">
      <c r="B1875" s="57"/>
      <c r="C1875" s="54"/>
      <c r="D1875" s="55"/>
      <c r="I1875" s="55"/>
      <c r="J1875" s="56"/>
      <c r="K1875" s="56"/>
      <c r="M1875" s="55"/>
      <c r="N1875" s="55"/>
    </row>
    <row r="1876" ht="14.25" customHeight="1" spans="2:14">
      <c r="B1876" s="57"/>
      <c r="C1876" s="54"/>
      <c r="D1876" s="55"/>
      <c r="I1876" s="55"/>
      <c r="J1876" s="56"/>
      <c r="K1876" s="56"/>
      <c r="M1876" s="55"/>
      <c r="N1876" s="55"/>
    </row>
    <row r="1877" ht="14.25" customHeight="1" spans="2:14">
      <c r="B1877" s="57"/>
      <c r="C1877" s="54"/>
      <c r="D1877" s="55"/>
      <c r="I1877" s="55"/>
      <c r="J1877" s="56"/>
      <c r="K1877" s="56"/>
      <c r="M1877" s="55"/>
      <c r="N1877" s="55"/>
    </row>
    <row r="1878" ht="14.25" customHeight="1" spans="2:14">
      <c r="B1878" s="57"/>
      <c r="C1878" s="54"/>
      <c r="D1878" s="55"/>
      <c r="I1878" s="55"/>
      <c r="J1878" s="56"/>
      <c r="K1878" s="56"/>
      <c r="M1878" s="55"/>
      <c r="N1878" s="55"/>
    </row>
    <row r="1879" ht="14.25" customHeight="1" spans="2:14">
      <c r="B1879" s="57"/>
      <c r="C1879" s="54"/>
      <c r="D1879" s="55"/>
      <c r="I1879" s="55"/>
      <c r="J1879" s="56"/>
      <c r="K1879" s="56"/>
      <c r="M1879" s="55"/>
      <c r="N1879" s="55"/>
    </row>
    <row r="1880" ht="14.25" customHeight="1" spans="2:14">
      <c r="B1880" s="57"/>
      <c r="C1880" s="54"/>
      <c r="D1880" s="55"/>
      <c r="I1880" s="55"/>
      <c r="J1880" s="56"/>
      <c r="K1880" s="56"/>
      <c r="M1880" s="55"/>
      <c r="N1880" s="55"/>
    </row>
    <row r="1881" ht="14.25" customHeight="1" spans="2:14">
      <c r="B1881" s="57"/>
      <c r="C1881" s="54"/>
      <c r="D1881" s="55"/>
      <c r="I1881" s="55"/>
      <c r="J1881" s="56"/>
      <c r="K1881" s="56"/>
      <c r="M1881" s="55"/>
      <c r="N1881" s="55"/>
    </row>
    <row r="1882" ht="14.25" customHeight="1" spans="2:14">
      <c r="B1882" s="57"/>
      <c r="C1882" s="54"/>
      <c r="D1882" s="55"/>
      <c r="I1882" s="55"/>
      <c r="J1882" s="56"/>
      <c r="K1882" s="56"/>
      <c r="M1882" s="55"/>
      <c r="N1882" s="55"/>
    </row>
    <row r="1883" ht="14.25" customHeight="1" spans="2:14">
      <c r="B1883" s="57"/>
      <c r="C1883" s="54"/>
      <c r="D1883" s="55"/>
      <c r="I1883" s="55"/>
      <c r="J1883" s="56"/>
      <c r="K1883" s="56"/>
      <c r="M1883" s="55"/>
      <c r="N1883" s="55"/>
    </row>
    <row r="1884" ht="14.25" customHeight="1" spans="2:14">
      <c r="B1884" s="57"/>
      <c r="C1884" s="54"/>
      <c r="D1884" s="55"/>
      <c r="I1884" s="55"/>
      <c r="J1884" s="56"/>
      <c r="K1884" s="56"/>
      <c r="M1884" s="55"/>
      <c r="N1884" s="55"/>
    </row>
    <row r="1885" ht="14.25" customHeight="1" spans="2:14">
      <c r="B1885" s="57"/>
      <c r="C1885" s="54"/>
      <c r="D1885" s="55"/>
      <c r="I1885" s="55"/>
      <c r="J1885" s="56"/>
      <c r="K1885" s="56"/>
      <c r="M1885" s="55"/>
      <c r="N1885" s="55"/>
    </row>
    <row r="1886" ht="14.25" customHeight="1" spans="2:14">
      <c r="B1886" s="57"/>
      <c r="C1886" s="54"/>
      <c r="D1886" s="55"/>
      <c r="I1886" s="55"/>
      <c r="J1886" s="56"/>
      <c r="K1886" s="56"/>
      <c r="M1886" s="55"/>
      <c r="N1886" s="55"/>
    </row>
    <row r="1887" ht="14.25" customHeight="1" spans="2:14">
      <c r="B1887" s="57"/>
      <c r="C1887" s="54"/>
      <c r="D1887" s="55"/>
      <c r="I1887" s="55"/>
      <c r="J1887" s="56"/>
      <c r="K1887" s="56"/>
      <c r="M1887" s="55"/>
      <c r="N1887" s="55"/>
    </row>
    <row r="1888" ht="14.25" customHeight="1" spans="2:14">
      <c r="B1888" s="57"/>
      <c r="C1888" s="54"/>
      <c r="D1888" s="55"/>
      <c r="I1888" s="55"/>
      <c r="J1888" s="56"/>
      <c r="K1888" s="56"/>
      <c r="M1888" s="55"/>
      <c r="N1888" s="55"/>
    </row>
    <row r="1889" ht="14.25" customHeight="1" spans="2:14">
      <c r="B1889" s="57"/>
      <c r="C1889" s="54"/>
      <c r="D1889" s="55"/>
      <c r="I1889" s="55"/>
      <c r="J1889" s="56"/>
      <c r="K1889" s="56"/>
      <c r="M1889" s="55"/>
      <c r="N1889" s="55"/>
    </row>
    <row r="1890" ht="14.25" customHeight="1" spans="2:14">
      <c r="B1890" s="57"/>
      <c r="C1890" s="54"/>
      <c r="D1890" s="55"/>
      <c r="I1890" s="55"/>
      <c r="J1890" s="56"/>
      <c r="K1890" s="56"/>
      <c r="M1890" s="55"/>
      <c r="N1890" s="55"/>
    </row>
    <row r="1891" ht="14.25" customHeight="1" spans="2:14">
      <c r="B1891" s="57"/>
      <c r="C1891" s="54"/>
      <c r="D1891" s="55"/>
      <c r="I1891" s="55"/>
      <c r="J1891" s="56"/>
      <c r="K1891" s="56"/>
      <c r="M1891" s="55"/>
      <c r="N1891" s="55"/>
    </row>
    <row r="1892" ht="14.25" customHeight="1" spans="2:14">
      <c r="B1892" s="57"/>
      <c r="C1892" s="54"/>
      <c r="D1892" s="55"/>
      <c r="I1892" s="55"/>
      <c r="J1892" s="56"/>
      <c r="K1892" s="56"/>
      <c r="M1892" s="55"/>
      <c r="N1892" s="55"/>
    </row>
    <row r="1893" ht="14.25" customHeight="1" spans="2:14">
      <c r="B1893" s="57"/>
      <c r="C1893" s="54"/>
      <c r="D1893" s="55"/>
      <c r="I1893" s="55"/>
      <c r="J1893" s="56"/>
      <c r="K1893" s="56"/>
      <c r="M1893" s="55"/>
      <c r="N1893" s="55"/>
    </row>
    <row r="1894" ht="14.25" customHeight="1" spans="2:14">
      <c r="B1894" s="57"/>
      <c r="C1894" s="54"/>
      <c r="D1894" s="55"/>
      <c r="I1894" s="55"/>
      <c r="J1894" s="56"/>
      <c r="K1894" s="56"/>
      <c r="M1894" s="55"/>
      <c r="N1894" s="55"/>
    </row>
    <row r="1895" ht="14.25" customHeight="1" spans="2:14">
      <c r="B1895" s="57"/>
      <c r="C1895" s="54"/>
      <c r="D1895" s="55"/>
      <c r="I1895" s="55"/>
      <c r="J1895" s="56"/>
      <c r="K1895" s="56"/>
      <c r="M1895" s="55"/>
      <c r="N1895" s="55"/>
    </row>
    <row r="1896" ht="14.25" customHeight="1" spans="2:14">
      <c r="B1896" s="57"/>
      <c r="C1896" s="54"/>
      <c r="D1896" s="55"/>
      <c r="I1896" s="55"/>
      <c r="J1896" s="56"/>
      <c r="K1896" s="56"/>
      <c r="M1896" s="55"/>
      <c r="N1896" s="55"/>
    </row>
    <row r="1897" ht="14.25" customHeight="1" spans="2:14">
      <c r="B1897" s="57"/>
      <c r="C1897" s="54"/>
      <c r="D1897" s="55"/>
      <c r="I1897" s="55"/>
      <c r="J1897" s="56"/>
      <c r="K1897" s="56"/>
      <c r="M1897" s="55"/>
      <c r="N1897" s="55"/>
    </row>
    <row r="1898" ht="14.25" customHeight="1" spans="2:14">
      <c r="B1898" s="57"/>
      <c r="C1898" s="54"/>
      <c r="D1898" s="55"/>
      <c r="I1898" s="55"/>
      <c r="J1898" s="56"/>
      <c r="K1898" s="56"/>
      <c r="M1898" s="55"/>
      <c r="N1898" s="55"/>
    </row>
    <row r="1899" ht="14.25" customHeight="1" spans="2:14">
      <c r="B1899" s="57"/>
      <c r="C1899" s="54"/>
      <c r="D1899" s="55"/>
      <c r="I1899" s="55"/>
      <c r="J1899" s="56"/>
      <c r="K1899" s="56"/>
      <c r="M1899" s="55"/>
      <c r="N1899" s="55"/>
    </row>
    <row r="1900" ht="14.25" customHeight="1" spans="2:14">
      <c r="B1900" s="57"/>
      <c r="C1900" s="54"/>
      <c r="D1900" s="55"/>
      <c r="I1900" s="55"/>
      <c r="J1900" s="56"/>
      <c r="K1900" s="56"/>
      <c r="M1900" s="55"/>
      <c r="N1900" s="55"/>
    </row>
    <row r="1901" ht="14.25" customHeight="1" spans="2:14">
      <c r="B1901" s="57"/>
      <c r="C1901" s="54"/>
      <c r="D1901" s="55"/>
      <c r="I1901" s="55"/>
      <c r="J1901" s="56"/>
      <c r="K1901" s="56"/>
      <c r="M1901" s="55"/>
      <c r="N1901" s="55"/>
    </row>
    <row r="1902" ht="14.25" customHeight="1" spans="2:14">
      <c r="B1902" s="57"/>
      <c r="C1902" s="54"/>
      <c r="D1902" s="55"/>
      <c r="I1902" s="55"/>
      <c r="J1902" s="56"/>
      <c r="K1902" s="56"/>
      <c r="M1902" s="55"/>
      <c r="N1902" s="55"/>
    </row>
    <row r="1903" ht="14.25" customHeight="1" spans="2:14">
      <c r="B1903" s="57"/>
      <c r="C1903" s="54"/>
      <c r="D1903" s="55"/>
      <c r="I1903" s="55"/>
      <c r="J1903" s="56"/>
      <c r="K1903" s="56"/>
      <c r="M1903" s="55"/>
      <c r="N1903" s="55"/>
    </row>
    <row r="1904" ht="14.25" customHeight="1" spans="2:14">
      <c r="B1904" s="57"/>
      <c r="C1904" s="54"/>
      <c r="D1904" s="55"/>
      <c r="I1904" s="55"/>
      <c r="J1904" s="56"/>
      <c r="K1904" s="56"/>
      <c r="M1904" s="55"/>
      <c r="N1904" s="55"/>
    </row>
    <row r="1905" ht="14.25" customHeight="1" spans="2:14">
      <c r="B1905" s="57"/>
      <c r="C1905" s="54"/>
      <c r="D1905" s="55"/>
      <c r="I1905" s="55"/>
      <c r="J1905" s="56"/>
      <c r="K1905" s="56"/>
      <c r="M1905" s="55"/>
      <c r="N1905" s="55"/>
    </row>
    <row r="1906" ht="14.25" customHeight="1" spans="2:14">
      <c r="B1906" s="57"/>
      <c r="C1906" s="54"/>
      <c r="D1906" s="55"/>
      <c r="I1906" s="55"/>
      <c r="J1906" s="56"/>
      <c r="K1906" s="56"/>
      <c r="M1906" s="55"/>
      <c r="N1906" s="55"/>
    </row>
    <row r="1907" ht="14.25" customHeight="1" spans="2:14">
      <c r="B1907" s="57"/>
      <c r="C1907" s="54"/>
      <c r="D1907" s="55"/>
      <c r="I1907" s="55"/>
      <c r="J1907" s="56"/>
      <c r="K1907" s="56"/>
      <c r="M1907" s="55"/>
      <c r="N1907" s="55"/>
    </row>
    <row r="1908" ht="14.25" customHeight="1" spans="2:14">
      <c r="B1908" s="57"/>
      <c r="C1908" s="54"/>
      <c r="D1908" s="55"/>
      <c r="I1908" s="55"/>
      <c r="J1908" s="56"/>
      <c r="K1908" s="56"/>
      <c r="M1908" s="55"/>
      <c r="N1908" s="55"/>
    </row>
    <row r="1909" ht="14.25" customHeight="1" spans="2:14">
      <c r="B1909" s="57"/>
      <c r="C1909" s="54"/>
      <c r="D1909" s="55"/>
      <c r="I1909" s="55"/>
      <c r="J1909" s="56"/>
      <c r="K1909" s="56"/>
      <c r="M1909" s="55"/>
      <c r="N1909" s="55"/>
    </row>
    <row r="1910" ht="14.25" customHeight="1" spans="2:14">
      <c r="B1910" s="57"/>
      <c r="C1910" s="54"/>
      <c r="D1910" s="55"/>
      <c r="I1910" s="55"/>
      <c r="J1910" s="56"/>
      <c r="K1910" s="56"/>
      <c r="M1910" s="55"/>
      <c r="N1910" s="55"/>
    </row>
    <row r="1911" ht="14.25" customHeight="1" spans="2:14">
      <c r="B1911" s="57"/>
      <c r="C1911" s="54"/>
      <c r="D1911" s="55"/>
      <c r="I1911" s="55"/>
      <c r="J1911" s="56"/>
      <c r="K1911" s="56"/>
      <c r="M1911" s="55"/>
      <c r="N1911" s="55"/>
    </row>
    <row r="1912" ht="14.25" customHeight="1" spans="2:14">
      <c r="B1912" s="57"/>
      <c r="C1912" s="54"/>
      <c r="D1912" s="55"/>
      <c r="I1912" s="55"/>
      <c r="J1912" s="56"/>
      <c r="K1912" s="56"/>
      <c r="M1912" s="55"/>
      <c r="N1912" s="55"/>
    </row>
    <row r="1913" ht="14.25" customHeight="1" spans="2:14">
      <c r="B1913" s="57"/>
      <c r="C1913" s="54"/>
      <c r="D1913" s="55"/>
      <c r="I1913" s="55"/>
      <c r="J1913" s="56"/>
      <c r="K1913" s="56"/>
      <c r="M1913" s="55"/>
      <c r="N1913" s="55"/>
    </row>
    <row r="1914" ht="14.25" customHeight="1" spans="2:14">
      <c r="B1914" s="57"/>
      <c r="C1914" s="54"/>
      <c r="D1914" s="55"/>
      <c r="I1914" s="55"/>
      <c r="J1914" s="56"/>
      <c r="K1914" s="56"/>
      <c r="M1914" s="55"/>
      <c r="N1914" s="55"/>
    </row>
    <row r="1915" ht="14.25" customHeight="1" spans="2:14">
      <c r="B1915" s="57"/>
      <c r="C1915" s="54"/>
      <c r="D1915" s="55"/>
      <c r="I1915" s="55"/>
      <c r="J1915" s="56"/>
      <c r="K1915" s="56"/>
      <c r="M1915" s="55"/>
      <c r="N1915" s="55"/>
    </row>
    <row r="1916" ht="14.25" customHeight="1" spans="2:14">
      <c r="B1916" s="57"/>
      <c r="C1916" s="54"/>
      <c r="D1916" s="55"/>
      <c r="I1916" s="55"/>
      <c r="J1916" s="56"/>
      <c r="K1916" s="56"/>
      <c r="M1916" s="55"/>
      <c r="N1916" s="55"/>
    </row>
    <row r="1917" ht="14.25" customHeight="1" spans="2:14">
      <c r="B1917" s="57"/>
      <c r="C1917" s="54"/>
      <c r="D1917" s="55"/>
      <c r="I1917" s="55"/>
      <c r="J1917" s="56"/>
      <c r="K1917" s="56"/>
      <c r="M1917" s="55"/>
      <c r="N1917" s="55"/>
    </row>
    <row r="1918" ht="14.25" customHeight="1" spans="2:14">
      <c r="B1918" s="57"/>
      <c r="C1918" s="54"/>
      <c r="D1918" s="55"/>
      <c r="I1918" s="55"/>
      <c r="J1918" s="56"/>
      <c r="K1918" s="56"/>
      <c r="M1918" s="55"/>
      <c r="N1918" s="55"/>
    </row>
    <row r="1919" ht="14.25" customHeight="1" spans="2:14">
      <c r="B1919" s="57"/>
      <c r="C1919" s="54"/>
      <c r="D1919" s="55"/>
      <c r="I1919" s="55"/>
      <c r="J1919" s="56"/>
      <c r="K1919" s="56"/>
      <c r="M1919" s="55"/>
      <c r="N1919" s="55"/>
    </row>
    <row r="1920" ht="14.25" customHeight="1" spans="2:14">
      <c r="B1920" s="57"/>
      <c r="C1920" s="54"/>
      <c r="D1920" s="55"/>
      <c r="I1920" s="55"/>
      <c r="J1920" s="56"/>
      <c r="K1920" s="56"/>
      <c r="M1920" s="55"/>
      <c r="N1920" s="55"/>
    </row>
    <row r="1921" ht="14.25" customHeight="1" spans="2:14">
      <c r="B1921" s="57"/>
      <c r="C1921" s="54"/>
      <c r="D1921" s="55"/>
      <c r="I1921" s="55"/>
      <c r="J1921" s="56"/>
      <c r="K1921" s="56"/>
      <c r="M1921" s="55"/>
      <c r="N1921" s="55"/>
    </row>
    <row r="1922" ht="14.25" customHeight="1" spans="2:14">
      <c r="B1922" s="57"/>
      <c r="C1922" s="54"/>
      <c r="D1922" s="55"/>
      <c r="I1922" s="55"/>
      <c r="J1922" s="56"/>
      <c r="K1922" s="56"/>
      <c r="M1922" s="55"/>
      <c r="N1922" s="55"/>
    </row>
    <row r="1923" ht="14.25" customHeight="1" spans="2:14">
      <c r="B1923" s="57"/>
      <c r="C1923" s="54"/>
      <c r="D1923" s="55"/>
      <c r="I1923" s="55"/>
      <c r="J1923" s="56"/>
      <c r="K1923" s="56"/>
      <c r="M1923" s="55"/>
      <c r="N1923" s="55"/>
    </row>
    <row r="1924" ht="14.25" customHeight="1" spans="2:14">
      <c r="B1924" s="57"/>
      <c r="C1924" s="54"/>
      <c r="D1924" s="55"/>
      <c r="I1924" s="55"/>
      <c r="J1924" s="56"/>
      <c r="K1924" s="56"/>
      <c r="M1924" s="55"/>
      <c r="N1924" s="55"/>
    </row>
    <row r="1925" ht="14.25" customHeight="1" spans="2:14">
      <c r="B1925" s="57"/>
      <c r="C1925" s="54"/>
      <c r="D1925" s="55"/>
      <c r="I1925" s="55"/>
      <c r="J1925" s="56"/>
      <c r="K1925" s="56"/>
      <c r="M1925" s="55"/>
      <c r="N1925" s="55"/>
    </row>
    <row r="1926" ht="14.25" customHeight="1" spans="2:14">
      <c r="B1926" s="57"/>
      <c r="C1926" s="54"/>
      <c r="D1926" s="55"/>
      <c r="I1926" s="55"/>
      <c r="J1926" s="56"/>
      <c r="K1926" s="56"/>
      <c r="M1926" s="55"/>
      <c r="N1926" s="55"/>
    </row>
    <row r="1927" ht="14.25" customHeight="1" spans="2:14">
      <c r="B1927" s="57"/>
      <c r="C1927" s="54"/>
      <c r="D1927" s="55"/>
      <c r="I1927" s="55"/>
      <c r="J1927" s="56"/>
      <c r="K1927" s="56"/>
      <c r="M1927" s="55"/>
      <c r="N1927" s="55"/>
    </row>
    <row r="1928" ht="14.25" customHeight="1" spans="2:14">
      <c r="B1928" s="57"/>
      <c r="C1928" s="54"/>
      <c r="D1928" s="55"/>
      <c r="I1928" s="55"/>
      <c r="J1928" s="56"/>
      <c r="K1928" s="56"/>
      <c r="M1928" s="55"/>
      <c r="N1928" s="55"/>
    </row>
    <row r="1929" ht="14.25" customHeight="1" spans="2:14">
      <c r="B1929" s="57"/>
      <c r="C1929" s="54"/>
      <c r="D1929" s="55"/>
      <c r="I1929" s="55"/>
      <c r="J1929" s="56"/>
      <c r="K1929" s="56"/>
      <c r="M1929" s="55"/>
      <c r="N1929" s="55"/>
    </row>
    <row r="1930" ht="14.25" customHeight="1" spans="2:14">
      <c r="B1930" s="57"/>
      <c r="C1930" s="54"/>
      <c r="D1930" s="55"/>
      <c r="I1930" s="55"/>
      <c r="J1930" s="56"/>
      <c r="K1930" s="56"/>
      <c r="M1930" s="55"/>
      <c r="N1930" s="55"/>
    </row>
    <row r="1931" ht="14.25" customHeight="1" spans="2:14">
      <c r="B1931" s="57"/>
      <c r="C1931" s="54"/>
      <c r="D1931" s="55"/>
      <c r="I1931" s="55"/>
      <c r="J1931" s="56"/>
      <c r="K1931" s="56"/>
      <c r="M1931" s="55"/>
      <c r="N1931" s="55"/>
    </row>
    <row r="1932" ht="14.25" customHeight="1" spans="2:14">
      <c r="B1932" s="57"/>
      <c r="C1932" s="54"/>
      <c r="D1932" s="55"/>
      <c r="I1932" s="55"/>
      <c r="J1932" s="56"/>
      <c r="K1932" s="56"/>
      <c r="M1932" s="55"/>
      <c r="N1932" s="55"/>
    </row>
    <row r="1933" ht="14.25" customHeight="1" spans="2:14">
      <c r="B1933" s="57"/>
      <c r="C1933" s="54"/>
      <c r="D1933" s="55"/>
      <c r="I1933" s="55"/>
      <c r="J1933" s="56"/>
      <c r="K1933" s="56"/>
      <c r="M1933" s="55"/>
      <c r="N1933" s="55"/>
    </row>
    <row r="1934" ht="14.25" customHeight="1" spans="2:14">
      <c r="B1934" s="57"/>
      <c r="C1934" s="54"/>
      <c r="D1934" s="55"/>
      <c r="I1934" s="55"/>
      <c r="J1934" s="56"/>
      <c r="K1934" s="56"/>
      <c r="M1934" s="55"/>
      <c r="N1934" s="55"/>
    </row>
    <row r="1935" ht="14.25" customHeight="1" spans="2:14">
      <c r="B1935" s="57"/>
      <c r="C1935" s="54"/>
      <c r="D1935" s="55"/>
      <c r="I1935" s="55"/>
      <c r="J1935" s="56"/>
      <c r="K1935" s="56"/>
      <c r="M1935" s="55"/>
      <c r="N1935" s="55"/>
    </row>
    <row r="1936" ht="14.25" customHeight="1" spans="2:14">
      <c r="B1936" s="57"/>
      <c r="C1936" s="54"/>
      <c r="D1936" s="55"/>
      <c r="I1936" s="55"/>
      <c r="J1936" s="56"/>
      <c r="K1936" s="56"/>
      <c r="M1936" s="55"/>
      <c r="N1936" s="55"/>
    </row>
    <row r="1937" ht="14.25" customHeight="1" spans="2:14">
      <c r="B1937" s="57"/>
      <c r="C1937" s="54"/>
      <c r="D1937" s="55"/>
      <c r="I1937" s="55"/>
      <c r="J1937" s="56"/>
      <c r="K1937" s="56"/>
      <c r="M1937" s="55"/>
      <c r="N1937" s="55"/>
    </row>
    <row r="1938" ht="14.25" customHeight="1" spans="2:14">
      <c r="B1938" s="57"/>
      <c r="C1938" s="54"/>
      <c r="D1938" s="55"/>
      <c r="I1938" s="55"/>
      <c r="J1938" s="56"/>
      <c r="K1938" s="56"/>
      <c r="M1938" s="55"/>
      <c r="N1938" s="55"/>
    </row>
    <row r="1939" ht="14.25" customHeight="1" spans="2:14">
      <c r="B1939" s="57"/>
      <c r="C1939" s="54"/>
      <c r="D1939" s="55"/>
      <c r="I1939" s="55"/>
      <c r="J1939" s="56"/>
      <c r="K1939" s="56"/>
      <c r="M1939" s="55"/>
      <c r="N1939" s="55"/>
    </row>
    <row r="1940" ht="14.25" customHeight="1" spans="2:14">
      <c r="B1940" s="57"/>
      <c r="C1940" s="54"/>
      <c r="D1940" s="55"/>
      <c r="I1940" s="55"/>
      <c r="J1940" s="56"/>
      <c r="K1940" s="56"/>
      <c r="M1940" s="55"/>
      <c r="N1940" s="55"/>
    </row>
    <row r="1941" ht="14.25" customHeight="1" spans="2:14">
      <c r="B1941" s="57"/>
      <c r="C1941" s="54"/>
      <c r="D1941" s="55"/>
      <c r="I1941" s="55"/>
      <c r="J1941" s="56"/>
      <c r="K1941" s="56"/>
      <c r="M1941" s="55"/>
      <c r="N1941" s="55"/>
    </row>
    <row r="1942" ht="14.25" customHeight="1" spans="2:14">
      <c r="B1942" s="57"/>
      <c r="C1942" s="54"/>
      <c r="D1942" s="55"/>
      <c r="I1942" s="55"/>
      <c r="J1942" s="56"/>
      <c r="K1942" s="56"/>
      <c r="M1942" s="55"/>
      <c r="N1942" s="55"/>
    </row>
    <row r="1943" ht="14.25" customHeight="1" spans="2:14">
      <c r="B1943" s="57"/>
      <c r="C1943" s="54"/>
      <c r="D1943" s="55"/>
      <c r="I1943" s="55"/>
      <c r="J1943" s="56"/>
      <c r="K1943" s="56"/>
      <c r="M1943" s="55"/>
      <c r="N1943" s="55"/>
    </row>
    <row r="1944" ht="14.25" customHeight="1" spans="2:14">
      <c r="B1944" s="57"/>
      <c r="C1944" s="54"/>
      <c r="D1944" s="55"/>
      <c r="I1944" s="55"/>
      <c r="J1944" s="56"/>
      <c r="K1944" s="56"/>
      <c r="M1944" s="55"/>
      <c r="N1944" s="55"/>
    </row>
    <row r="1945" ht="14.25" customHeight="1" spans="2:14">
      <c r="B1945" s="57"/>
      <c r="C1945" s="54"/>
      <c r="D1945" s="55"/>
      <c r="I1945" s="55"/>
      <c r="J1945" s="56"/>
      <c r="K1945" s="56"/>
      <c r="M1945" s="55"/>
      <c r="N1945" s="55"/>
    </row>
    <row r="1946" ht="14.25" customHeight="1" spans="2:14">
      <c r="B1946" s="57"/>
      <c r="C1946" s="54"/>
      <c r="D1946" s="55"/>
      <c r="I1946" s="55"/>
      <c r="J1946" s="56"/>
      <c r="K1946" s="56"/>
      <c r="M1946" s="55"/>
      <c r="N1946" s="55"/>
    </row>
    <row r="1947" ht="14.25" customHeight="1" spans="2:14">
      <c r="B1947" s="57"/>
      <c r="C1947" s="54"/>
      <c r="D1947" s="55"/>
      <c r="I1947" s="55"/>
      <c r="J1947" s="56"/>
      <c r="K1947" s="56"/>
      <c r="M1947" s="55"/>
      <c r="N1947" s="55"/>
    </row>
    <row r="1948" ht="14.25" customHeight="1" spans="2:14">
      <c r="B1948" s="57"/>
      <c r="C1948" s="54"/>
      <c r="D1948" s="55"/>
      <c r="I1948" s="55"/>
      <c r="J1948" s="56"/>
      <c r="K1948" s="56"/>
      <c r="M1948" s="55"/>
      <c r="N1948" s="55"/>
    </row>
    <row r="1949" ht="14.25" customHeight="1" spans="2:14">
      <c r="B1949" s="57"/>
      <c r="C1949" s="54"/>
      <c r="D1949" s="55"/>
      <c r="I1949" s="55"/>
      <c r="J1949" s="56"/>
      <c r="K1949" s="56"/>
      <c r="M1949" s="55"/>
      <c r="N1949" s="55"/>
    </row>
    <row r="1950" ht="14.25" customHeight="1" spans="2:14">
      <c r="B1950" s="57"/>
      <c r="C1950" s="54"/>
      <c r="D1950" s="55"/>
      <c r="I1950" s="55"/>
      <c r="J1950" s="56"/>
      <c r="K1950" s="56"/>
      <c r="M1950" s="55"/>
      <c r="N1950" s="55"/>
    </row>
    <row r="1951" ht="14.25" customHeight="1" spans="2:14">
      <c r="B1951" s="57"/>
      <c r="C1951" s="54"/>
      <c r="D1951" s="55"/>
      <c r="I1951" s="55"/>
      <c r="J1951" s="56"/>
      <c r="K1951" s="56"/>
      <c r="M1951" s="55"/>
      <c r="N1951" s="55"/>
    </row>
    <row r="1952" ht="14.25" customHeight="1" spans="2:14">
      <c r="B1952" s="57"/>
      <c r="C1952" s="54"/>
      <c r="D1952" s="55"/>
      <c r="I1952" s="55"/>
      <c r="J1952" s="56"/>
      <c r="K1952" s="56"/>
      <c r="M1952" s="55"/>
      <c r="N1952" s="55"/>
    </row>
    <row r="1953" ht="14.25" customHeight="1" spans="2:14">
      <c r="B1953" s="57"/>
      <c r="C1953" s="54"/>
      <c r="D1953" s="55"/>
      <c r="I1953" s="55"/>
      <c r="J1953" s="56"/>
      <c r="K1953" s="56"/>
      <c r="M1953" s="55"/>
      <c r="N1953" s="55"/>
    </row>
    <row r="1954" ht="14.25" customHeight="1" spans="2:14">
      <c r="B1954" s="57"/>
      <c r="C1954" s="54"/>
      <c r="D1954" s="55"/>
      <c r="I1954" s="55"/>
      <c r="J1954" s="56"/>
      <c r="K1954" s="56"/>
      <c r="M1954" s="55"/>
      <c r="N1954" s="55"/>
    </row>
    <row r="1955" ht="14.25" customHeight="1" spans="2:14">
      <c r="B1955" s="57"/>
      <c r="C1955" s="54"/>
      <c r="D1955" s="55"/>
      <c r="I1955" s="55"/>
      <c r="J1955" s="56"/>
      <c r="K1955" s="56"/>
      <c r="M1955" s="55"/>
      <c r="N1955" s="55"/>
    </row>
    <row r="1956" ht="14.25" customHeight="1" spans="2:14">
      <c r="B1956" s="57"/>
      <c r="C1956" s="54"/>
      <c r="D1956" s="55"/>
      <c r="I1956" s="55"/>
      <c r="J1956" s="56"/>
      <c r="K1956" s="56"/>
      <c r="M1956" s="55"/>
      <c r="N1956" s="55"/>
    </row>
    <row r="1957" ht="14.25" customHeight="1" spans="2:14">
      <c r="B1957" s="57"/>
      <c r="C1957" s="54"/>
      <c r="D1957" s="55"/>
      <c r="I1957" s="55"/>
      <c r="J1957" s="56"/>
      <c r="K1957" s="56"/>
      <c r="M1957" s="55"/>
      <c r="N1957" s="55"/>
    </row>
    <row r="1958" ht="14.25" customHeight="1" spans="2:14">
      <c r="B1958" s="57"/>
      <c r="C1958" s="54"/>
      <c r="D1958" s="55"/>
      <c r="I1958" s="55"/>
      <c r="J1958" s="56"/>
      <c r="K1958" s="56"/>
      <c r="M1958" s="55"/>
      <c r="N1958" s="55"/>
    </row>
    <row r="1959" ht="14.25" customHeight="1" spans="2:14">
      <c r="B1959" s="57"/>
      <c r="C1959" s="54"/>
      <c r="D1959" s="55"/>
      <c r="I1959" s="55"/>
      <c r="J1959" s="56"/>
      <c r="K1959" s="56"/>
      <c r="M1959" s="55"/>
      <c r="N1959" s="55"/>
    </row>
    <row r="1960" ht="14.25" customHeight="1" spans="2:14">
      <c r="B1960" s="57"/>
      <c r="C1960" s="54"/>
      <c r="D1960" s="55"/>
      <c r="I1960" s="55"/>
      <c r="J1960" s="56"/>
      <c r="K1960" s="56"/>
      <c r="M1960" s="55"/>
      <c r="N1960" s="55"/>
    </row>
    <row r="1961" ht="14.25" customHeight="1" spans="2:14">
      <c r="B1961" s="57"/>
      <c r="C1961" s="54"/>
      <c r="D1961" s="55"/>
      <c r="I1961" s="55"/>
      <c r="J1961" s="56"/>
      <c r="K1961" s="56"/>
      <c r="M1961" s="55"/>
      <c r="N1961" s="55"/>
    </row>
    <row r="1962" ht="14.25" customHeight="1" spans="2:14">
      <c r="B1962" s="57"/>
      <c r="C1962" s="54"/>
      <c r="D1962" s="55"/>
      <c r="I1962" s="55"/>
      <c r="J1962" s="56"/>
      <c r="K1962" s="56"/>
      <c r="M1962" s="55"/>
      <c r="N1962" s="55"/>
    </row>
    <row r="1963" ht="14.25" customHeight="1" spans="2:14">
      <c r="B1963" s="57"/>
      <c r="C1963" s="54"/>
      <c r="D1963" s="55"/>
      <c r="I1963" s="55"/>
      <c r="J1963" s="56"/>
      <c r="K1963" s="56"/>
      <c r="M1963" s="55"/>
      <c r="N1963" s="55"/>
    </row>
    <row r="1964" ht="14.25" customHeight="1" spans="2:14">
      <c r="B1964" s="57"/>
      <c r="C1964" s="54"/>
      <c r="D1964" s="55"/>
      <c r="I1964" s="55"/>
      <c r="J1964" s="56"/>
      <c r="K1964" s="56"/>
      <c r="M1964" s="55"/>
      <c r="N1964" s="55"/>
    </row>
    <row r="1965" ht="14.25" customHeight="1" spans="2:14">
      <c r="B1965" s="57"/>
      <c r="C1965" s="54"/>
      <c r="D1965" s="55"/>
      <c r="I1965" s="55"/>
      <c r="J1965" s="56"/>
      <c r="K1965" s="56"/>
      <c r="M1965" s="55"/>
      <c r="N1965" s="55"/>
    </row>
    <row r="1966" ht="14.25" customHeight="1" spans="2:14">
      <c r="B1966" s="57"/>
      <c r="C1966" s="54"/>
      <c r="D1966" s="55"/>
      <c r="I1966" s="55"/>
      <c r="J1966" s="56"/>
      <c r="K1966" s="56"/>
      <c r="M1966" s="55"/>
      <c r="N1966" s="55"/>
    </row>
    <row r="1967" ht="14.25" customHeight="1" spans="2:14">
      <c r="B1967" s="57"/>
      <c r="C1967" s="54"/>
      <c r="D1967" s="55"/>
      <c r="I1967" s="55"/>
      <c r="J1967" s="56"/>
      <c r="K1967" s="56"/>
      <c r="M1967" s="55"/>
      <c r="N1967" s="55"/>
    </row>
    <row r="1968" ht="14.25" customHeight="1" spans="2:14">
      <c r="B1968" s="57"/>
      <c r="C1968" s="54"/>
      <c r="D1968" s="55"/>
      <c r="I1968" s="55"/>
      <c r="J1968" s="56"/>
      <c r="K1968" s="56"/>
      <c r="M1968" s="55"/>
      <c r="N1968" s="55"/>
    </row>
    <row r="1969" ht="14.25" customHeight="1" spans="2:14">
      <c r="B1969" s="57"/>
      <c r="C1969" s="54"/>
      <c r="D1969" s="55"/>
      <c r="I1969" s="55"/>
      <c r="J1969" s="56"/>
      <c r="K1969" s="56"/>
      <c r="M1969" s="55"/>
      <c r="N1969" s="55"/>
    </row>
    <row r="1970" ht="14.25" customHeight="1" spans="2:14">
      <c r="B1970" s="57"/>
      <c r="C1970" s="54"/>
      <c r="D1970" s="55"/>
      <c r="I1970" s="55"/>
      <c r="J1970" s="56"/>
      <c r="K1970" s="56"/>
      <c r="M1970" s="55"/>
      <c r="N1970" s="55"/>
    </row>
    <row r="1971" ht="14.25" customHeight="1" spans="2:14">
      <c r="B1971" s="57"/>
      <c r="C1971" s="54"/>
      <c r="D1971" s="55"/>
      <c r="I1971" s="55"/>
      <c r="J1971" s="56"/>
      <c r="K1971" s="56"/>
      <c r="M1971" s="55"/>
      <c r="N1971" s="55"/>
    </row>
    <row r="1972" ht="14.25" customHeight="1" spans="2:14">
      <c r="B1972" s="57"/>
      <c r="C1972" s="54"/>
      <c r="D1972" s="55"/>
      <c r="I1972" s="55"/>
      <c r="J1972" s="56"/>
      <c r="K1972" s="56"/>
      <c r="M1972" s="55"/>
      <c r="N1972" s="55"/>
    </row>
    <row r="1973" ht="14.25" customHeight="1" spans="2:14">
      <c r="B1973" s="57"/>
      <c r="C1973" s="54"/>
      <c r="D1973" s="55"/>
      <c r="I1973" s="55"/>
      <c r="J1973" s="56"/>
      <c r="K1973" s="56"/>
      <c r="M1973" s="55"/>
      <c r="N1973" s="55"/>
    </row>
    <row r="1974" ht="14.25" customHeight="1" spans="2:14">
      <c r="B1974" s="57"/>
      <c r="C1974" s="54"/>
      <c r="D1974" s="55"/>
      <c r="I1974" s="55"/>
      <c r="J1974" s="56"/>
      <c r="K1974" s="56"/>
      <c r="M1974" s="55"/>
      <c r="N1974" s="55"/>
    </row>
    <row r="1975" ht="14.25" customHeight="1" spans="2:14">
      <c r="B1975" s="57"/>
      <c r="C1975" s="54"/>
      <c r="D1975" s="55"/>
      <c r="I1975" s="55"/>
      <c r="J1975" s="56"/>
      <c r="K1975" s="56"/>
      <c r="M1975" s="55"/>
      <c r="N1975" s="55"/>
    </row>
    <row r="1976" ht="14.25" customHeight="1" spans="2:14">
      <c r="B1976" s="57"/>
      <c r="C1976" s="54"/>
      <c r="D1976" s="55"/>
      <c r="I1976" s="55"/>
      <c r="J1976" s="56"/>
      <c r="K1976" s="56"/>
      <c r="M1976" s="55"/>
      <c r="N1976" s="55"/>
    </row>
    <row r="1977" ht="14.25" customHeight="1" spans="2:14">
      <c r="B1977" s="57"/>
      <c r="C1977" s="54"/>
      <c r="D1977" s="55"/>
      <c r="I1977" s="55"/>
      <c r="J1977" s="56"/>
      <c r="K1977" s="56"/>
      <c r="M1977" s="55"/>
      <c r="N1977" s="55"/>
    </row>
    <row r="1978" ht="14.25" customHeight="1" spans="2:14">
      <c r="B1978" s="57"/>
      <c r="C1978" s="54"/>
      <c r="D1978" s="55"/>
      <c r="I1978" s="55"/>
      <c r="J1978" s="56"/>
      <c r="K1978" s="56"/>
      <c r="M1978" s="55"/>
      <c r="N1978" s="55"/>
    </row>
    <row r="1979" ht="14.25" customHeight="1" spans="2:14">
      <c r="B1979" s="57"/>
      <c r="C1979" s="54"/>
      <c r="D1979" s="55"/>
      <c r="I1979" s="55"/>
      <c r="J1979" s="56"/>
      <c r="K1979" s="56"/>
      <c r="M1979" s="55"/>
      <c r="N1979" s="55"/>
    </row>
    <row r="1980" ht="14.25" customHeight="1" spans="2:14">
      <c r="B1980" s="57"/>
      <c r="C1980" s="54"/>
      <c r="D1980" s="55"/>
      <c r="I1980" s="55"/>
      <c r="J1980" s="56"/>
      <c r="K1980" s="56"/>
      <c r="M1980" s="55"/>
      <c r="N1980" s="55"/>
    </row>
    <row r="1981" ht="14.25" customHeight="1" spans="2:14">
      <c r="B1981" s="57"/>
      <c r="C1981" s="54"/>
      <c r="D1981" s="55"/>
      <c r="I1981" s="55"/>
      <c r="J1981" s="56"/>
      <c r="K1981" s="56"/>
      <c r="M1981" s="55"/>
      <c r="N1981" s="55"/>
    </row>
    <row r="1982" ht="14.25" customHeight="1" spans="2:14">
      <c r="B1982" s="57"/>
      <c r="C1982" s="54"/>
      <c r="D1982" s="55"/>
      <c r="I1982" s="55"/>
      <c r="J1982" s="56"/>
      <c r="K1982" s="56"/>
      <c r="M1982" s="55"/>
      <c r="N1982" s="55"/>
    </row>
    <row r="1983" ht="14.25" customHeight="1" spans="2:14">
      <c r="B1983" s="57"/>
      <c r="C1983" s="54"/>
      <c r="D1983" s="55"/>
      <c r="I1983" s="55"/>
      <c r="J1983" s="56"/>
      <c r="K1983" s="56"/>
      <c r="M1983" s="55"/>
      <c r="N1983" s="55"/>
    </row>
    <row r="1984" ht="14.25" customHeight="1" spans="2:14">
      <c r="B1984" s="57"/>
      <c r="C1984" s="54"/>
      <c r="D1984" s="55"/>
      <c r="I1984" s="55"/>
      <c r="J1984" s="56"/>
      <c r="K1984" s="56"/>
      <c r="M1984" s="55"/>
      <c r="N1984" s="55"/>
    </row>
    <row r="1985" ht="14.25" customHeight="1" spans="2:14">
      <c r="B1985" s="57"/>
      <c r="C1985" s="54"/>
      <c r="D1985" s="55"/>
      <c r="I1985" s="55"/>
      <c r="J1985" s="56"/>
      <c r="K1985" s="56"/>
      <c r="M1985" s="55"/>
      <c r="N1985" s="55"/>
    </row>
    <row r="1986" ht="14.25" customHeight="1" spans="2:14">
      <c r="B1986" s="57"/>
      <c r="C1986" s="54"/>
      <c r="D1986" s="55"/>
      <c r="I1986" s="55"/>
      <c r="J1986" s="56"/>
      <c r="K1986" s="56"/>
      <c r="M1986" s="55"/>
      <c r="N1986" s="55"/>
    </row>
    <row r="1987" ht="14.25" customHeight="1" spans="2:14">
      <c r="B1987" s="57"/>
      <c r="C1987" s="54"/>
      <c r="D1987" s="55"/>
      <c r="I1987" s="55"/>
      <c r="J1987" s="56"/>
      <c r="K1987" s="56"/>
      <c r="M1987" s="55"/>
      <c r="N1987" s="55"/>
    </row>
    <row r="1988" ht="14.25" customHeight="1" spans="2:14">
      <c r="B1988" s="57"/>
      <c r="C1988" s="54"/>
      <c r="D1988" s="55"/>
      <c r="I1988" s="55"/>
      <c r="J1988" s="56"/>
      <c r="K1988" s="56"/>
      <c r="M1988" s="55"/>
      <c r="N1988" s="55"/>
    </row>
    <row r="1989" ht="14.25" customHeight="1" spans="2:14">
      <c r="B1989" s="57"/>
      <c r="C1989" s="54"/>
      <c r="D1989" s="55"/>
      <c r="I1989" s="55"/>
      <c r="J1989" s="56"/>
      <c r="K1989" s="56"/>
      <c r="M1989" s="55"/>
      <c r="N1989" s="55"/>
    </row>
    <row r="1990" ht="14.25" customHeight="1" spans="2:14">
      <c r="B1990" s="57"/>
      <c r="C1990" s="54"/>
      <c r="D1990" s="55"/>
      <c r="I1990" s="55"/>
      <c r="J1990" s="56"/>
      <c r="K1990" s="56"/>
      <c r="M1990" s="55"/>
      <c r="N1990" s="55"/>
    </row>
    <row r="1991" ht="14.25" customHeight="1" spans="2:14">
      <c r="B1991" s="57"/>
      <c r="C1991" s="54"/>
      <c r="D1991" s="55"/>
      <c r="I1991" s="55"/>
      <c r="J1991" s="56"/>
      <c r="K1991" s="56"/>
      <c r="M1991" s="55"/>
      <c r="N1991" s="55"/>
    </row>
    <row r="1992" ht="14.25" customHeight="1" spans="2:14">
      <c r="B1992" s="57"/>
      <c r="C1992" s="54"/>
      <c r="D1992" s="55"/>
      <c r="I1992" s="55"/>
      <c r="J1992" s="56"/>
      <c r="K1992" s="56"/>
      <c r="M1992" s="55"/>
      <c r="N1992" s="55"/>
    </row>
    <row r="1993" ht="14.25" customHeight="1" spans="2:14">
      <c r="B1993" s="57"/>
      <c r="C1993" s="54"/>
      <c r="D1993" s="55"/>
      <c r="I1993" s="55"/>
      <c r="J1993" s="56"/>
      <c r="K1993" s="56"/>
      <c r="M1993" s="55"/>
      <c r="N1993" s="55"/>
    </row>
    <row r="1994" ht="14.25" customHeight="1" spans="2:14">
      <c r="B1994" s="57"/>
      <c r="C1994" s="54"/>
      <c r="D1994" s="55"/>
      <c r="I1994" s="55"/>
      <c r="J1994" s="56"/>
      <c r="K1994" s="56"/>
      <c r="M1994" s="55"/>
      <c r="N1994" s="55"/>
    </row>
    <row r="1995" ht="14.25" customHeight="1" spans="2:14">
      <c r="B1995" s="57"/>
      <c r="C1995" s="54"/>
      <c r="D1995" s="55"/>
      <c r="I1995" s="55"/>
      <c r="J1995" s="56"/>
      <c r="K1995" s="56"/>
      <c r="M1995" s="55"/>
      <c r="N1995" s="55"/>
    </row>
    <row r="1996" ht="14.25" customHeight="1" spans="2:14">
      <c r="B1996" s="57"/>
      <c r="C1996" s="54"/>
      <c r="D1996" s="55"/>
      <c r="I1996" s="55"/>
      <c r="J1996" s="56"/>
      <c r="K1996" s="56"/>
      <c r="M1996" s="55"/>
      <c r="N1996" s="55"/>
    </row>
    <row r="1997" ht="14.25" customHeight="1" spans="2:14">
      <c r="B1997" s="57"/>
      <c r="C1997" s="54"/>
      <c r="D1997" s="55"/>
      <c r="I1997" s="55"/>
      <c r="J1997" s="56"/>
      <c r="K1997" s="56"/>
      <c r="M1997" s="55"/>
      <c r="N1997" s="55"/>
    </row>
    <row r="1998" ht="14.25" customHeight="1" spans="2:14">
      <c r="B1998" s="57"/>
      <c r="C1998" s="54"/>
      <c r="D1998" s="55"/>
      <c r="I1998" s="55"/>
      <c r="J1998" s="56"/>
      <c r="K1998" s="56"/>
      <c r="M1998" s="55"/>
      <c r="N1998" s="55"/>
    </row>
    <row r="1999" ht="14.25" customHeight="1" spans="2:14">
      <c r="B1999" s="57"/>
      <c r="C1999" s="54"/>
      <c r="D1999" s="55"/>
      <c r="I1999" s="55"/>
      <c r="J1999" s="56"/>
      <c r="K1999" s="56"/>
      <c r="M1999" s="55"/>
      <c r="N1999" s="55"/>
    </row>
    <row r="2000" ht="14.25" customHeight="1" spans="2:14">
      <c r="B2000" s="57"/>
      <c r="C2000" s="54"/>
      <c r="D2000" s="55"/>
      <c r="I2000" s="55"/>
      <c r="J2000" s="56"/>
      <c r="K2000" s="56"/>
      <c r="M2000" s="55"/>
      <c r="N2000" s="55"/>
    </row>
    <row r="2001" ht="14.25" customHeight="1" spans="2:14">
      <c r="B2001" s="57"/>
      <c r="C2001" s="54"/>
      <c r="D2001" s="55"/>
      <c r="I2001" s="55"/>
      <c r="J2001" s="56"/>
      <c r="K2001" s="56"/>
      <c r="M2001" s="55"/>
      <c r="N2001" s="55"/>
    </row>
    <row r="2002" ht="14.25" customHeight="1" spans="2:14">
      <c r="B2002" s="57"/>
      <c r="C2002" s="54"/>
      <c r="D2002" s="55"/>
      <c r="I2002" s="55"/>
      <c r="J2002" s="56"/>
      <c r="K2002" s="56"/>
      <c r="M2002" s="55"/>
      <c r="N2002" s="55"/>
    </row>
    <row r="2003" ht="14.25" customHeight="1" spans="2:14">
      <c r="B2003" s="57"/>
      <c r="C2003" s="54"/>
      <c r="D2003" s="55"/>
      <c r="I2003" s="55"/>
      <c r="J2003" s="56"/>
      <c r="K2003" s="56"/>
      <c r="M2003" s="55"/>
      <c r="N2003" s="55"/>
    </row>
    <row r="2004" ht="14.25" customHeight="1" spans="2:14">
      <c r="B2004" s="57"/>
      <c r="C2004" s="54"/>
      <c r="D2004" s="55"/>
      <c r="I2004" s="55"/>
      <c r="J2004" s="56"/>
      <c r="K2004" s="56"/>
      <c r="M2004" s="55"/>
      <c r="N2004" s="55"/>
    </row>
    <row r="2005" ht="14.25" customHeight="1" spans="2:14">
      <c r="B2005" s="57"/>
      <c r="C2005" s="54"/>
      <c r="D2005" s="55"/>
      <c r="I2005" s="55"/>
      <c r="J2005" s="56"/>
      <c r="K2005" s="56"/>
      <c r="M2005" s="55"/>
      <c r="N2005" s="55"/>
    </row>
    <row r="2006" ht="14.25" customHeight="1" spans="2:14">
      <c r="B2006" s="57"/>
      <c r="C2006" s="54"/>
      <c r="D2006" s="55"/>
      <c r="I2006" s="55"/>
      <c r="J2006" s="56"/>
      <c r="K2006" s="56"/>
      <c r="M2006" s="55"/>
      <c r="N2006" s="55"/>
    </row>
    <row r="2007" ht="14.25" customHeight="1" spans="2:14">
      <c r="B2007" s="57"/>
      <c r="C2007" s="54"/>
      <c r="D2007" s="55"/>
      <c r="I2007" s="55"/>
      <c r="J2007" s="56"/>
      <c r="K2007" s="56"/>
      <c r="M2007" s="55"/>
      <c r="N2007" s="55"/>
    </row>
    <row r="2008" ht="14.25" customHeight="1" spans="2:14">
      <c r="B2008" s="57"/>
      <c r="C2008" s="54"/>
      <c r="D2008" s="55"/>
      <c r="I2008" s="55"/>
      <c r="J2008" s="56"/>
      <c r="K2008" s="56"/>
      <c r="M2008" s="55"/>
      <c r="N2008" s="55"/>
    </row>
    <row r="2009" ht="14.25" customHeight="1" spans="2:14">
      <c r="B2009" s="57"/>
      <c r="C2009" s="54"/>
      <c r="D2009" s="55"/>
      <c r="I2009" s="55"/>
      <c r="J2009" s="56"/>
      <c r="K2009" s="56"/>
      <c r="M2009" s="55"/>
      <c r="N2009" s="55"/>
    </row>
    <row r="2010" ht="14.25" customHeight="1" spans="2:14">
      <c r="B2010" s="57"/>
      <c r="C2010" s="54"/>
      <c r="D2010" s="55"/>
      <c r="I2010" s="55"/>
      <c r="J2010" s="56"/>
      <c r="K2010" s="56"/>
      <c r="M2010" s="55"/>
      <c r="N2010" s="55"/>
    </row>
    <row r="2011" ht="14.25" customHeight="1" spans="2:14">
      <c r="B2011" s="57"/>
      <c r="C2011" s="54"/>
      <c r="D2011" s="55"/>
      <c r="I2011" s="55"/>
      <c r="J2011" s="56"/>
      <c r="K2011" s="56"/>
      <c r="M2011" s="55"/>
      <c r="N2011" s="55"/>
    </row>
    <row r="2012" ht="14.25" customHeight="1" spans="2:14">
      <c r="B2012" s="57"/>
      <c r="C2012" s="54"/>
      <c r="D2012" s="55"/>
      <c r="I2012" s="55"/>
      <c r="J2012" s="56"/>
      <c r="K2012" s="56"/>
      <c r="M2012" s="55"/>
      <c r="N2012" s="55"/>
    </row>
    <row r="2013" ht="14.25" customHeight="1" spans="2:14">
      <c r="B2013" s="57"/>
      <c r="C2013" s="54"/>
      <c r="D2013" s="55"/>
      <c r="I2013" s="55"/>
      <c r="J2013" s="56"/>
      <c r="K2013" s="56"/>
      <c r="M2013" s="55"/>
      <c r="N2013" s="55"/>
    </row>
    <row r="2014" ht="14.25" customHeight="1" spans="2:14">
      <c r="B2014" s="57"/>
      <c r="C2014" s="54"/>
      <c r="D2014" s="55"/>
      <c r="I2014" s="55"/>
      <c r="J2014" s="56"/>
      <c r="K2014" s="56"/>
      <c r="M2014" s="55"/>
      <c r="N2014" s="55"/>
    </row>
    <row r="2015" ht="14.25" customHeight="1" spans="2:14">
      <c r="B2015" s="57"/>
      <c r="C2015" s="54"/>
      <c r="D2015" s="55"/>
      <c r="I2015" s="55"/>
      <c r="J2015" s="56"/>
      <c r="K2015" s="56"/>
      <c r="M2015" s="55"/>
      <c r="N2015" s="55"/>
    </row>
    <row r="2016" ht="14.25" customHeight="1" spans="2:14">
      <c r="B2016" s="57"/>
      <c r="C2016" s="54"/>
      <c r="D2016" s="55"/>
      <c r="I2016" s="55"/>
      <c r="J2016" s="56"/>
      <c r="K2016" s="56"/>
      <c r="M2016" s="55"/>
      <c r="N2016" s="55"/>
    </row>
    <row r="2017" ht="14.25" customHeight="1" spans="2:14">
      <c r="B2017" s="57"/>
      <c r="C2017" s="54"/>
      <c r="D2017" s="55"/>
      <c r="I2017" s="55"/>
      <c r="J2017" s="56"/>
      <c r="K2017" s="56"/>
      <c r="M2017" s="55"/>
      <c r="N2017" s="55"/>
    </row>
    <row r="2018" ht="14.25" customHeight="1" spans="2:14">
      <c r="B2018" s="57"/>
      <c r="C2018" s="54"/>
      <c r="D2018" s="55"/>
      <c r="I2018" s="55"/>
      <c r="J2018" s="56"/>
      <c r="K2018" s="56"/>
      <c r="M2018" s="55"/>
      <c r="N2018" s="55"/>
    </row>
    <row r="2019" ht="14.25" customHeight="1" spans="2:14">
      <c r="B2019" s="57"/>
      <c r="C2019" s="54"/>
      <c r="D2019" s="55"/>
      <c r="I2019" s="55"/>
      <c r="J2019" s="56"/>
      <c r="K2019" s="56"/>
      <c r="M2019" s="55"/>
      <c r="N2019" s="55"/>
    </row>
    <row r="2020" ht="14.25" customHeight="1" spans="2:14">
      <c r="B2020" s="57"/>
      <c r="C2020" s="54"/>
      <c r="D2020" s="55"/>
      <c r="I2020" s="55"/>
      <c r="J2020" s="56"/>
      <c r="K2020" s="56"/>
      <c r="M2020" s="55"/>
      <c r="N2020" s="55"/>
    </row>
    <row r="2021" ht="14.25" customHeight="1" spans="2:14">
      <c r="B2021" s="57"/>
      <c r="C2021" s="54"/>
      <c r="D2021" s="55"/>
      <c r="I2021" s="55"/>
      <c r="J2021" s="56"/>
      <c r="K2021" s="56"/>
      <c r="M2021" s="55"/>
      <c r="N2021" s="55"/>
    </row>
    <row r="2022" ht="14.25" customHeight="1" spans="2:14">
      <c r="B2022" s="57"/>
      <c r="C2022" s="54"/>
      <c r="D2022" s="55"/>
      <c r="I2022" s="55"/>
      <c r="J2022" s="56"/>
      <c r="K2022" s="56"/>
      <c r="M2022" s="55"/>
      <c r="N2022" s="55"/>
    </row>
    <row r="2023" ht="14.25" customHeight="1" spans="2:14">
      <c r="B2023" s="57"/>
      <c r="C2023" s="54"/>
      <c r="D2023" s="55"/>
      <c r="I2023" s="55"/>
      <c r="J2023" s="56"/>
      <c r="K2023" s="56"/>
      <c r="M2023" s="55"/>
      <c r="N2023" s="55"/>
    </row>
    <row r="2024" ht="14.25" customHeight="1" spans="2:14">
      <c r="B2024" s="57"/>
      <c r="C2024" s="54"/>
      <c r="D2024" s="55"/>
      <c r="I2024" s="55"/>
      <c r="J2024" s="56"/>
      <c r="K2024" s="56"/>
      <c r="M2024" s="55"/>
      <c r="N2024" s="55"/>
    </row>
    <row r="2025" ht="14.25" customHeight="1" spans="2:14">
      <c r="B2025" s="57"/>
      <c r="C2025" s="54"/>
      <c r="D2025" s="55"/>
      <c r="I2025" s="55"/>
      <c r="J2025" s="56"/>
      <c r="K2025" s="56"/>
      <c r="M2025" s="55"/>
      <c r="N2025" s="55"/>
    </row>
    <row r="2026" ht="14.25" customHeight="1" spans="2:14">
      <c r="B2026" s="57"/>
      <c r="C2026" s="54"/>
      <c r="D2026" s="55"/>
      <c r="I2026" s="55"/>
      <c r="J2026" s="56"/>
      <c r="K2026" s="56"/>
      <c r="M2026" s="55"/>
      <c r="N2026" s="55"/>
    </row>
    <row r="2027" ht="14.25" customHeight="1" spans="2:14">
      <c r="B2027" s="57"/>
      <c r="C2027" s="54"/>
      <c r="D2027" s="55"/>
      <c r="I2027" s="55"/>
      <c r="J2027" s="56"/>
      <c r="K2027" s="56"/>
      <c r="M2027" s="55"/>
      <c r="N2027" s="55"/>
    </row>
    <row r="2028" ht="14.25" customHeight="1" spans="2:14">
      <c r="B2028" s="57"/>
      <c r="C2028" s="54"/>
      <c r="D2028" s="55"/>
      <c r="I2028" s="55"/>
      <c r="J2028" s="56"/>
      <c r="K2028" s="56"/>
      <c r="M2028" s="55"/>
      <c r="N2028" s="55"/>
    </row>
    <row r="2029" ht="14.25" customHeight="1" spans="2:14">
      <c r="B2029" s="57"/>
      <c r="C2029" s="54"/>
      <c r="D2029" s="55"/>
      <c r="I2029" s="55"/>
      <c r="J2029" s="56"/>
      <c r="K2029" s="56"/>
      <c r="M2029" s="55"/>
      <c r="N2029" s="55"/>
    </row>
    <row r="2030" ht="14.25" customHeight="1" spans="2:14">
      <c r="B2030" s="57"/>
      <c r="C2030" s="54"/>
      <c r="D2030" s="55"/>
      <c r="I2030" s="55"/>
      <c r="J2030" s="56"/>
      <c r="K2030" s="56"/>
      <c r="M2030" s="55"/>
      <c r="N2030" s="55"/>
    </row>
    <row r="2031" ht="14.25" customHeight="1" spans="2:14">
      <c r="B2031" s="57"/>
      <c r="C2031" s="54"/>
      <c r="D2031" s="55"/>
      <c r="I2031" s="55"/>
      <c r="J2031" s="56"/>
      <c r="K2031" s="56"/>
      <c r="M2031" s="55"/>
      <c r="N2031" s="55"/>
    </row>
    <row r="2032" ht="14.25" customHeight="1" spans="2:14">
      <c r="B2032" s="57"/>
      <c r="C2032" s="54"/>
      <c r="D2032" s="55"/>
      <c r="I2032" s="55"/>
      <c r="J2032" s="56"/>
      <c r="K2032" s="56"/>
      <c r="M2032" s="55"/>
      <c r="N2032" s="55"/>
    </row>
    <row r="2033" ht="14.25" customHeight="1" spans="2:14">
      <c r="B2033" s="57"/>
      <c r="C2033" s="54"/>
      <c r="D2033" s="55"/>
      <c r="I2033" s="55"/>
      <c r="J2033" s="56"/>
      <c r="K2033" s="56"/>
      <c r="M2033" s="55"/>
      <c r="N2033" s="55"/>
    </row>
    <row r="2034" ht="14.25" customHeight="1" spans="2:14">
      <c r="B2034" s="57"/>
      <c r="C2034" s="54"/>
      <c r="D2034" s="55"/>
      <c r="I2034" s="55"/>
      <c r="J2034" s="56"/>
      <c r="K2034" s="56"/>
      <c r="M2034" s="55"/>
      <c r="N2034" s="55"/>
    </row>
    <row r="2035" ht="14.25" customHeight="1" spans="2:14">
      <c r="B2035" s="57"/>
      <c r="C2035" s="54"/>
      <c r="D2035" s="55"/>
      <c r="I2035" s="55"/>
      <c r="J2035" s="56"/>
      <c r="K2035" s="56"/>
      <c r="M2035" s="55"/>
      <c r="N2035" s="55"/>
    </row>
    <row r="2036" ht="14.25" customHeight="1" spans="2:14">
      <c r="B2036" s="57"/>
      <c r="C2036" s="54"/>
      <c r="D2036" s="55"/>
      <c r="I2036" s="55"/>
      <c r="J2036" s="56"/>
      <c r="K2036" s="56"/>
      <c r="M2036" s="55"/>
      <c r="N2036" s="55"/>
    </row>
    <row r="2037" ht="14.25" customHeight="1" spans="2:14">
      <c r="B2037" s="57"/>
      <c r="C2037" s="54"/>
      <c r="D2037" s="55"/>
      <c r="I2037" s="55"/>
      <c r="J2037" s="56"/>
      <c r="K2037" s="56"/>
      <c r="M2037" s="55"/>
      <c r="N2037" s="55"/>
    </row>
    <row r="2038" ht="14.25" customHeight="1" spans="2:14">
      <c r="B2038" s="57"/>
      <c r="C2038" s="54"/>
      <c r="D2038" s="55"/>
      <c r="I2038" s="55"/>
      <c r="J2038" s="56"/>
      <c r="K2038" s="56"/>
      <c r="M2038" s="55"/>
      <c r="N2038" s="55"/>
    </row>
    <row r="2039" ht="14.25" customHeight="1" spans="2:14">
      <c r="B2039" s="57"/>
      <c r="C2039" s="54"/>
      <c r="D2039" s="55"/>
      <c r="I2039" s="55"/>
      <c r="J2039" s="56"/>
      <c r="K2039" s="56"/>
      <c r="M2039" s="55"/>
      <c r="N2039" s="55"/>
    </row>
    <row r="2040" ht="14.25" customHeight="1" spans="2:14">
      <c r="B2040" s="57"/>
      <c r="C2040" s="54"/>
      <c r="D2040" s="55"/>
      <c r="I2040" s="55"/>
      <c r="J2040" s="56"/>
      <c r="K2040" s="56"/>
      <c r="M2040" s="55"/>
      <c r="N2040" s="55"/>
    </row>
    <row r="2041" ht="14.25" customHeight="1" spans="2:14">
      <c r="B2041" s="57"/>
      <c r="C2041" s="54"/>
      <c r="D2041" s="55"/>
      <c r="I2041" s="55"/>
      <c r="J2041" s="56"/>
      <c r="K2041" s="56"/>
      <c r="M2041" s="55"/>
      <c r="N2041" s="55"/>
    </row>
    <row r="2042" ht="14.25" customHeight="1" spans="2:14">
      <c r="B2042" s="57"/>
      <c r="C2042" s="54"/>
      <c r="D2042" s="55"/>
      <c r="I2042" s="55"/>
      <c r="J2042" s="56"/>
      <c r="K2042" s="56"/>
      <c r="M2042" s="55"/>
      <c r="N2042" s="55"/>
    </row>
    <row r="2043" ht="14.25" customHeight="1" spans="2:14">
      <c r="B2043" s="57"/>
      <c r="C2043" s="54"/>
      <c r="D2043" s="55"/>
      <c r="I2043" s="55"/>
      <c r="J2043" s="56"/>
      <c r="K2043" s="56"/>
      <c r="M2043" s="55"/>
      <c r="N2043" s="55"/>
    </row>
    <row r="2044" ht="14.25" customHeight="1" spans="2:14">
      <c r="B2044" s="57"/>
      <c r="C2044" s="54"/>
      <c r="D2044" s="55"/>
      <c r="I2044" s="55"/>
      <c r="J2044" s="56"/>
      <c r="K2044" s="56"/>
      <c r="M2044" s="55"/>
      <c r="N2044" s="55"/>
    </row>
    <row r="2045" ht="14.25" customHeight="1" spans="2:14">
      <c r="B2045" s="57"/>
      <c r="C2045" s="54"/>
      <c r="D2045" s="55"/>
      <c r="I2045" s="55"/>
      <c r="J2045" s="56"/>
      <c r="K2045" s="56"/>
      <c r="M2045" s="55"/>
      <c r="N2045" s="55"/>
    </row>
    <row r="2046" ht="14.25" customHeight="1" spans="2:14">
      <c r="B2046" s="57"/>
      <c r="C2046" s="54"/>
      <c r="D2046" s="55"/>
      <c r="I2046" s="55"/>
      <c r="J2046" s="56"/>
      <c r="K2046" s="56"/>
      <c r="M2046" s="55"/>
      <c r="N2046" s="55"/>
    </row>
    <row r="2047" ht="14.25" customHeight="1" spans="2:14">
      <c r="B2047" s="57"/>
      <c r="C2047" s="54"/>
      <c r="D2047" s="55"/>
      <c r="I2047" s="55"/>
      <c r="J2047" s="56"/>
      <c r="K2047" s="56"/>
      <c r="M2047" s="55"/>
      <c r="N2047" s="55"/>
    </row>
    <row r="2048" ht="14.25" customHeight="1" spans="2:14">
      <c r="B2048" s="57"/>
      <c r="C2048" s="54"/>
      <c r="D2048" s="55"/>
      <c r="I2048" s="55"/>
      <c r="J2048" s="56"/>
      <c r="K2048" s="56"/>
      <c r="M2048" s="55"/>
      <c r="N2048" s="55"/>
    </row>
    <row r="2049" ht="14.25" customHeight="1" spans="2:14">
      <c r="B2049" s="57"/>
      <c r="C2049" s="54"/>
      <c r="D2049" s="55"/>
      <c r="I2049" s="55"/>
      <c r="J2049" s="56"/>
      <c r="K2049" s="56"/>
      <c r="M2049" s="55"/>
      <c r="N2049" s="55"/>
    </row>
    <row r="2050" ht="14.25" customHeight="1" spans="2:14">
      <c r="B2050" s="57"/>
      <c r="C2050" s="54"/>
      <c r="D2050" s="55"/>
      <c r="I2050" s="55"/>
      <c r="J2050" s="56"/>
      <c r="K2050" s="56"/>
      <c r="M2050" s="55"/>
      <c r="N2050" s="55"/>
    </row>
    <row r="2051" ht="14.25" customHeight="1" spans="2:14">
      <c r="B2051" s="57"/>
      <c r="C2051" s="54"/>
      <c r="D2051" s="55"/>
      <c r="I2051" s="55"/>
      <c r="J2051" s="56"/>
      <c r="K2051" s="56"/>
      <c r="M2051" s="55"/>
      <c r="N2051" s="55"/>
    </row>
    <row r="2052" ht="14.25" customHeight="1" spans="2:14">
      <c r="B2052" s="57"/>
      <c r="C2052" s="54"/>
      <c r="D2052" s="55"/>
      <c r="I2052" s="55"/>
      <c r="J2052" s="56"/>
      <c r="K2052" s="56"/>
      <c r="M2052" s="55"/>
      <c r="N2052" s="55"/>
    </row>
    <row r="2053" ht="14.25" customHeight="1" spans="2:14">
      <c r="B2053" s="57"/>
      <c r="C2053" s="54"/>
      <c r="D2053" s="55"/>
      <c r="I2053" s="55"/>
      <c r="J2053" s="56"/>
      <c r="K2053" s="56"/>
      <c r="M2053" s="55"/>
      <c r="N2053" s="55"/>
    </row>
    <row r="2054" ht="14.25" customHeight="1" spans="2:14">
      <c r="B2054" s="57"/>
      <c r="C2054" s="54"/>
      <c r="D2054" s="55"/>
      <c r="I2054" s="55"/>
      <c r="J2054" s="56"/>
      <c r="K2054" s="56"/>
      <c r="M2054" s="55"/>
      <c r="N2054" s="55"/>
    </row>
    <row r="2055" ht="14.25" customHeight="1" spans="2:14">
      <c r="B2055" s="57"/>
      <c r="C2055" s="54"/>
      <c r="D2055" s="55"/>
      <c r="I2055" s="55"/>
      <c r="J2055" s="56"/>
      <c r="K2055" s="56"/>
      <c r="M2055" s="55"/>
      <c r="N2055" s="55"/>
    </row>
    <row r="2056" ht="14.25" customHeight="1" spans="2:14">
      <c r="B2056" s="57"/>
      <c r="C2056" s="54"/>
      <c r="D2056" s="55"/>
      <c r="I2056" s="55"/>
      <c r="J2056" s="56"/>
      <c r="K2056" s="56"/>
      <c r="M2056" s="55"/>
      <c r="N2056" s="55"/>
    </row>
    <row r="2057" ht="14.25" customHeight="1" spans="2:14">
      <c r="B2057" s="57"/>
      <c r="C2057" s="54"/>
      <c r="D2057" s="55"/>
      <c r="I2057" s="55"/>
      <c r="J2057" s="56"/>
      <c r="K2057" s="56"/>
      <c r="M2057" s="55"/>
      <c r="N2057" s="55"/>
    </row>
    <row r="2058" ht="14.25" customHeight="1" spans="2:14">
      <c r="B2058" s="57"/>
      <c r="C2058" s="54"/>
      <c r="D2058" s="55"/>
      <c r="I2058" s="55"/>
      <c r="J2058" s="56"/>
      <c r="K2058" s="56"/>
      <c r="M2058" s="55"/>
      <c r="N2058" s="55"/>
    </row>
    <row r="2059" ht="14.25" customHeight="1" spans="2:14">
      <c r="B2059" s="57"/>
      <c r="C2059" s="54"/>
      <c r="D2059" s="55"/>
      <c r="I2059" s="55"/>
      <c r="J2059" s="56"/>
      <c r="K2059" s="56"/>
      <c r="M2059" s="55"/>
      <c r="N2059" s="55"/>
    </row>
    <row r="2060" ht="14.25" customHeight="1" spans="2:14">
      <c r="B2060" s="57"/>
      <c r="C2060" s="54"/>
      <c r="D2060" s="55"/>
      <c r="I2060" s="55"/>
      <c r="J2060" s="56"/>
      <c r="K2060" s="56"/>
      <c r="M2060" s="55"/>
      <c r="N2060" s="55"/>
    </row>
    <row r="2061" ht="14.25" customHeight="1" spans="2:14">
      <c r="B2061" s="57"/>
      <c r="C2061" s="54"/>
      <c r="D2061" s="55"/>
      <c r="I2061" s="55"/>
      <c r="J2061" s="56"/>
      <c r="K2061" s="56"/>
      <c r="M2061" s="55"/>
      <c r="N2061" s="55"/>
    </row>
    <row r="2062" ht="14.25" customHeight="1" spans="2:14">
      <c r="B2062" s="57"/>
      <c r="C2062" s="54"/>
      <c r="D2062" s="55"/>
      <c r="I2062" s="55"/>
      <c r="J2062" s="56"/>
      <c r="K2062" s="56"/>
      <c r="M2062" s="55"/>
      <c r="N2062" s="55"/>
    </row>
    <row r="2063" ht="14.25" customHeight="1" spans="2:14">
      <c r="B2063" s="57"/>
      <c r="C2063" s="54"/>
      <c r="D2063" s="55"/>
      <c r="I2063" s="55"/>
      <c r="J2063" s="56"/>
      <c r="K2063" s="56"/>
      <c r="M2063" s="55"/>
      <c r="N2063" s="55"/>
    </row>
    <row r="2064" ht="14.25" customHeight="1" spans="2:14">
      <c r="B2064" s="57"/>
      <c r="C2064" s="54"/>
      <c r="D2064" s="55"/>
      <c r="I2064" s="55"/>
      <c r="J2064" s="56"/>
      <c r="K2064" s="56"/>
      <c r="M2064" s="55"/>
      <c r="N2064" s="55"/>
    </row>
    <row r="2065" ht="14.25" customHeight="1" spans="2:14">
      <c r="B2065" s="57"/>
      <c r="C2065" s="54"/>
      <c r="D2065" s="55"/>
      <c r="I2065" s="55"/>
      <c r="J2065" s="56"/>
      <c r="K2065" s="56"/>
      <c r="M2065" s="55"/>
      <c r="N2065" s="55"/>
    </row>
    <row r="2066" ht="14.25" customHeight="1" spans="2:14">
      <c r="B2066" s="57"/>
      <c r="C2066" s="54"/>
      <c r="D2066" s="55"/>
      <c r="I2066" s="55"/>
      <c r="J2066" s="56"/>
      <c r="K2066" s="56"/>
      <c r="M2066" s="55"/>
      <c r="N2066" s="55"/>
    </row>
    <row r="2067" ht="14.25" customHeight="1" spans="2:14">
      <c r="B2067" s="57"/>
      <c r="C2067" s="54"/>
      <c r="D2067" s="55"/>
      <c r="I2067" s="55"/>
      <c r="J2067" s="56"/>
      <c r="K2067" s="56"/>
      <c r="M2067" s="55"/>
      <c r="N2067" s="55"/>
    </row>
    <row r="2068" ht="14.25" customHeight="1" spans="2:14">
      <c r="B2068" s="57"/>
      <c r="C2068" s="54"/>
      <c r="D2068" s="55"/>
      <c r="I2068" s="55"/>
      <c r="J2068" s="56"/>
      <c r="K2068" s="56"/>
      <c r="M2068" s="55"/>
      <c r="N2068" s="55"/>
    </row>
    <row r="2069" ht="14.25" customHeight="1" spans="2:14">
      <c r="B2069" s="57"/>
      <c r="C2069" s="54"/>
      <c r="D2069" s="55"/>
      <c r="I2069" s="55"/>
      <c r="J2069" s="56"/>
      <c r="K2069" s="56"/>
      <c r="M2069" s="55"/>
      <c r="N2069" s="55"/>
    </row>
    <row r="2070" ht="14.25" customHeight="1" spans="2:14">
      <c r="B2070" s="57"/>
      <c r="C2070" s="54"/>
      <c r="D2070" s="55"/>
      <c r="I2070" s="55"/>
      <c r="J2070" s="56"/>
      <c r="K2070" s="56"/>
      <c r="M2070" s="55"/>
      <c r="N2070" s="55"/>
    </row>
    <row r="2071" ht="14.25" customHeight="1" spans="2:14">
      <c r="B2071" s="57"/>
      <c r="C2071" s="54"/>
      <c r="D2071" s="55"/>
      <c r="I2071" s="55"/>
      <c r="J2071" s="56"/>
      <c r="K2071" s="56"/>
      <c r="M2071" s="55"/>
      <c r="N2071" s="55"/>
    </row>
    <row r="2072" ht="14.25" customHeight="1" spans="2:14">
      <c r="B2072" s="57"/>
      <c r="C2072" s="54"/>
      <c r="D2072" s="55"/>
      <c r="I2072" s="55"/>
      <c r="J2072" s="56"/>
      <c r="K2072" s="56"/>
      <c r="M2072" s="55"/>
      <c r="N2072" s="55"/>
    </row>
    <row r="2073" ht="14.25" customHeight="1" spans="2:14">
      <c r="B2073" s="57"/>
      <c r="C2073" s="54"/>
      <c r="D2073" s="55"/>
      <c r="I2073" s="55"/>
      <c r="J2073" s="56"/>
      <c r="K2073" s="56"/>
      <c r="M2073" s="55"/>
      <c r="N2073" s="55"/>
    </row>
    <row r="2074" ht="14.25" customHeight="1" spans="2:14">
      <c r="B2074" s="57"/>
      <c r="C2074" s="54"/>
      <c r="D2074" s="55"/>
      <c r="I2074" s="55"/>
      <c r="J2074" s="56"/>
      <c r="K2074" s="56"/>
      <c r="M2074" s="55"/>
      <c r="N2074" s="55"/>
    </row>
    <row r="2075" ht="14.25" customHeight="1" spans="2:14">
      <c r="B2075" s="57"/>
      <c r="C2075" s="54"/>
      <c r="D2075" s="55"/>
      <c r="I2075" s="55"/>
      <c r="J2075" s="56"/>
      <c r="K2075" s="56"/>
      <c r="M2075" s="55"/>
      <c r="N2075" s="55"/>
    </row>
    <row r="2076" ht="14.25" customHeight="1" spans="2:14">
      <c r="B2076" s="57"/>
      <c r="C2076" s="54"/>
      <c r="D2076" s="55"/>
      <c r="I2076" s="55"/>
      <c r="J2076" s="56"/>
      <c r="K2076" s="56"/>
      <c r="M2076" s="55"/>
      <c r="N2076" s="55"/>
    </row>
    <row r="2077" ht="14.25" customHeight="1" spans="2:14">
      <c r="B2077" s="57"/>
      <c r="C2077" s="54"/>
      <c r="D2077" s="55"/>
      <c r="I2077" s="55"/>
      <c r="J2077" s="56"/>
      <c r="K2077" s="56"/>
      <c r="M2077" s="55"/>
      <c r="N2077" s="55"/>
    </row>
    <row r="2078" ht="14.25" customHeight="1" spans="2:14">
      <c r="B2078" s="57"/>
      <c r="C2078" s="54"/>
      <c r="D2078" s="55"/>
      <c r="I2078" s="55"/>
      <c r="J2078" s="56"/>
      <c r="K2078" s="56"/>
      <c r="M2078" s="55"/>
      <c r="N2078" s="55"/>
    </row>
    <row r="2079" ht="14.25" customHeight="1" spans="2:14">
      <c r="B2079" s="57"/>
      <c r="C2079" s="54"/>
      <c r="D2079" s="55"/>
      <c r="I2079" s="55"/>
      <c r="J2079" s="56"/>
      <c r="K2079" s="56"/>
      <c r="M2079" s="55"/>
      <c r="N2079" s="55"/>
    </row>
    <row r="2080" ht="14.25" customHeight="1" spans="2:14">
      <c r="B2080" s="57"/>
      <c r="C2080" s="54"/>
      <c r="D2080" s="55"/>
      <c r="I2080" s="55"/>
      <c r="J2080" s="56"/>
      <c r="K2080" s="56"/>
      <c r="M2080" s="55"/>
      <c r="N2080" s="55"/>
    </row>
    <row r="2081" ht="14.25" customHeight="1" spans="2:14">
      <c r="B2081" s="57"/>
      <c r="C2081" s="54"/>
      <c r="D2081" s="55"/>
      <c r="I2081" s="55"/>
      <c r="J2081" s="56"/>
      <c r="K2081" s="56"/>
      <c r="M2081" s="55"/>
      <c r="N2081" s="55"/>
    </row>
    <row r="2082" ht="14.25" customHeight="1" spans="2:14">
      <c r="B2082" s="57"/>
      <c r="C2082" s="54"/>
      <c r="D2082" s="55"/>
      <c r="I2082" s="55"/>
      <c r="J2082" s="56"/>
      <c r="K2082" s="56"/>
      <c r="M2082" s="55"/>
      <c r="N2082" s="55"/>
    </row>
    <row r="2083" ht="14.25" customHeight="1" spans="2:14">
      <c r="B2083" s="57"/>
      <c r="C2083" s="54"/>
      <c r="D2083" s="55"/>
      <c r="I2083" s="55"/>
      <c r="J2083" s="56"/>
      <c r="K2083" s="56"/>
      <c r="M2083" s="55"/>
      <c r="N2083" s="55"/>
    </row>
    <row r="2084" ht="14.25" customHeight="1" spans="2:14">
      <c r="B2084" s="57"/>
      <c r="C2084" s="54"/>
      <c r="D2084" s="55"/>
      <c r="I2084" s="55"/>
      <c r="J2084" s="56"/>
      <c r="K2084" s="56"/>
      <c r="M2084" s="55"/>
      <c r="N2084" s="55"/>
    </row>
    <row r="2085" ht="14.25" customHeight="1" spans="2:14">
      <c r="B2085" s="57"/>
      <c r="C2085" s="54"/>
      <c r="D2085" s="55"/>
      <c r="I2085" s="55"/>
      <c r="J2085" s="56"/>
      <c r="K2085" s="56"/>
      <c r="M2085" s="55"/>
      <c r="N2085" s="55"/>
    </row>
    <row r="2086" ht="14.25" customHeight="1" spans="2:14">
      <c r="B2086" s="57"/>
      <c r="C2086" s="54"/>
      <c r="D2086" s="55"/>
      <c r="I2086" s="55"/>
      <c r="J2086" s="56"/>
      <c r="K2086" s="56"/>
      <c r="M2086" s="55"/>
      <c r="N2086" s="55"/>
    </row>
    <row r="2087" ht="14.25" customHeight="1" spans="2:14">
      <c r="B2087" s="57"/>
      <c r="C2087" s="54"/>
      <c r="D2087" s="55"/>
      <c r="I2087" s="55"/>
      <c r="J2087" s="56"/>
      <c r="K2087" s="56"/>
      <c r="M2087" s="55"/>
      <c r="N2087" s="55"/>
    </row>
    <row r="2088" ht="14.25" customHeight="1" spans="2:14">
      <c r="B2088" s="57"/>
      <c r="C2088" s="54"/>
      <c r="D2088" s="55"/>
      <c r="I2088" s="55"/>
      <c r="J2088" s="56"/>
      <c r="K2088" s="56"/>
      <c r="M2088" s="55"/>
      <c r="N2088" s="55"/>
    </row>
    <row r="2089" ht="14.25" customHeight="1" spans="2:14">
      <c r="B2089" s="57"/>
      <c r="C2089" s="54"/>
      <c r="D2089" s="55"/>
      <c r="I2089" s="55"/>
      <c r="J2089" s="56"/>
      <c r="K2089" s="56"/>
      <c r="M2089" s="55"/>
      <c r="N2089" s="55"/>
    </row>
    <row r="2090" ht="14.25" customHeight="1" spans="2:14">
      <c r="B2090" s="57"/>
      <c r="C2090" s="54"/>
      <c r="D2090" s="55"/>
      <c r="I2090" s="55"/>
      <c r="J2090" s="56"/>
      <c r="K2090" s="56"/>
      <c r="M2090" s="55"/>
      <c r="N2090" s="55"/>
    </row>
    <row r="2091" ht="14.25" customHeight="1" spans="2:14">
      <c r="B2091" s="57"/>
      <c r="C2091" s="54"/>
      <c r="D2091" s="55"/>
      <c r="I2091" s="55"/>
      <c r="J2091" s="56"/>
      <c r="K2091" s="56"/>
      <c r="M2091" s="55"/>
      <c r="N2091" s="55"/>
    </row>
    <row r="2092" ht="14.25" customHeight="1" spans="2:14">
      <c r="B2092" s="57"/>
      <c r="C2092" s="54"/>
      <c r="D2092" s="55"/>
      <c r="I2092" s="55"/>
      <c r="J2092" s="56"/>
      <c r="K2092" s="56"/>
      <c r="M2092" s="55"/>
      <c r="N2092" s="55"/>
    </row>
    <row r="2093" ht="14.25" customHeight="1" spans="2:14">
      <c r="B2093" s="57"/>
      <c r="C2093" s="54"/>
      <c r="D2093" s="55"/>
      <c r="I2093" s="55"/>
      <c r="J2093" s="56"/>
      <c r="K2093" s="56"/>
      <c r="M2093" s="55"/>
      <c r="N2093" s="55"/>
    </row>
    <row r="2094" ht="14.25" customHeight="1" spans="2:14">
      <c r="B2094" s="57"/>
      <c r="C2094" s="54"/>
      <c r="D2094" s="55"/>
      <c r="I2094" s="55"/>
      <c r="J2094" s="56"/>
      <c r="K2094" s="56"/>
      <c r="M2094" s="55"/>
      <c r="N2094" s="55"/>
    </row>
    <row r="2095" ht="14.25" customHeight="1" spans="2:14">
      <c r="B2095" s="57"/>
      <c r="C2095" s="54"/>
      <c r="D2095" s="55"/>
      <c r="I2095" s="55"/>
      <c r="J2095" s="56"/>
      <c r="K2095" s="56"/>
      <c r="M2095" s="55"/>
      <c r="N2095" s="55"/>
    </row>
    <row r="2096" ht="14.25" customHeight="1" spans="2:14">
      <c r="B2096" s="57"/>
      <c r="C2096" s="54"/>
      <c r="D2096" s="55"/>
      <c r="I2096" s="55"/>
      <c r="J2096" s="56"/>
      <c r="K2096" s="56"/>
      <c r="M2096" s="55"/>
      <c r="N2096" s="55"/>
    </row>
    <row r="2097" ht="14.25" customHeight="1" spans="2:14">
      <c r="B2097" s="57"/>
      <c r="C2097" s="54"/>
      <c r="D2097" s="55"/>
      <c r="I2097" s="55"/>
      <c r="J2097" s="56"/>
      <c r="K2097" s="56"/>
      <c r="M2097" s="55"/>
      <c r="N2097" s="55"/>
    </row>
    <row r="2098" ht="14.25" customHeight="1" spans="2:14">
      <c r="B2098" s="57"/>
      <c r="C2098" s="54"/>
      <c r="D2098" s="55"/>
      <c r="I2098" s="55"/>
      <c r="J2098" s="56"/>
      <c r="K2098" s="56"/>
      <c r="M2098" s="55"/>
      <c r="N2098" s="55"/>
    </row>
    <row r="2099" ht="14.25" customHeight="1" spans="2:14">
      <c r="B2099" s="57"/>
      <c r="C2099" s="54"/>
      <c r="D2099" s="55"/>
      <c r="I2099" s="55"/>
      <c r="J2099" s="56"/>
      <c r="K2099" s="56"/>
      <c r="M2099" s="55"/>
      <c r="N2099" s="55"/>
    </row>
    <row r="2100" ht="14.25" customHeight="1" spans="2:14">
      <c r="B2100" s="57"/>
      <c r="C2100" s="54"/>
      <c r="D2100" s="55"/>
      <c r="I2100" s="55"/>
      <c r="J2100" s="56"/>
      <c r="K2100" s="56"/>
      <c r="M2100" s="55"/>
      <c r="N2100" s="55"/>
    </row>
    <row r="2101" ht="14.25" customHeight="1" spans="2:14">
      <c r="B2101" s="57"/>
      <c r="C2101" s="54"/>
      <c r="D2101" s="55"/>
      <c r="I2101" s="55"/>
      <c r="J2101" s="56"/>
      <c r="K2101" s="56"/>
      <c r="M2101" s="55"/>
      <c r="N2101" s="55"/>
    </row>
    <row r="2102" ht="14.25" customHeight="1" spans="2:14">
      <c r="B2102" s="57"/>
      <c r="C2102" s="54"/>
      <c r="D2102" s="55"/>
      <c r="I2102" s="55"/>
      <c r="J2102" s="56"/>
      <c r="K2102" s="56"/>
      <c r="M2102" s="55"/>
      <c r="N2102" s="55"/>
    </row>
    <row r="2103" ht="14.25" customHeight="1" spans="2:14">
      <c r="B2103" s="57"/>
      <c r="C2103" s="54"/>
      <c r="D2103" s="55"/>
      <c r="I2103" s="55"/>
      <c r="J2103" s="56"/>
      <c r="K2103" s="56"/>
      <c r="M2103" s="55"/>
      <c r="N2103" s="55"/>
    </row>
    <row r="2104" ht="14.25" customHeight="1" spans="2:14">
      <c r="B2104" s="57"/>
      <c r="C2104" s="54"/>
      <c r="D2104" s="55"/>
      <c r="I2104" s="55"/>
      <c r="J2104" s="56"/>
      <c r="K2104" s="56"/>
      <c r="M2104" s="55"/>
      <c r="N2104" s="55"/>
    </row>
    <row r="2105" ht="14.25" customHeight="1" spans="2:14">
      <c r="B2105" s="57"/>
      <c r="C2105" s="54"/>
      <c r="D2105" s="55"/>
      <c r="I2105" s="55"/>
      <c r="J2105" s="56"/>
      <c r="K2105" s="56"/>
      <c r="M2105" s="55"/>
      <c r="N2105" s="55"/>
    </row>
    <row r="2106" ht="14.25" customHeight="1" spans="2:14">
      <c r="B2106" s="57"/>
      <c r="C2106" s="54"/>
      <c r="D2106" s="55"/>
      <c r="I2106" s="55"/>
      <c r="J2106" s="56"/>
      <c r="K2106" s="56"/>
      <c r="M2106" s="55"/>
      <c r="N2106" s="55"/>
    </row>
    <row r="2107" ht="14.25" customHeight="1" spans="2:14">
      <c r="B2107" s="57"/>
      <c r="C2107" s="54"/>
      <c r="D2107" s="55"/>
      <c r="I2107" s="55"/>
      <c r="J2107" s="56"/>
      <c r="K2107" s="56"/>
      <c r="M2107" s="55"/>
      <c r="N2107" s="55"/>
    </row>
    <row r="2108" ht="14.25" customHeight="1" spans="2:14">
      <c r="B2108" s="57"/>
      <c r="C2108" s="54"/>
      <c r="D2108" s="55"/>
      <c r="I2108" s="55"/>
      <c r="J2108" s="56"/>
      <c r="K2108" s="56"/>
      <c r="M2108" s="55"/>
      <c r="N2108" s="55"/>
    </row>
    <row r="2109" ht="14.25" customHeight="1" spans="2:14">
      <c r="B2109" s="57"/>
      <c r="C2109" s="54"/>
      <c r="D2109" s="55"/>
      <c r="I2109" s="55"/>
      <c r="J2109" s="56"/>
      <c r="K2109" s="56"/>
      <c r="M2109" s="55"/>
      <c r="N2109" s="55"/>
    </row>
    <row r="2110" ht="14.25" customHeight="1" spans="2:14">
      <c r="B2110" s="57"/>
      <c r="C2110" s="54"/>
      <c r="D2110" s="55"/>
      <c r="I2110" s="55"/>
      <c r="J2110" s="56"/>
      <c r="K2110" s="56"/>
      <c r="M2110" s="55"/>
      <c r="N2110" s="55"/>
    </row>
    <row r="2111" ht="14.25" customHeight="1" spans="2:14">
      <c r="B2111" s="57"/>
      <c r="C2111" s="54"/>
      <c r="D2111" s="55"/>
      <c r="I2111" s="55"/>
      <c r="J2111" s="56"/>
      <c r="K2111" s="56"/>
      <c r="M2111" s="55"/>
      <c r="N2111" s="55"/>
    </row>
    <row r="2112" ht="14.25" customHeight="1" spans="2:14">
      <c r="B2112" s="57"/>
      <c r="C2112" s="54"/>
      <c r="D2112" s="55"/>
      <c r="I2112" s="55"/>
      <c r="J2112" s="56"/>
      <c r="K2112" s="56"/>
      <c r="M2112" s="55"/>
      <c r="N2112" s="55"/>
    </row>
    <row r="2113" ht="14.25" customHeight="1" spans="2:14">
      <c r="B2113" s="57"/>
      <c r="C2113" s="54"/>
      <c r="D2113" s="55"/>
      <c r="I2113" s="55"/>
      <c r="J2113" s="56"/>
      <c r="K2113" s="56"/>
      <c r="M2113" s="55"/>
      <c r="N2113" s="55"/>
    </row>
    <row r="2114" ht="14.25" customHeight="1" spans="2:14">
      <c r="B2114" s="57"/>
      <c r="C2114" s="54"/>
      <c r="D2114" s="55"/>
      <c r="I2114" s="55"/>
      <c r="J2114" s="56"/>
      <c r="K2114" s="56"/>
      <c r="M2114" s="55"/>
      <c r="N2114" s="55"/>
    </row>
    <row r="2115" ht="14.25" customHeight="1" spans="2:14">
      <c r="B2115" s="57"/>
      <c r="C2115" s="54"/>
      <c r="D2115" s="55"/>
      <c r="I2115" s="55"/>
      <c r="J2115" s="56"/>
      <c r="K2115" s="56"/>
      <c r="M2115" s="55"/>
      <c r="N2115" s="55"/>
    </row>
    <row r="2116" ht="14.25" customHeight="1" spans="2:14">
      <c r="B2116" s="57"/>
      <c r="C2116" s="54"/>
      <c r="D2116" s="55"/>
      <c r="I2116" s="55"/>
      <c r="J2116" s="56"/>
      <c r="K2116" s="56"/>
      <c r="M2116" s="55"/>
      <c r="N2116" s="55"/>
    </row>
    <row r="2117" ht="14.25" customHeight="1" spans="2:14">
      <c r="B2117" s="57"/>
      <c r="C2117" s="54"/>
      <c r="D2117" s="55"/>
      <c r="I2117" s="55"/>
      <c r="J2117" s="56"/>
      <c r="K2117" s="56"/>
      <c r="M2117" s="55"/>
      <c r="N2117" s="55"/>
    </row>
    <row r="2118" ht="14.25" customHeight="1" spans="2:14">
      <c r="B2118" s="57"/>
      <c r="C2118" s="54"/>
      <c r="D2118" s="55"/>
      <c r="I2118" s="55"/>
      <c r="J2118" s="56"/>
      <c r="K2118" s="56"/>
      <c r="M2118" s="55"/>
      <c r="N2118" s="55"/>
    </row>
    <row r="2119" ht="14.25" customHeight="1" spans="2:14">
      <c r="B2119" s="57"/>
      <c r="C2119" s="54"/>
      <c r="D2119" s="55"/>
      <c r="I2119" s="55"/>
      <c r="J2119" s="56"/>
      <c r="K2119" s="56"/>
      <c r="M2119" s="55"/>
      <c r="N2119" s="55"/>
    </row>
    <row r="2120" ht="14.25" customHeight="1" spans="2:14">
      <c r="B2120" s="57"/>
      <c r="C2120" s="54"/>
      <c r="D2120" s="55"/>
      <c r="I2120" s="55"/>
      <c r="J2120" s="56"/>
      <c r="K2120" s="56"/>
      <c r="M2120" s="55"/>
      <c r="N2120" s="55"/>
    </row>
    <row r="2121" ht="14.25" customHeight="1" spans="2:14">
      <c r="B2121" s="57"/>
      <c r="C2121" s="54"/>
      <c r="D2121" s="55"/>
      <c r="I2121" s="55"/>
      <c r="J2121" s="56"/>
      <c r="K2121" s="56"/>
      <c r="M2121" s="55"/>
      <c r="N2121" s="55"/>
    </row>
    <row r="2122" ht="14.25" customHeight="1" spans="2:14">
      <c r="B2122" s="57"/>
      <c r="C2122" s="54"/>
      <c r="D2122" s="55"/>
      <c r="I2122" s="55"/>
      <c r="J2122" s="56"/>
      <c r="K2122" s="56"/>
      <c r="M2122" s="55"/>
      <c r="N2122" s="55"/>
    </row>
    <row r="2123" ht="14.25" customHeight="1" spans="2:14">
      <c r="B2123" s="57"/>
      <c r="C2123" s="54"/>
      <c r="D2123" s="55"/>
      <c r="I2123" s="55"/>
      <c r="J2123" s="56"/>
      <c r="K2123" s="56"/>
      <c r="M2123" s="55"/>
      <c r="N2123" s="55"/>
    </row>
    <row r="2124" ht="14.25" customHeight="1" spans="2:14">
      <c r="B2124" s="57"/>
      <c r="C2124" s="54"/>
      <c r="D2124" s="55"/>
      <c r="I2124" s="55"/>
      <c r="J2124" s="56"/>
      <c r="K2124" s="56"/>
      <c r="M2124" s="55"/>
      <c r="N2124" s="55"/>
    </row>
    <row r="2125" ht="14.25" customHeight="1" spans="2:14">
      <c r="B2125" s="57"/>
      <c r="C2125" s="54"/>
      <c r="D2125" s="55"/>
      <c r="I2125" s="55"/>
      <c r="J2125" s="56"/>
      <c r="K2125" s="56"/>
      <c r="M2125" s="55"/>
      <c r="N2125" s="55"/>
    </row>
    <row r="2126" ht="14.25" customHeight="1" spans="2:14">
      <c r="B2126" s="57"/>
      <c r="C2126" s="54"/>
      <c r="D2126" s="55"/>
      <c r="I2126" s="55"/>
      <c r="J2126" s="56"/>
      <c r="K2126" s="56"/>
      <c r="M2126" s="55"/>
      <c r="N2126" s="55"/>
    </row>
    <row r="2127" ht="14.25" customHeight="1" spans="2:14">
      <c r="B2127" s="57"/>
      <c r="C2127" s="54"/>
      <c r="D2127" s="55"/>
      <c r="I2127" s="55"/>
      <c r="J2127" s="56"/>
      <c r="K2127" s="56"/>
      <c r="M2127" s="55"/>
      <c r="N2127" s="55"/>
    </row>
    <row r="2128" ht="14.25" customHeight="1" spans="2:14">
      <c r="B2128" s="57"/>
      <c r="C2128" s="54"/>
      <c r="D2128" s="55"/>
      <c r="I2128" s="55"/>
      <c r="J2128" s="56"/>
      <c r="K2128" s="56"/>
      <c r="M2128" s="55"/>
      <c r="N2128" s="55"/>
    </row>
    <row r="2129" ht="14.25" customHeight="1" spans="2:14">
      <c r="B2129" s="57"/>
      <c r="C2129" s="54"/>
      <c r="D2129" s="55"/>
      <c r="I2129" s="55"/>
      <c r="J2129" s="56"/>
      <c r="K2129" s="56"/>
      <c r="M2129" s="55"/>
      <c r="N2129" s="55"/>
    </row>
    <row r="2130" ht="14.25" customHeight="1" spans="2:14">
      <c r="B2130" s="57"/>
      <c r="C2130" s="54"/>
      <c r="D2130" s="55"/>
      <c r="I2130" s="55"/>
      <c r="J2130" s="56"/>
      <c r="K2130" s="56"/>
      <c r="M2130" s="55"/>
      <c r="N2130" s="55"/>
    </row>
    <row r="2131" ht="14.25" customHeight="1" spans="2:14">
      <c r="B2131" s="57"/>
      <c r="C2131" s="54"/>
      <c r="D2131" s="55"/>
      <c r="I2131" s="55"/>
      <c r="J2131" s="56"/>
      <c r="K2131" s="56"/>
      <c r="M2131" s="55"/>
      <c r="N2131" s="55"/>
    </row>
    <row r="2132" ht="14.25" customHeight="1" spans="2:14">
      <c r="B2132" s="57"/>
      <c r="C2132" s="54"/>
      <c r="D2132" s="55"/>
      <c r="I2132" s="55"/>
      <c r="J2132" s="56"/>
      <c r="K2132" s="56"/>
      <c r="M2132" s="55"/>
      <c r="N2132" s="55"/>
    </row>
    <row r="2133" ht="14.25" customHeight="1" spans="2:14">
      <c r="B2133" s="57"/>
      <c r="C2133" s="54"/>
      <c r="D2133" s="55"/>
      <c r="I2133" s="55"/>
      <c r="J2133" s="56"/>
      <c r="K2133" s="56"/>
      <c r="M2133" s="55"/>
      <c r="N2133" s="55"/>
    </row>
    <row r="2134" ht="14.25" customHeight="1" spans="2:14">
      <c r="B2134" s="57"/>
      <c r="C2134" s="54"/>
      <c r="D2134" s="55"/>
      <c r="I2134" s="55"/>
      <c r="J2134" s="56"/>
      <c r="K2134" s="56"/>
      <c r="M2134" s="55"/>
      <c r="N2134" s="55"/>
    </row>
    <row r="2135" ht="14.25" customHeight="1" spans="2:14">
      <c r="B2135" s="57"/>
      <c r="C2135" s="54"/>
      <c r="D2135" s="55"/>
      <c r="I2135" s="55"/>
      <c r="J2135" s="56"/>
      <c r="K2135" s="56"/>
      <c r="M2135" s="55"/>
      <c r="N2135" s="55"/>
    </row>
    <row r="2136" ht="14.25" customHeight="1" spans="2:14">
      <c r="B2136" s="57"/>
      <c r="C2136" s="54"/>
      <c r="D2136" s="55"/>
      <c r="I2136" s="55"/>
      <c r="J2136" s="56"/>
      <c r="K2136" s="56"/>
      <c r="M2136" s="55"/>
      <c r="N2136" s="55"/>
    </row>
    <row r="2137" ht="14.25" customHeight="1" spans="2:14">
      <c r="B2137" s="57"/>
      <c r="C2137" s="54"/>
      <c r="D2137" s="55"/>
      <c r="I2137" s="55"/>
      <c r="J2137" s="56"/>
      <c r="K2137" s="56"/>
      <c r="M2137" s="55"/>
      <c r="N2137" s="55"/>
    </row>
    <row r="2138" ht="14.25" customHeight="1" spans="2:14">
      <c r="B2138" s="57"/>
      <c r="C2138" s="54"/>
      <c r="D2138" s="55"/>
      <c r="I2138" s="55"/>
      <c r="J2138" s="56"/>
      <c r="K2138" s="56"/>
      <c r="M2138" s="55"/>
      <c r="N2138" s="55"/>
    </row>
    <row r="2139" ht="14.25" customHeight="1" spans="2:14">
      <c r="B2139" s="57"/>
      <c r="C2139" s="54"/>
      <c r="D2139" s="55"/>
      <c r="I2139" s="55"/>
      <c r="J2139" s="56"/>
      <c r="K2139" s="56"/>
      <c r="M2139" s="55"/>
      <c r="N2139" s="55"/>
    </row>
    <row r="2140" ht="14.25" customHeight="1" spans="2:14">
      <c r="B2140" s="57"/>
      <c r="C2140" s="54"/>
      <c r="D2140" s="55"/>
      <c r="I2140" s="55"/>
      <c r="J2140" s="56"/>
      <c r="K2140" s="56"/>
      <c r="M2140" s="55"/>
      <c r="N2140" s="55"/>
    </row>
    <row r="2141" ht="14.25" customHeight="1" spans="2:14">
      <c r="B2141" s="57"/>
      <c r="C2141" s="54"/>
      <c r="D2141" s="55"/>
      <c r="I2141" s="55"/>
      <c r="J2141" s="56"/>
      <c r="K2141" s="56"/>
      <c r="M2141" s="55"/>
      <c r="N2141" s="55"/>
    </row>
    <row r="2142" ht="14.25" customHeight="1" spans="2:14">
      <c r="B2142" s="57"/>
      <c r="C2142" s="54"/>
      <c r="D2142" s="55"/>
      <c r="I2142" s="55"/>
      <c r="J2142" s="56"/>
      <c r="K2142" s="56"/>
      <c r="M2142" s="55"/>
      <c r="N2142" s="55"/>
    </row>
    <row r="2143" ht="14.25" customHeight="1" spans="2:14">
      <c r="B2143" s="57"/>
      <c r="C2143" s="54"/>
      <c r="D2143" s="55"/>
      <c r="I2143" s="55"/>
      <c r="J2143" s="56"/>
      <c r="K2143" s="56"/>
      <c r="M2143" s="55"/>
      <c r="N2143" s="55"/>
    </row>
    <row r="2144" ht="14.25" customHeight="1" spans="2:14">
      <c r="B2144" s="57"/>
      <c r="C2144" s="54"/>
      <c r="D2144" s="55"/>
      <c r="I2144" s="55"/>
      <c r="J2144" s="56"/>
      <c r="K2144" s="56"/>
      <c r="M2144" s="55"/>
      <c r="N2144" s="55"/>
    </row>
    <row r="2145" ht="14.25" customHeight="1" spans="2:14">
      <c r="B2145" s="57"/>
      <c r="C2145" s="54"/>
      <c r="D2145" s="55"/>
      <c r="I2145" s="55"/>
      <c r="J2145" s="56"/>
      <c r="K2145" s="56"/>
      <c r="M2145" s="55"/>
      <c r="N2145" s="55"/>
    </row>
    <row r="2146" ht="14.25" customHeight="1" spans="2:14">
      <c r="B2146" s="57"/>
      <c r="C2146" s="54"/>
      <c r="D2146" s="55"/>
      <c r="I2146" s="55"/>
      <c r="J2146" s="56"/>
      <c r="K2146" s="56"/>
      <c r="M2146" s="55"/>
      <c r="N2146" s="55"/>
    </row>
    <row r="2147" ht="14.25" customHeight="1" spans="2:14">
      <c r="B2147" s="57"/>
      <c r="C2147" s="54"/>
      <c r="D2147" s="55"/>
      <c r="I2147" s="55"/>
      <c r="J2147" s="56"/>
      <c r="K2147" s="56"/>
      <c r="M2147" s="55"/>
      <c r="N2147" s="55"/>
    </row>
    <row r="2148" ht="14.25" customHeight="1" spans="2:14">
      <c r="B2148" s="57"/>
      <c r="C2148" s="54"/>
      <c r="D2148" s="55"/>
      <c r="I2148" s="55"/>
      <c r="J2148" s="56"/>
      <c r="K2148" s="56"/>
      <c r="M2148" s="55"/>
      <c r="N2148" s="55"/>
    </row>
    <row r="2149" ht="14.25" customHeight="1" spans="2:14">
      <c r="B2149" s="57"/>
      <c r="C2149" s="54"/>
      <c r="D2149" s="55"/>
      <c r="I2149" s="55"/>
      <c r="J2149" s="56"/>
      <c r="K2149" s="56"/>
      <c r="M2149" s="55"/>
      <c r="N2149" s="55"/>
    </row>
    <row r="2150" ht="14.25" customHeight="1" spans="2:14">
      <c r="B2150" s="57"/>
      <c r="C2150" s="54"/>
      <c r="D2150" s="55"/>
      <c r="I2150" s="55"/>
      <c r="J2150" s="56"/>
      <c r="K2150" s="56"/>
      <c r="M2150" s="55"/>
      <c r="N2150" s="55"/>
    </row>
    <row r="2151" ht="14.25" customHeight="1" spans="2:14">
      <c r="B2151" s="57"/>
      <c r="C2151" s="54"/>
      <c r="D2151" s="55"/>
      <c r="I2151" s="55"/>
      <c r="J2151" s="56"/>
      <c r="K2151" s="56"/>
      <c r="M2151" s="55"/>
      <c r="N2151" s="55"/>
    </row>
    <row r="2152" ht="14.25" customHeight="1" spans="2:14">
      <c r="B2152" s="57"/>
      <c r="C2152" s="54"/>
      <c r="D2152" s="55"/>
      <c r="I2152" s="55"/>
      <c r="J2152" s="56"/>
      <c r="K2152" s="56"/>
      <c r="M2152" s="55"/>
      <c r="N2152" s="55"/>
    </row>
    <row r="2153" ht="14.25" customHeight="1" spans="2:14">
      <c r="B2153" s="57"/>
      <c r="C2153" s="54"/>
      <c r="D2153" s="55"/>
      <c r="I2153" s="55"/>
      <c r="J2153" s="56"/>
      <c r="K2153" s="56"/>
      <c r="M2153" s="55"/>
      <c r="N2153" s="55"/>
    </row>
    <row r="2154" ht="14.25" customHeight="1" spans="2:14">
      <c r="B2154" s="57"/>
      <c r="C2154" s="54"/>
      <c r="D2154" s="55"/>
      <c r="I2154" s="55"/>
      <c r="J2154" s="56"/>
      <c r="K2154" s="56"/>
      <c r="M2154" s="55"/>
      <c r="N2154" s="55"/>
    </row>
    <row r="2155" ht="14.25" customHeight="1" spans="2:14">
      <c r="B2155" s="57"/>
      <c r="C2155" s="54"/>
      <c r="D2155" s="55"/>
      <c r="I2155" s="55"/>
      <c r="J2155" s="56"/>
      <c r="K2155" s="56"/>
      <c r="M2155" s="55"/>
      <c r="N2155" s="55"/>
    </row>
    <row r="2156" ht="14.25" customHeight="1" spans="2:14">
      <c r="B2156" s="57"/>
      <c r="C2156" s="54"/>
      <c r="D2156" s="55"/>
      <c r="I2156" s="55"/>
      <c r="J2156" s="56"/>
      <c r="K2156" s="56"/>
      <c r="M2156" s="55"/>
      <c r="N2156" s="55"/>
    </row>
    <row r="2157" ht="14.25" customHeight="1" spans="2:14">
      <c r="B2157" s="57"/>
      <c r="C2157" s="54"/>
      <c r="D2157" s="55"/>
      <c r="I2157" s="55"/>
      <c r="J2157" s="56"/>
      <c r="K2157" s="56"/>
      <c r="M2157" s="55"/>
      <c r="N2157" s="55"/>
    </row>
    <row r="2158" ht="14.25" customHeight="1" spans="2:14">
      <c r="B2158" s="57"/>
      <c r="C2158" s="54"/>
      <c r="D2158" s="55"/>
      <c r="I2158" s="55"/>
      <c r="J2158" s="56"/>
      <c r="K2158" s="56"/>
      <c r="M2158" s="55"/>
      <c r="N2158" s="55"/>
    </row>
    <row r="2159" ht="14.25" customHeight="1" spans="2:14">
      <c r="B2159" s="57"/>
      <c r="C2159" s="54"/>
      <c r="D2159" s="55"/>
      <c r="I2159" s="55"/>
      <c r="J2159" s="56"/>
      <c r="K2159" s="56"/>
      <c r="M2159" s="55"/>
      <c r="N2159" s="55"/>
    </row>
    <row r="2160" ht="14.25" customHeight="1" spans="2:14">
      <c r="B2160" s="57"/>
      <c r="C2160" s="54"/>
      <c r="D2160" s="55"/>
      <c r="I2160" s="55"/>
      <c r="J2160" s="56"/>
      <c r="K2160" s="56"/>
      <c r="M2160" s="55"/>
      <c r="N2160" s="55"/>
    </row>
    <row r="2161" ht="14.25" customHeight="1" spans="2:14">
      <c r="B2161" s="57"/>
      <c r="C2161" s="54"/>
      <c r="D2161" s="55"/>
      <c r="I2161" s="55"/>
      <c r="J2161" s="56"/>
      <c r="K2161" s="56"/>
      <c r="M2161" s="55"/>
      <c r="N2161" s="55"/>
    </row>
    <row r="2162" ht="14.25" customHeight="1" spans="2:14">
      <c r="B2162" s="57"/>
      <c r="C2162" s="54"/>
      <c r="D2162" s="55"/>
      <c r="I2162" s="55"/>
      <c r="J2162" s="56"/>
      <c r="K2162" s="56"/>
      <c r="M2162" s="55"/>
      <c r="N2162" s="55"/>
    </row>
    <row r="2163" ht="14.25" customHeight="1" spans="2:14">
      <c r="B2163" s="57"/>
      <c r="C2163" s="54"/>
      <c r="D2163" s="55"/>
      <c r="I2163" s="55"/>
      <c r="J2163" s="56"/>
      <c r="K2163" s="56"/>
      <c r="M2163" s="55"/>
      <c r="N2163" s="55"/>
    </row>
    <row r="2164" ht="14.25" customHeight="1" spans="2:14">
      <c r="B2164" s="57"/>
      <c r="C2164" s="54"/>
      <c r="D2164" s="55"/>
      <c r="I2164" s="55"/>
      <c r="J2164" s="56"/>
      <c r="K2164" s="56"/>
      <c r="M2164" s="55"/>
      <c r="N2164" s="55"/>
    </row>
    <row r="2165" ht="14.25" customHeight="1" spans="2:14">
      <c r="B2165" s="57"/>
      <c r="C2165" s="54"/>
      <c r="D2165" s="55"/>
      <c r="I2165" s="55"/>
      <c r="J2165" s="56"/>
      <c r="K2165" s="56"/>
      <c r="M2165" s="55"/>
      <c r="N2165" s="55"/>
    </row>
    <row r="2166" ht="14.25" customHeight="1" spans="2:14">
      <c r="B2166" s="57"/>
      <c r="C2166" s="54"/>
      <c r="D2166" s="55"/>
      <c r="I2166" s="55"/>
      <c r="J2166" s="56"/>
      <c r="K2166" s="56"/>
      <c r="M2166" s="55"/>
      <c r="N2166" s="55"/>
    </row>
    <row r="2167" ht="14.25" customHeight="1" spans="2:14">
      <c r="B2167" s="57"/>
      <c r="C2167" s="54"/>
      <c r="D2167" s="55"/>
      <c r="I2167" s="55"/>
      <c r="J2167" s="56"/>
      <c r="K2167" s="56"/>
      <c r="M2167" s="55"/>
      <c r="N2167" s="55"/>
    </row>
    <row r="2168" ht="14.25" customHeight="1" spans="2:14">
      <c r="B2168" s="57"/>
      <c r="C2168" s="54"/>
      <c r="D2168" s="55"/>
      <c r="I2168" s="55"/>
      <c r="J2168" s="56"/>
      <c r="K2168" s="56"/>
      <c r="M2168" s="55"/>
      <c r="N2168" s="55"/>
    </row>
    <row r="2169" ht="14.25" customHeight="1" spans="2:14">
      <c r="B2169" s="57"/>
      <c r="C2169" s="54"/>
      <c r="D2169" s="55"/>
      <c r="I2169" s="55"/>
      <c r="J2169" s="56"/>
      <c r="K2169" s="56"/>
      <c r="M2169" s="55"/>
      <c r="N2169" s="55"/>
    </row>
    <row r="2170" ht="14.25" customHeight="1" spans="2:14">
      <c r="B2170" s="57"/>
      <c r="C2170" s="54"/>
      <c r="D2170" s="55"/>
      <c r="I2170" s="55"/>
      <c r="J2170" s="56"/>
      <c r="K2170" s="56"/>
      <c r="M2170" s="55"/>
      <c r="N2170" s="55"/>
    </row>
    <row r="2171" ht="14.25" customHeight="1" spans="2:14">
      <c r="B2171" s="57"/>
      <c r="C2171" s="54"/>
      <c r="D2171" s="55"/>
      <c r="I2171" s="55"/>
      <c r="J2171" s="56"/>
      <c r="K2171" s="56"/>
      <c r="M2171" s="55"/>
      <c r="N2171" s="55"/>
    </row>
    <row r="2172" ht="14.25" customHeight="1" spans="2:14">
      <c r="B2172" s="57"/>
      <c r="C2172" s="54"/>
      <c r="D2172" s="55"/>
      <c r="I2172" s="55"/>
      <c r="J2172" s="56"/>
      <c r="K2172" s="56"/>
      <c r="M2172" s="55"/>
      <c r="N2172" s="55"/>
    </row>
    <row r="2173" ht="14.25" customHeight="1" spans="2:14">
      <c r="B2173" s="57"/>
      <c r="C2173" s="54"/>
      <c r="D2173" s="55"/>
      <c r="I2173" s="55"/>
      <c r="J2173" s="56"/>
      <c r="K2173" s="56"/>
      <c r="M2173" s="55"/>
      <c r="N2173" s="55"/>
    </row>
    <row r="2174" ht="14.25" customHeight="1" spans="2:14">
      <c r="B2174" s="57"/>
      <c r="C2174" s="54"/>
      <c r="D2174" s="55"/>
      <c r="I2174" s="55"/>
      <c r="J2174" s="56"/>
      <c r="K2174" s="56"/>
      <c r="M2174" s="55"/>
      <c r="N2174" s="55"/>
    </row>
    <row r="2175" ht="14.25" customHeight="1" spans="2:14">
      <c r="B2175" s="57"/>
      <c r="C2175" s="54"/>
      <c r="D2175" s="55"/>
      <c r="I2175" s="55"/>
      <c r="J2175" s="56"/>
      <c r="K2175" s="56"/>
      <c r="M2175" s="55"/>
      <c r="N2175" s="55"/>
    </row>
    <row r="2176" ht="14.25" customHeight="1" spans="2:14">
      <c r="B2176" s="57"/>
      <c r="C2176" s="54"/>
      <c r="D2176" s="55"/>
      <c r="I2176" s="55"/>
      <c r="J2176" s="56"/>
      <c r="K2176" s="56"/>
      <c r="M2176" s="55"/>
      <c r="N2176" s="55"/>
    </row>
    <row r="2177" ht="14.25" customHeight="1" spans="2:14">
      <c r="B2177" s="57"/>
      <c r="C2177" s="54"/>
      <c r="D2177" s="55"/>
      <c r="I2177" s="55"/>
      <c r="J2177" s="56"/>
      <c r="K2177" s="56"/>
      <c r="M2177" s="55"/>
      <c r="N2177" s="55"/>
    </row>
    <row r="2178" ht="14.25" customHeight="1" spans="2:14">
      <c r="B2178" s="57"/>
      <c r="C2178" s="54"/>
      <c r="D2178" s="55"/>
      <c r="I2178" s="55"/>
      <c r="J2178" s="56"/>
      <c r="K2178" s="56"/>
      <c r="M2178" s="55"/>
      <c r="N2178" s="55"/>
    </row>
    <row r="2179" ht="14.25" customHeight="1" spans="2:14">
      <c r="B2179" s="57"/>
      <c r="C2179" s="54"/>
      <c r="D2179" s="55"/>
      <c r="I2179" s="55"/>
      <c r="J2179" s="56"/>
      <c r="K2179" s="56"/>
      <c r="M2179" s="55"/>
      <c r="N2179" s="55"/>
    </row>
    <row r="2180" ht="14.25" customHeight="1" spans="2:14">
      <c r="B2180" s="57"/>
      <c r="C2180" s="54"/>
      <c r="D2180" s="55"/>
      <c r="I2180" s="55"/>
      <c r="J2180" s="56"/>
      <c r="K2180" s="56"/>
      <c r="M2180" s="55"/>
      <c r="N2180" s="55"/>
    </row>
    <row r="2181" ht="14.25" customHeight="1" spans="2:14">
      <c r="B2181" s="57"/>
      <c r="C2181" s="54"/>
      <c r="D2181" s="55"/>
      <c r="I2181" s="55"/>
      <c r="J2181" s="56"/>
      <c r="K2181" s="56"/>
      <c r="M2181" s="55"/>
      <c r="N2181" s="55"/>
    </row>
    <row r="2182" ht="14.25" customHeight="1" spans="2:14">
      <c r="B2182" s="57"/>
      <c r="C2182" s="54"/>
      <c r="D2182" s="55"/>
      <c r="I2182" s="55"/>
      <c r="J2182" s="56"/>
      <c r="K2182" s="56"/>
      <c r="M2182" s="55"/>
      <c r="N2182" s="55"/>
    </row>
    <row r="2183" ht="14.25" customHeight="1" spans="2:14">
      <c r="B2183" s="57"/>
      <c r="C2183" s="54"/>
      <c r="D2183" s="55"/>
      <c r="I2183" s="55"/>
      <c r="J2183" s="56"/>
      <c r="K2183" s="56"/>
      <c r="M2183" s="55"/>
      <c r="N2183" s="55"/>
    </row>
    <row r="2184" ht="14.25" customHeight="1" spans="2:14">
      <c r="B2184" s="57"/>
      <c r="C2184" s="54"/>
      <c r="D2184" s="55"/>
      <c r="I2184" s="55"/>
      <c r="J2184" s="56"/>
      <c r="K2184" s="56"/>
      <c r="M2184" s="55"/>
      <c r="N2184" s="55"/>
    </row>
    <row r="2185" ht="14.25" customHeight="1" spans="2:14">
      <c r="B2185" s="57"/>
      <c r="C2185" s="54"/>
      <c r="D2185" s="55"/>
      <c r="I2185" s="55"/>
      <c r="J2185" s="56"/>
      <c r="K2185" s="56"/>
      <c r="M2185" s="55"/>
      <c r="N2185" s="55"/>
    </row>
    <row r="2186" ht="14.25" customHeight="1" spans="2:14">
      <c r="B2186" s="57"/>
      <c r="C2186" s="54"/>
      <c r="D2186" s="55"/>
      <c r="I2186" s="55"/>
      <c r="J2186" s="56"/>
      <c r="K2186" s="56"/>
      <c r="M2186" s="55"/>
      <c r="N2186" s="55"/>
    </row>
    <row r="2187" ht="14.25" customHeight="1" spans="2:14">
      <c r="B2187" s="57"/>
      <c r="C2187" s="54"/>
      <c r="D2187" s="55"/>
      <c r="I2187" s="55"/>
      <c r="J2187" s="56"/>
      <c r="K2187" s="56"/>
      <c r="M2187" s="55"/>
      <c r="N2187" s="55"/>
    </row>
    <row r="2188" ht="14.25" customHeight="1" spans="2:14">
      <c r="B2188" s="57"/>
      <c r="C2188" s="54"/>
      <c r="D2188" s="55"/>
      <c r="I2188" s="55"/>
      <c r="J2188" s="56"/>
      <c r="K2188" s="56"/>
      <c r="M2188" s="55"/>
      <c r="N2188" s="55"/>
    </row>
    <row r="2189" ht="14.25" customHeight="1" spans="2:14">
      <c r="B2189" s="57"/>
      <c r="C2189" s="54"/>
      <c r="D2189" s="55"/>
      <c r="I2189" s="55"/>
      <c r="J2189" s="56"/>
      <c r="K2189" s="56"/>
      <c r="M2189" s="55"/>
      <c r="N2189" s="55"/>
    </row>
    <row r="2190" ht="14.25" customHeight="1" spans="2:14">
      <c r="B2190" s="57"/>
      <c r="C2190" s="54"/>
      <c r="D2190" s="55"/>
      <c r="I2190" s="55"/>
      <c r="J2190" s="56"/>
      <c r="K2190" s="56"/>
      <c r="M2190" s="55"/>
      <c r="N2190" s="55"/>
    </row>
    <row r="2191" ht="14.25" customHeight="1" spans="2:14">
      <c r="B2191" s="57"/>
      <c r="C2191" s="54"/>
      <c r="D2191" s="55"/>
      <c r="I2191" s="55"/>
      <c r="J2191" s="56"/>
      <c r="K2191" s="56"/>
      <c r="M2191" s="55"/>
      <c r="N2191" s="55"/>
    </row>
    <row r="2192" ht="14.25" customHeight="1" spans="2:14">
      <c r="B2192" s="57"/>
      <c r="C2192" s="54"/>
      <c r="D2192" s="55"/>
      <c r="I2192" s="55"/>
      <c r="J2192" s="56"/>
      <c r="K2192" s="56"/>
      <c r="M2192" s="55"/>
      <c r="N2192" s="55"/>
    </row>
    <row r="2193" ht="14.25" customHeight="1" spans="2:14">
      <c r="B2193" s="57"/>
      <c r="C2193" s="54"/>
      <c r="D2193" s="55"/>
      <c r="I2193" s="55"/>
      <c r="J2193" s="56"/>
      <c r="K2193" s="56"/>
      <c r="M2193" s="55"/>
      <c r="N2193" s="55"/>
    </row>
    <row r="2194" ht="14.25" customHeight="1" spans="2:14">
      <c r="B2194" s="57"/>
      <c r="C2194" s="54"/>
      <c r="D2194" s="55"/>
      <c r="I2194" s="55"/>
      <c r="J2194" s="56"/>
      <c r="K2194" s="56"/>
      <c r="M2194" s="55"/>
      <c r="N2194" s="55"/>
    </row>
    <row r="2195" ht="14.25" customHeight="1" spans="2:14">
      <c r="B2195" s="57"/>
      <c r="C2195" s="54"/>
      <c r="D2195" s="55"/>
      <c r="I2195" s="55"/>
      <c r="J2195" s="56"/>
      <c r="K2195" s="56"/>
      <c r="M2195" s="55"/>
      <c r="N2195" s="55"/>
    </row>
    <row r="2196" ht="14.25" customHeight="1" spans="2:14">
      <c r="B2196" s="57"/>
      <c r="C2196" s="54"/>
      <c r="D2196" s="55"/>
      <c r="I2196" s="55"/>
      <c r="J2196" s="56"/>
      <c r="K2196" s="56"/>
      <c r="M2196" s="55"/>
      <c r="N2196" s="55"/>
    </row>
    <row r="2197" ht="14.25" customHeight="1" spans="2:14">
      <c r="B2197" s="57"/>
      <c r="C2197" s="54"/>
      <c r="D2197" s="55"/>
      <c r="I2197" s="55"/>
      <c r="J2197" s="56"/>
      <c r="K2197" s="56"/>
      <c r="M2197" s="55"/>
      <c r="N2197" s="55"/>
    </row>
    <row r="2198" ht="14.25" customHeight="1" spans="2:14">
      <c r="B2198" s="57"/>
      <c r="C2198" s="54"/>
      <c r="D2198" s="55"/>
      <c r="I2198" s="55"/>
      <c r="J2198" s="56"/>
      <c r="K2198" s="56"/>
      <c r="M2198" s="55"/>
      <c r="N2198" s="55"/>
    </row>
    <row r="2199" ht="14.25" customHeight="1" spans="2:14">
      <c r="B2199" s="57"/>
      <c r="C2199" s="54"/>
      <c r="D2199" s="55"/>
      <c r="I2199" s="55"/>
      <c r="J2199" s="56"/>
      <c r="K2199" s="56"/>
      <c r="M2199" s="55"/>
      <c r="N2199" s="55"/>
    </row>
    <row r="2200" ht="14.25" customHeight="1" spans="2:14">
      <c r="B2200" s="57"/>
      <c r="C2200" s="54"/>
      <c r="D2200" s="55"/>
      <c r="I2200" s="55"/>
      <c r="J2200" s="56"/>
      <c r="K2200" s="56"/>
      <c r="M2200" s="55"/>
      <c r="N2200" s="55"/>
    </row>
    <row r="2201" ht="14.25" customHeight="1" spans="2:14">
      <c r="B2201" s="57"/>
      <c r="C2201" s="54"/>
      <c r="D2201" s="55"/>
      <c r="I2201" s="55"/>
      <c r="J2201" s="56"/>
      <c r="K2201" s="56"/>
      <c r="M2201" s="55"/>
      <c r="N2201" s="55"/>
    </row>
    <row r="2202" ht="14.25" customHeight="1" spans="2:14">
      <c r="B2202" s="57"/>
      <c r="C2202" s="54"/>
      <c r="D2202" s="55"/>
      <c r="I2202" s="55"/>
      <c r="J2202" s="56"/>
      <c r="K2202" s="56"/>
      <c r="M2202" s="55"/>
      <c r="N2202" s="55"/>
    </row>
    <row r="2203" ht="14.25" customHeight="1" spans="2:14">
      <c r="B2203" s="57"/>
      <c r="C2203" s="54"/>
      <c r="D2203" s="55"/>
      <c r="I2203" s="55"/>
      <c r="J2203" s="56"/>
      <c r="K2203" s="56"/>
      <c r="M2203" s="55"/>
      <c r="N2203" s="55"/>
    </row>
    <row r="2204" ht="14.25" customHeight="1" spans="2:14">
      <c r="B2204" s="57"/>
      <c r="C2204" s="54"/>
      <c r="D2204" s="55"/>
      <c r="I2204" s="55"/>
      <c r="J2204" s="56"/>
      <c r="K2204" s="56"/>
      <c r="M2204" s="55"/>
      <c r="N2204" s="55"/>
    </row>
    <row r="2205" ht="14.25" customHeight="1" spans="2:14">
      <c r="B2205" s="57"/>
      <c r="C2205" s="54"/>
      <c r="D2205" s="55"/>
      <c r="I2205" s="55"/>
      <c r="J2205" s="56"/>
      <c r="K2205" s="56"/>
      <c r="M2205" s="55"/>
      <c r="N2205" s="55"/>
    </row>
    <row r="2206" ht="14.25" customHeight="1" spans="2:14">
      <c r="B2206" s="57"/>
      <c r="C2206" s="54"/>
      <c r="D2206" s="55"/>
      <c r="I2206" s="55"/>
      <c r="J2206" s="56"/>
      <c r="K2206" s="56"/>
      <c r="M2206" s="55"/>
      <c r="N2206" s="55"/>
    </row>
    <row r="2207" ht="14.25" customHeight="1" spans="2:14">
      <c r="B2207" s="57"/>
      <c r="C2207" s="54"/>
      <c r="D2207" s="55"/>
      <c r="I2207" s="55"/>
      <c r="J2207" s="56"/>
      <c r="K2207" s="56"/>
      <c r="M2207" s="55"/>
      <c r="N2207" s="55"/>
    </row>
    <row r="2208" ht="14.25" customHeight="1" spans="2:14">
      <c r="B2208" s="57"/>
      <c r="C2208" s="54"/>
      <c r="D2208" s="55"/>
      <c r="I2208" s="55"/>
      <c r="J2208" s="56"/>
      <c r="K2208" s="56"/>
      <c r="M2208" s="55"/>
      <c r="N2208" s="55"/>
    </row>
    <row r="2209" ht="14.25" customHeight="1" spans="2:14">
      <c r="B2209" s="57"/>
      <c r="C2209" s="54"/>
      <c r="D2209" s="55"/>
      <c r="I2209" s="55"/>
      <c r="J2209" s="56"/>
      <c r="K2209" s="56"/>
      <c r="M2209" s="55"/>
      <c r="N2209" s="55"/>
    </row>
    <row r="2210" ht="14.25" customHeight="1" spans="2:14">
      <c r="B2210" s="57"/>
      <c r="C2210" s="54"/>
      <c r="D2210" s="55"/>
      <c r="I2210" s="55"/>
      <c r="J2210" s="56"/>
      <c r="K2210" s="56"/>
      <c r="M2210" s="55"/>
      <c r="N2210" s="55"/>
    </row>
    <row r="2211" ht="14.25" customHeight="1" spans="2:14">
      <c r="B2211" s="57"/>
      <c r="C2211" s="54"/>
      <c r="D2211" s="55"/>
      <c r="I2211" s="55"/>
      <c r="J2211" s="56"/>
      <c r="K2211" s="56"/>
      <c r="M2211" s="55"/>
      <c r="N2211" s="55"/>
    </row>
    <row r="2212" ht="14.25" customHeight="1" spans="2:14">
      <c r="B2212" s="57"/>
      <c r="C2212" s="54"/>
      <c r="D2212" s="55"/>
      <c r="I2212" s="55"/>
      <c r="J2212" s="56"/>
      <c r="K2212" s="56"/>
      <c r="M2212" s="55"/>
      <c r="N2212" s="55"/>
    </row>
    <row r="2213" ht="14.25" customHeight="1" spans="2:14">
      <c r="B2213" s="57"/>
      <c r="C2213" s="54"/>
      <c r="D2213" s="55"/>
      <c r="I2213" s="55"/>
      <c r="J2213" s="56"/>
      <c r="K2213" s="56"/>
      <c r="M2213" s="55"/>
      <c r="N2213" s="55"/>
    </row>
    <row r="2214" ht="14.25" customHeight="1" spans="2:14">
      <c r="B2214" s="57"/>
      <c r="C2214" s="54"/>
      <c r="D2214" s="55"/>
      <c r="I2214" s="55"/>
      <c r="J2214" s="56"/>
      <c r="K2214" s="56"/>
      <c r="M2214" s="55"/>
      <c r="N2214" s="55"/>
    </row>
    <row r="2215" ht="14.25" customHeight="1" spans="2:14">
      <c r="B2215" s="57"/>
      <c r="C2215" s="54"/>
      <c r="D2215" s="55"/>
      <c r="I2215" s="55"/>
      <c r="J2215" s="56"/>
      <c r="K2215" s="56"/>
      <c r="M2215" s="55"/>
      <c r="N2215" s="55"/>
    </row>
    <row r="2216" ht="14.25" customHeight="1" spans="2:14">
      <c r="B2216" s="57"/>
      <c r="C2216" s="54"/>
      <c r="D2216" s="55"/>
      <c r="I2216" s="55"/>
      <c r="J2216" s="56"/>
      <c r="K2216" s="56"/>
      <c r="M2216" s="55"/>
      <c r="N2216" s="55"/>
    </row>
    <row r="2217" ht="14.25" customHeight="1" spans="2:14">
      <c r="B2217" s="57"/>
      <c r="C2217" s="54"/>
      <c r="D2217" s="55"/>
      <c r="I2217" s="55"/>
      <c r="J2217" s="56"/>
      <c r="K2217" s="56"/>
      <c r="M2217" s="55"/>
      <c r="N2217" s="55"/>
    </row>
    <row r="2218" ht="14.25" customHeight="1" spans="2:14">
      <c r="B2218" s="57"/>
      <c r="C2218" s="54"/>
      <c r="D2218" s="55"/>
      <c r="I2218" s="55"/>
      <c r="J2218" s="56"/>
      <c r="K2218" s="56"/>
      <c r="M2218" s="55"/>
      <c r="N2218" s="55"/>
    </row>
    <row r="2219" ht="14.25" customHeight="1" spans="2:14">
      <c r="B2219" s="57"/>
      <c r="C2219" s="54"/>
      <c r="D2219" s="55"/>
      <c r="I2219" s="55"/>
      <c r="J2219" s="56"/>
      <c r="K2219" s="56"/>
      <c r="M2219" s="55"/>
      <c r="N2219" s="55"/>
    </row>
    <row r="2220" ht="14.25" customHeight="1" spans="2:14">
      <c r="B2220" s="57"/>
      <c r="C2220" s="54"/>
      <c r="D2220" s="55"/>
      <c r="I2220" s="55"/>
      <c r="J2220" s="56"/>
      <c r="K2220" s="56"/>
      <c r="M2220" s="55"/>
      <c r="N2220" s="55"/>
    </row>
    <row r="2221" ht="14.25" customHeight="1" spans="2:14">
      <c r="B2221" s="57"/>
      <c r="C2221" s="54"/>
      <c r="D2221" s="55"/>
      <c r="I2221" s="55"/>
      <c r="J2221" s="56"/>
      <c r="K2221" s="56"/>
      <c r="M2221" s="55"/>
      <c r="N2221" s="55"/>
    </row>
    <row r="2222" ht="14.25" customHeight="1" spans="2:14">
      <c r="B2222" s="57"/>
      <c r="C2222" s="54"/>
      <c r="D2222" s="55"/>
      <c r="I2222" s="55"/>
      <c r="J2222" s="56"/>
      <c r="K2222" s="56"/>
      <c r="M2222" s="55"/>
      <c r="N2222" s="55"/>
    </row>
    <row r="2223" ht="14.25" customHeight="1" spans="2:14">
      <c r="B2223" s="57"/>
      <c r="C2223" s="54"/>
      <c r="D2223" s="55"/>
      <c r="I2223" s="55"/>
      <c r="J2223" s="56"/>
      <c r="K2223" s="56"/>
      <c r="M2223" s="55"/>
      <c r="N2223" s="55"/>
    </row>
    <row r="2224" ht="14.25" customHeight="1" spans="2:14">
      <c r="B2224" s="57"/>
      <c r="C2224" s="54"/>
      <c r="D2224" s="55"/>
      <c r="I2224" s="55"/>
      <c r="J2224" s="56"/>
      <c r="K2224" s="56"/>
      <c r="M2224" s="55"/>
      <c r="N2224" s="55"/>
    </row>
    <row r="2225" ht="14.25" customHeight="1" spans="2:14">
      <c r="B2225" s="57"/>
      <c r="C2225" s="54"/>
      <c r="D2225" s="55"/>
      <c r="I2225" s="55"/>
      <c r="J2225" s="56"/>
      <c r="K2225" s="56"/>
      <c r="M2225" s="55"/>
      <c r="N2225" s="55"/>
    </row>
    <row r="2226" ht="14.25" customHeight="1" spans="2:14">
      <c r="B2226" s="57"/>
      <c r="C2226" s="54"/>
      <c r="D2226" s="55"/>
      <c r="I2226" s="55"/>
      <c r="J2226" s="56"/>
      <c r="K2226" s="56"/>
      <c r="M2226" s="55"/>
      <c r="N2226" s="55"/>
    </row>
    <row r="2227" ht="14.25" customHeight="1" spans="2:14">
      <c r="B2227" s="57"/>
      <c r="C2227" s="54"/>
      <c r="D2227" s="55"/>
      <c r="I2227" s="55"/>
      <c r="J2227" s="56"/>
      <c r="K2227" s="56"/>
      <c r="M2227" s="55"/>
      <c r="N2227" s="55"/>
    </row>
    <row r="2228" ht="14.25" customHeight="1" spans="2:14">
      <c r="B2228" s="57"/>
      <c r="C2228" s="54"/>
      <c r="D2228" s="55"/>
      <c r="I2228" s="55"/>
      <c r="J2228" s="56"/>
      <c r="K2228" s="56"/>
      <c r="M2228" s="55"/>
      <c r="N2228" s="55"/>
    </row>
    <row r="2229" ht="14.25" customHeight="1" spans="2:14">
      <c r="B2229" s="57"/>
      <c r="C2229" s="54"/>
      <c r="D2229" s="55"/>
      <c r="I2229" s="55"/>
      <c r="J2229" s="56"/>
      <c r="K2229" s="56"/>
      <c r="M2229" s="55"/>
      <c r="N2229" s="55"/>
    </row>
    <row r="2230" ht="14.25" customHeight="1" spans="2:14">
      <c r="B2230" s="57"/>
      <c r="C2230" s="54"/>
      <c r="D2230" s="55"/>
      <c r="I2230" s="55"/>
      <c r="J2230" s="56"/>
      <c r="K2230" s="56"/>
      <c r="M2230" s="55"/>
      <c r="N2230" s="55"/>
    </row>
    <row r="2231" ht="14.25" customHeight="1" spans="2:14">
      <c r="B2231" s="57"/>
      <c r="C2231" s="54"/>
      <c r="D2231" s="55"/>
      <c r="I2231" s="55"/>
      <c r="J2231" s="56"/>
      <c r="K2231" s="56"/>
      <c r="M2231" s="55"/>
      <c r="N2231" s="55"/>
    </row>
    <row r="2232" ht="14.25" customHeight="1" spans="2:14">
      <c r="B2232" s="57"/>
      <c r="C2232" s="54"/>
      <c r="D2232" s="55"/>
      <c r="I2232" s="55"/>
      <c r="J2232" s="56"/>
      <c r="K2232" s="56"/>
      <c r="M2232" s="55"/>
      <c r="N2232" s="55"/>
    </row>
    <row r="2233" ht="14.25" customHeight="1" spans="2:14">
      <c r="B2233" s="57"/>
      <c r="C2233" s="54"/>
      <c r="D2233" s="55"/>
      <c r="I2233" s="55"/>
      <c r="J2233" s="56"/>
      <c r="K2233" s="56"/>
      <c r="M2233" s="55"/>
      <c r="N2233" s="55"/>
    </row>
    <row r="2234" ht="14.25" customHeight="1" spans="2:14">
      <c r="B2234" s="57"/>
      <c r="C2234" s="54"/>
      <c r="D2234" s="55"/>
      <c r="I2234" s="55"/>
      <c r="J2234" s="56"/>
      <c r="K2234" s="56"/>
      <c r="M2234" s="55"/>
      <c r="N2234" s="55"/>
    </row>
    <row r="2235" ht="14.25" customHeight="1" spans="2:14">
      <c r="B2235" s="57"/>
      <c r="C2235" s="54"/>
      <c r="D2235" s="55"/>
      <c r="I2235" s="55"/>
      <c r="J2235" s="56"/>
      <c r="K2235" s="56"/>
      <c r="M2235" s="55"/>
      <c r="N2235" s="55"/>
    </row>
    <row r="2236" ht="14.25" customHeight="1" spans="2:14">
      <c r="B2236" s="57"/>
      <c r="C2236" s="54"/>
      <c r="D2236" s="55"/>
      <c r="I2236" s="55"/>
      <c r="J2236" s="56"/>
      <c r="K2236" s="56"/>
      <c r="M2236" s="55"/>
      <c r="N2236" s="55"/>
    </row>
    <row r="2237" ht="14.25" customHeight="1" spans="2:14">
      <c r="B2237" s="57"/>
      <c r="C2237" s="54"/>
      <c r="D2237" s="55"/>
      <c r="I2237" s="55"/>
      <c r="J2237" s="56"/>
      <c r="K2237" s="56"/>
      <c r="M2237" s="55"/>
      <c r="N2237" s="55"/>
    </row>
    <row r="2238" ht="14.25" customHeight="1" spans="2:14">
      <c r="B2238" s="57"/>
      <c r="C2238" s="54"/>
      <c r="D2238" s="55"/>
      <c r="I2238" s="55"/>
      <c r="J2238" s="56"/>
      <c r="K2238" s="56"/>
      <c r="M2238" s="55"/>
      <c r="N2238" s="55"/>
    </row>
    <row r="2239" ht="14.25" customHeight="1" spans="2:14">
      <c r="B2239" s="57"/>
      <c r="C2239" s="54"/>
      <c r="D2239" s="55"/>
      <c r="I2239" s="55"/>
      <c r="J2239" s="56"/>
      <c r="K2239" s="56"/>
      <c r="M2239" s="55"/>
      <c r="N2239" s="55"/>
    </row>
    <row r="2240" ht="14.25" customHeight="1" spans="2:14">
      <c r="B2240" s="57"/>
      <c r="C2240" s="54"/>
      <c r="D2240" s="55"/>
      <c r="I2240" s="55"/>
      <c r="J2240" s="56"/>
      <c r="K2240" s="56"/>
      <c r="M2240" s="55"/>
      <c r="N2240" s="55"/>
    </row>
    <row r="2241" ht="14.25" customHeight="1" spans="2:14">
      <c r="B2241" s="57"/>
      <c r="C2241" s="54"/>
      <c r="D2241" s="55"/>
      <c r="I2241" s="55"/>
      <c r="J2241" s="56"/>
      <c r="K2241" s="56"/>
      <c r="M2241" s="55"/>
      <c r="N2241" s="55"/>
    </row>
    <row r="2242" ht="14.25" customHeight="1" spans="2:14">
      <c r="B2242" s="57"/>
      <c r="C2242" s="54"/>
      <c r="D2242" s="55"/>
      <c r="I2242" s="55"/>
      <c r="J2242" s="56"/>
      <c r="K2242" s="56"/>
      <c r="M2242" s="55"/>
      <c r="N2242" s="55"/>
    </row>
    <row r="2243" ht="14.25" customHeight="1" spans="2:14">
      <c r="B2243" s="57"/>
      <c r="C2243" s="54"/>
      <c r="D2243" s="55"/>
      <c r="I2243" s="55"/>
      <c r="J2243" s="56"/>
      <c r="K2243" s="56"/>
      <c r="M2243" s="55"/>
      <c r="N2243" s="55"/>
    </row>
    <row r="2244" ht="14.25" customHeight="1" spans="2:14">
      <c r="B2244" s="57"/>
      <c r="C2244" s="54"/>
      <c r="D2244" s="55"/>
      <c r="I2244" s="55"/>
      <c r="J2244" s="56"/>
      <c r="K2244" s="56"/>
      <c r="M2244" s="55"/>
      <c r="N2244" s="55"/>
    </row>
    <row r="2245" ht="14.25" customHeight="1" spans="2:14">
      <c r="B2245" s="57"/>
      <c r="C2245" s="54"/>
      <c r="D2245" s="55"/>
      <c r="I2245" s="55"/>
      <c r="J2245" s="56"/>
      <c r="K2245" s="56"/>
      <c r="M2245" s="55"/>
      <c r="N2245" s="55"/>
    </row>
    <row r="2246" ht="14.25" customHeight="1" spans="2:14">
      <c r="B2246" s="57"/>
      <c r="C2246" s="54"/>
      <c r="D2246" s="55"/>
      <c r="I2246" s="55"/>
      <c r="J2246" s="56"/>
      <c r="K2246" s="56"/>
      <c r="M2246" s="55"/>
      <c r="N2246" s="55"/>
    </row>
    <row r="2247" ht="14.25" customHeight="1" spans="2:14">
      <c r="B2247" s="57"/>
      <c r="C2247" s="54"/>
      <c r="D2247" s="55"/>
      <c r="I2247" s="55"/>
      <c r="J2247" s="56"/>
      <c r="K2247" s="56"/>
      <c r="M2247" s="55"/>
      <c r="N2247" s="55"/>
    </row>
    <row r="2248" ht="14.25" customHeight="1" spans="2:14">
      <c r="B2248" s="57"/>
      <c r="C2248" s="54"/>
      <c r="D2248" s="55"/>
      <c r="I2248" s="55"/>
      <c r="J2248" s="56"/>
      <c r="K2248" s="56"/>
      <c r="M2248" s="55"/>
      <c r="N2248" s="55"/>
    </row>
    <row r="2249" ht="14.25" customHeight="1" spans="2:14">
      <c r="B2249" s="57"/>
      <c r="C2249" s="54"/>
      <c r="D2249" s="55"/>
      <c r="I2249" s="55"/>
      <c r="J2249" s="56"/>
      <c r="K2249" s="56"/>
      <c r="M2249" s="55"/>
      <c r="N2249" s="55"/>
    </row>
    <row r="2250" ht="14.25" customHeight="1" spans="2:14">
      <c r="B2250" s="57"/>
      <c r="C2250" s="54"/>
      <c r="D2250" s="55"/>
      <c r="I2250" s="55"/>
      <c r="J2250" s="56"/>
      <c r="K2250" s="56"/>
      <c r="M2250" s="55"/>
      <c r="N2250" s="55"/>
    </row>
    <row r="2251" ht="14.25" customHeight="1" spans="2:14">
      <c r="B2251" s="57"/>
      <c r="C2251" s="54"/>
      <c r="D2251" s="55"/>
      <c r="I2251" s="55"/>
      <c r="J2251" s="56"/>
      <c r="K2251" s="56"/>
      <c r="M2251" s="55"/>
      <c r="N2251" s="55"/>
    </row>
    <row r="2252" ht="14.25" customHeight="1" spans="2:14">
      <c r="B2252" s="57"/>
      <c r="C2252" s="54"/>
      <c r="D2252" s="55"/>
      <c r="I2252" s="55"/>
      <c r="J2252" s="56"/>
      <c r="K2252" s="56"/>
      <c r="M2252" s="55"/>
      <c r="N2252" s="55"/>
    </row>
    <row r="2253" ht="14.25" customHeight="1" spans="2:14">
      <c r="B2253" s="57"/>
      <c r="C2253" s="54"/>
      <c r="D2253" s="55"/>
      <c r="I2253" s="55"/>
      <c r="J2253" s="56"/>
      <c r="K2253" s="56"/>
      <c r="M2253" s="55"/>
      <c r="N2253" s="55"/>
    </row>
    <row r="2254" ht="14.25" customHeight="1" spans="2:14">
      <c r="B2254" s="57"/>
      <c r="C2254" s="54"/>
      <c r="D2254" s="55"/>
      <c r="I2254" s="55"/>
      <c r="J2254" s="56"/>
      <c r="K2254" s="56"/>
      <c r="M2254" s="55"/>
      <c r="N2254" s="55"/>
    </row>
    <row r="2255" ht="14.25" customHeight="1" spans="2:14">
      <c r="B2255" s="57"/>
      <c r="C2255" s="54"/>
      <c r="D2255" s="55"/>
      <c r="I2255" s="55"/>
      <c r="J2255" s="56"/>
      <c r="K2255" s="56"/>
      <c r="M2255" s="55"/>
      <c r="N2255" s="55"/>
    </row>
    <row r="2256" ht="14.25" customHeight="1" spans="2:14">
      <c r="B2256" s="57"/>
      <c r="C2256" s="54"/>
      <c r="D2256" s="55"/>
      <c r="I2256" s="55"/>
      <c r="J2256" s="56"/>
      <c r="K2256" s="56"/>
      <c r="M2256" s="55"/>
      <c r="N2256" s="55"/>
    </row>
    <row r="2257" ht="14.25" customHeight="1" spans="2:14">
      <c r="B2257" s="57"/>
      <c r="C2257" s="54"/>
      <c r="D2257" s="55"/>
      <c r="I2257" s="55"/>
      <c r="J2257" s="56"/>
      <c r="K2257" s="56"/>
      <c r="M2257" s="55"/>
      <c r="N2257" s="55"/>
    </row>
    <row r="2258" ht="14.25" customHeight="1" spans="2:14">
      <c r="B2258" s="57"/>
      <c r="C2258" s="54"/>
      <c r="D2258" s="55"/>
      <c r="I2258" s="55"/>
      <c r="J2258" s="56"/>
      <c r="K2258" s="56"/>
      <c r="M2258" s="55"/>
      <c r="N2258" s="55"/>
    </row>
    <row r="2259" ht="14.25" customHeight="1" spans="2:14">
      <c r="B2259" s="57"/>
      <c r="C2259" s="54"/>
      <c r="D2259" s="55"/>
      <c r="I2259" s="55"/>
      <c r="J2259" s="56"/>
      <c r="K2259" s="56"/>
      <c r="M2259" s="55"/>
      <c r="N2259" s="55"/>
    </row>
    <row r="2260" ht="14.25" customHeight="1" spans="2:14">
      <c r="B2260" s="57"/>
      <c r="C2260" s="54"/>
      <c r="D2260" s="55"/>
      <c r="I2260" s="55"/>
      <c r="J2260" s="56"/>
      <c r="K2260" s="56"/>
      <c r="M2260" s="55"/>
      <c r="N2260" s="55"/>
    </row>
    <row r="2261" ht="14.25" customHeight="1" spans="2:14">
      <c r="B2261" s="57"/>
      <c r="C2261" s="54"/>
      <c r="D2261" s="55"/>
      <c r="I2261" s="55"/>
      <c r="J2261" s="56"/>
      <c r="K2261" s="56"/>
      <c r="M2261" s="55"/>
      <c r="N2261" s="55"/>
    </row>
    <row r="2262" ht="14.25" customHeight="1" spans="2:14">
      <c r="B2262" s="57"/>
      <c r="C2262" s="54"/>
      <c r="D2262" s="55"/>
      <c r="I2262" s="55"/>
      <c r="J2262" s="56"/>
      <c r="K2262" s="56"/>
      <c r="M2262" s="55"/>
      <c r="N2262" s="55"/>
    </row>
    <row r="2263" ht="14.25" customHeight="1" spans="2:14">
      <c r="B2263" s="57"/>
      <c r="C2263" s="54"/>
      <c r="D2263" s="55"/>
      <c r="I2263" s="55"/>
      <c r="J2263" s="56"/>
      <c r="K2263" s="56"/>
      <c r="M2263" s="55"/>
      <c r="N2263" s="55"/>
    </row>
    <row r="2264" ht="14.25" customHeight="1" spans="2:14">
      <c r="B2264" s="57"/>
      <c r="C2264" s="54"/>
      <c r="D2264" s="55"/>
      <c r="I2264" s="55"/>
      <c r="J2264" s="56"/>
      <c r="K2264" s="56"/>
      <c r="M2264" s="55"/>
      <c r="N2264" s="55"/>
    </row>
    <row r="2265" ht="14.25" customHeight="1" spans="2:14">
      <c r="B2265" s="57"/>
      <c r="C2265" s="54"/>
      <c r="D2265" s="55"/>
      <c r="I2265" s="55"/>
      <c r="J2265" s="56"/>
      <c r="K2265" s="56"/>
      <c r="M2265" s="55"/>
      <c r="N2265" s="55"/>
    </row>
    <row r="2266" ht="14.25" customHeight="1" spans="2:14">
      <c r="B2266" s="57"/>
      <c r="C2266" s="54"/>
      <c r="D2266" s="55"/>
      <c r="I2266" s="55"/>
      <c r="J2266" s="56"/>
      <c r="K2266" s="56"/>
      <c r="M2266" s="55"/>
      <c r="N2266" s="55"/>
    </row>
    <row r="2267" ht="14.25" customHeight="1" spans="2:14">
      <c r="B2267" s="57"/>
      <c r="C2267" s="54"/>
      <c r="D2267" s="55"/>
      <c r="I2267" s="55"/>
      <c r="J2267" s="56"/>
      <c r="K2267" s="56"/>
      <c r="M2267" s="55"/>
      <c r="N2267" s="55"/>
    </row>
    <row r="2268" ht="14.25" customHeight="1" spans="2:14">
      <c r="B2268" s="57"/>
      <c r="C2268" s="54"/>
      <c r="D2268" s="55"/>
      <c r="I2268" s="55"/>
      <c r="J2268" s="56"/>
      <c r="K2268" s="56"/>
      <c r="M2268" s="55"/>
      <c r="N2268" s="55"/>
    </row>
    <row r="2269" ht="14.25" customHeight="1" spans="2:14">
      <c r="B2269" s="57"/>
      <c r="C2269" s="54"/>
      <c r="D2269" s="55"/>
      <c r="I2269" s="55"/>
      <c r="J2269" s="56"/>
      <c r="K2269" s="56"/>
      <c r="M2269" s="55"/>
      <c r="N2269" s="55"/>
    </row>
    <row r="2270" ht="14.25" customHeight="1" spans="2:14">
      <c r="B2270" s="57"/>
      <c r="C2270" s="54"/>
      <c r="D2270" s="55"/>
      <c r="I2270" s="55"/>
      <c r="J2270" s="56"/>
      <c r="K2270" s="56"/>
      <c r="M2270" s="55"/>
      <c r="N2270" s="55"/>
    </row>
    <row r="2271" ht="14.25" customHeight="1" spans="2:14">
      <c r="B2271" s="57"/>
      <c r="C2271" s="54"/>
      <c r="D2271" s="55"/>
      <c r="I2271" s="55"/>
      <c r="J2271" s="56"/>
      <c r="K2271" s="56"/>
      <c r="M2271" s="55"/>
      <c r="N2271" s="55"/>
    </row>
    <row r="2272" ht="14.25" customHeight="1" spans="2:14">
      <c r="B2272" s="57"/>
      <c r="C2272" s="54"/>
      <c r="D2272" s="55"/>
      <c r="I2272" s="55"/>
      <c r="J2272" s="56"/>
      <c r="K2272" s="56"/>
      <c r="M2272" s="55"/>
      <c r="N2272" s="55"/>
    </row>
    <row r="2273" ht="14.25" customHeight="1" spans="2:14">
      <c r="B2273" s="57"/>
      <c r="C2273" s="54"/>
      <c r="D2273" s="55"/>
      <c r="I2273" s="55"/>
      <c r="J2273" s="56"/>
      <c r="K2273" s="56"/>
      <c r="M2273" s="55"/>
      <c r="N2273" s="55"/>
    </row>
    <row r="2274" ht="14.25" customHeight="1" spans="2:14">
      <c r="B2274" s="57"/>
      <c r="C2274" s="54"/>
      <c r="D2274" s="55"/>
      <c r="I2274" s="55"/>
      <c r="J2274" s="56"/>
      <c r="K2274" s="56"/>
      <c r="M2274" s="55"/>
      <c r="N2274" s="55"/>
    </row>
    <row r="2275" ht="14.25" customHeight="1" spans="2:14">
      <c r="B2275" s="57"/>
      <c r="C2275" s="54"/>
      <c r="D2275" s="55"/>
      <c r="I2275" s="55"/>
      <c r="J2275" s="56"/>
      <c r="K2275" s="56"/>
      <c r="M2275" s="55"/>
      <c r="N2275" s="55"/>
    </row>
    <row r="2276" ht="14.25" customHeight="1" spans="2:14">
      <c r="B2276" s="57"/>
      <c r="C2276" s="54"/>
      <c r="D2276" s="55"/>
      <c r="I2276" s="55"/>
      <c r="J2276" s="56"/>
      <c r="K2276" s="56"/>
      <c r="M2276" s="55"/>
      <c r="N2276" s="55"/>
    </row>
    <row r="2277" ht="14.25" customHeight="1" spans="2:14">
      <c r="B2277" s="57"/>
      <c r="C2277" s="54"/>
      <c r="D2277" s="55"/>
      <c r="I2277" s="55"/>
      <c r="J2277" s="56"/>
      <c r="K2277" s="56"/>
      <c r="M2277" s="55"/>
      <c r="N2277" s="55"/>
    </row>
    <row r="2278" ht="14.25" customHeight="1" spans="2:14">
      <c r="B2278" s="57"/>
      <c r="C2278" s="54"/>
      <c r="D2278" s="55"/>
      <c r="I2278" s="55"/>
      <c r="J2278" s="56"/>
      <c r="K2278" s="56"/>
      <c r="M2278" s="55"/>
      <c r="N2278" s="55"/>
    </row>
    <row r="2279" ht="14.25" customHeight="1" spans="2:14">
      <c r="B2279" s="57"/>
      <c r="C2279" s="54"/>
      <c r="D2279" s="55"/>
      <c r="I2279" s="55"/>
      <c r="J2279" s="56"/>
      <c r="K2279" s="56"/>
      <c r="M2279" s="55"/>
      <c r="N2279" s="55"/>
    </row>
    <row r="2280" ht="14.25" customHeight="1" spans="2:14">
      <c r="B2280" s="57"/>
      <c r="C2280" s="54"/>
      <c r="D2280" s="55"/>
      <c r="I2280" s="55"/>
      <c r="J2280" s="56"/>
      <c r="K2280" s="56"/>
      <c r="M2280" s="55"/>
      <c r="N2280" s="55"/>
    </row>
    <row r="2281" ht="14.25" customHeight="1" spans="2:14">
      <c r="B2281" s="57"/>
      <c r="C2281" s="54"/>
      <c r="D2281" s="55"/>
      <c r="I2281" s="55"/>
      <c r="J2281" s="56"/>
      <c r="K2281" s="56"/>
      <c r="M2281" s="55"/>
      <c r="N2281" s="55"/>
    </row>
    <row r="2282" ht="14.25" customHeight="1" spans="2:14">
      <c r="B2282" s="57"/>
      <c r="C2282" s="54"/>
      <c r="D2282" s="55"/>
      <c r="I2282" s="55"/>
      <c r="J2282" s="56"/>
      <c r="K2282" s="56"/>
      <c r="M2282" s="55"/>
      <c r="N2282" s="55"/>
    </row>
    <row r="2283" ht="14.25" customHeight="1" spans="2:14">
      <c r="B2283" s="57"/>
      <c r="C2283" s="54"/>
      <c r="D2283" s="55"/>
      <c r="I2283" s="55"/>
      <c r="J2283" s="56"/>
      <c r="K2283" s="56"/>
      <c r="M2283" s="55"/>
      <c r="N2283" s="55"/>
    </row>
    <row r="2284" ht="14.25" customHeight="1" spans="2:14">
      <c r="B2284" s="57"/>
      <c r="C2284" s="54"/>
      <c r="D2284" s="55"/>
      <c r="I2284" s="55"/>
      <c r="J2284" s="56"/>
      <c r="K2284" s="56"/>
      <c r="M2284" s="55"/>
      <c r="N2284" s="55"/>
    </row>
    <row r="2285" ht="14.25" customHeight="1" spans="2:14">
      <c r="B2285" s="57"/>
      <c r="C2285" s="54"/>
      <c r="D2285" s="55"/>
      <c r="I2285" s="55"/>
      <c r="J2285" s="56"/>
      <c r="K2285" s="56"/>
      <c r="M2285" s="55"/>
      <c r="N2285" s="55"/>
    </row>
    <row r="2286" ht="14.25" customHeight="1" spans="2:14">
      <c r="B2286" s="57"/>
      <c r="C2286" s="54"/>
      <c r="D2286" s="55"/>
      <c r="I2286" s="55"/>
      <c r="J2286" s="56"/>
      <c r="K2286" s="56"/>
      <c r="M2286" s="55"/>
      <c r="N2286" s="55"/>
    </row>
    <row r="2287" ht="14.25" customHeight="1" spans="2:14">
      <c r="B2287" s="57"/>
      <c r="C2287" s="54"/>
      <c r="D2287" s="55"/>
      <c r="I2287" s="55"/>
      <c r="J2287" s="56"/>
      <c r="K2287" s="56"/>
      <c r="M2287" s="55"/>
      <c r="N2287" s="55"/>
    </row>
    <row r="2288" ht="14.25" customHeight="1" spans="2:14">
      <c r="B2288" s="57"/>
      <c r="C2288" s="54"/>
      <c r="D2288" s="55"/>
      <c r="I2288" s="55"/>
      <c r="J2288" s="56"/>
      <c r="K2288" s="56"/>
      <c r="M2288" s="55"/>
      <c r="N2288" s="55"/>
    </row>
    <row r="2289" ht="14.25" customHeight="1" spans="2:14">
      <c r="B2289" s="57"/>
      <c r="C2289" s="54"/>
      <c r="D2289" s="55"/>
      <c r="I2289" s="55"/>
      <c r="J2289" s="56"/>
      <c r="K2289" s="56"/>
      <c r="M2289" s="55"/>
      <c r="N2289" s="55"/>
    </row>
    <row r="2290" ht="14.25" customHeight="1" spans="2:14">
      <c r="B2290" s="57"/>
      <c r="C2290" s="54"/>
      <c r="D2290" s="55"/>
      <c r="I2290" s="55"/>
      <c r="J2290" s="56"/>
      <c r="K2290" s="56"/>
      <c r="M2290" s="55"/>
      <c r="N2290" s="55"/>
    </row>
    <row r="2291" ht="14.25" customHeight="1" spans="2:14">
      <c r="B2291" s="57"/>
      <c r="C2291" s="54"/>
      <c r="D2291" s="55"/>
      <c r="I2291" s="55"/>
      <c r="J2291" s="56"/>
      <c r="K2291" s="56"/>
      <c r="M2291" s="55"/>
      <c r="N2291" s="55"/>
    </row>
    <row r="2292" ht="14.25" customHeight="1" spans="2:14">
      <c r="B2292" s="57"/>
      <c r="C2292" s="54"/>
      <c r="D2292" s="55"/>
      <c r="I2292" s="55"/>
      <c r="J2292" s="56"/>
      <c r="K2292" s="56"/>
      <c r="M2292" s="55"/>
      <c r="N2292" s="55"/>
    </row>
    <row r="2293" ht="14.25" customHeight="1" spans="2:14">
      <c r="B2293" s="57"/>
      <c r="C2293" s="54"/>
      <c r="D2293" s="55"/>
      <c r="I2293" s="55"/>
      <c r="J2293" s="56"/>
      <c r="K2293" s="56"/>
      <c r="M2293" s="55"/>
      <c r="N2293" s="55"/>
    </row>
    <row r="2294" ht="14.25" customHeight="1" spans="2:14">
      <c r="B2294" s="57"/>
      <c r="C2294" s="54"/>
      <c r="D2294" s="55"/>
      <c r="I2294" s="55"/>
      <c r="J2294" s="56"/>
      <c r="K2294" s="56"/>
      <c r="M2294" s="55"/>
      <c r="N2294" s="55"/>
    </row>
    <row r="2295" ht="14.25" customHeight="1" spans="2:14">
      <c r="B2295" s="57"/>
      <c r="C2295" s="54"/>
      <c r="D2295" s="55"/>
      <c r="I2295" s="55"/>
      <c r="J2295" s="56"/>
      <c r="K2295" s="56"/>
      <c r="M2295" s="55"/>
      <c r="N2295" s="55"/>
    </row>
    <row r="2296" ht="14.25" customHeight="1" spans="2:14">
      <c r="B2296" s="57"/>
      <c r="C2296" s="54"/>
      <c r="D2296" s="55"/>
      <c r="I2296" s="55"/>
      <c r="J2296" s="56"/>
      <c r="K2296" s="56"/>
      <c r="M2296" s="55"/>
      <c r="N2296" s="55"/>
    </row>
    <row r="2297" ht="14.25" customHeight="1" spans="2:14">
      <c r="B2297" s="57"/>
      <c r="C2297" s="54"/>
      <c r="D2297" s="55"/>
      <c r="I2297" s="55"/>
      <c r="J2297" s="56"/>
      <c r="K2297" s="56"/>
      <c r="M2297" s="55"/>
      <c r="N2297" s="55"/>
    </row>
    <row r="2298" ht="14.25" customHeight="1" spans="2:14">
      <c r="B2298" s="57"/>
      <c r="C2298" s="54"/>
      <c r="D2298" s="55"/>
      <c r="I2298" s="55"/>
      <c r="J2298" s="56"/>
      <c r="K2298" s="56"/>
      <c r="M2298" s="55"/>
      <c r="N2298" s="55"/>
    </row>
    <row r="2299" ht="14.25" customHeight="1" spans="2:14">
      <c r="B2299" s="57"/>
      <c r="C2299" s="54"/>
      <c r="D2299" s="55"/>
      <c r="I2299" s="55"/>
      <c r="J2299" s="56"/>
      <c r="K2299" s="56"/>
      <c r="M2299" s="55"/>
      <c r="N2299" s="55"/>
    </row>
    <row r="2300" ht="14.25" customHeight="1" spans="2:14">
      <c r="B2300" s="57"/>
      <c r="C2300" s="54"/>
      <c r="D2300" s="55"/>
      <c r="I2300" s="55"/>
      <c r="J2300" s="56"/>
      <c r="K2300" s="56"/>
      <c r="M2300" s="55"/>
      <c r="N2300" s="55"/>
    </row>
    <row r="2301" ht="14.25" customHeight="1" spans="2:14">
      <c r="B2301" s="57"/>
      <c r="C2301" s="54"/>
      <c r="D2301" s="55"/>
      <c r="I2301" s="55"/>
      <c r="J2301" s="56"/>
      <c r="K2301" s="56"/>
      <c r="M2301" s="55"/>
      <c r="N2301" s="55"/>
    </row>
    <row r="2302" ht="14.25" customHeight="1" spans="2:14">
      <c r="B2302" s="57"/>
      <c r="C2302" s="54"/>
      <c r="D2302" s="55"/>
      <c r="I2302" s="55"/>
      <c r="J2302" s="56"/>
      <c r="K2302" s="56"/>
      <c r="M2302" s="55"/>
      <c r="N2302" s="55"/>
    </row>
    <row r="2303" ht="14.25" customHeight="1" spans="2:14">
      <c r="B2303" s="57"/>
      <c r="C2303" s="54"/>
      <c r="D2303" s="55"/>
      <c r="I2303" s="55"/>
      <c r="J2303" s="56"/>
      <c r="K2303" s="56"/>
      <c r="M2303" s="55"/>
      <c r="N2303" s="55"/>
    </row>
    <row r="2304" ht="14.25" customHeight="1" spans="2:14">
      <c r="B2304" s="57"/>
      <c r="C2304" s="54"/>
      <c r="D2304" s="55"/>
      <c r="I2304" s="55"/>
      <c r="J2304" s="56"/>
      <c r="K2304" s="56"/>
      <c r="M2304" s="55"/>
      <c r="N2304" s="55"/>
    </row>
    <row r="2305" ht="14.25" customHeight="1" spans="2:14">
      <c r="B2305" s="57"/>
      <c r="C2305" s="54"/>
      <c r="D2305" s="55"/>
      <c r="I2305" s="55"/>
      <c r="J2305" s="56"/>
      <c r="K2305" s="56"/>
      <c r="M2305" s="55"/>
      <c r="N2305" s="55"/>
    </row>
    <row r="2306" ht="14.25" customHeight="1" spans="2:14">
      <c r="B2306" s="57"/>
      <c r="C2306" s="54"/>
      <c r="D2306" s="55"/>
      <c r="I2306" s="55"/>
      <c r="J2306" s="56"/>
      <c r="K2306" s="56"/>
      <c r="M2306" s="55"/>
      <c r="N2306" s="55"/>
    </row>
    <row r="2307" ht="14.25" customHeight="1" spans="2:14">
      <c r="B2307" s="57"/>
      <c r="C2307" s="54"/>
      <c r="D2307" s="55"/>
      <c r="I2307" s="55"/>
      <c r="J2307" s="56"/>
      <c r="K2307" s="56"/>
      <c r="M2307" s="55"/>
      <c r="N2307" s="55"/>
    </row>
    <row r="2308" ht="14.25" customHeight="1" spans="2:14">
      <c r="B2308" s="57"/>
      <c r="C2308" s="54"/>
      <c r="D2308" s="55"/>
      <c r="I2308" s="55"/>
      <c r="J2308" s="56"/>
      <c r="K2308" s="56"/>
      <c r="M2308" s="55"/>
      <c r="N2308" s="55"/>
    </row>
    <row r="2309" ht="14.25" customHeight="1" spans="2:14">
      <c r="B2309" s="57"/>
      <c r="C2309" s="54"/>
      <c r="D2309" s="55"/>
      <c r="I2309" s="55"/>
      <c r="J2309" s="56"/>
      <c r="K2309" s="56"/>
      <c r="M2309" s="55"/>
      <c r="N2309" s="55"/>
    </row>
    <row r="2310" ht="14.25" customHeight="1" spans="2:14">
      <c r="B2310" s="57"/>
      <c r="C2310" s="54"/>
      <c r="D2310" s="55"/>
      <c r="I2310" s="55"/>
      <c r="J2310" s="56"/>
      <c r="K2310" s="56"/>
      <c r="M2310" s="55"/>
      <c r="N2310" s="55"/>
    </row>
    <row r="2311" ht="14.25" customHeight="1" spans="2:14">
      <c r="B2311" s="57"/>
      <c r="C2311" s="54"/>
      <c r="D2311" s="55"/>
      <c r="I2311" s="55"/>
      <c r="J2311" s="56"/>
      <c r="K2311" s="56"/>
      <c r="M2311" s="55"/>
      <c r="N2311" s="55"/>
    </row>
    <row r="2312" ht="14.25" customHeight="1" spans="2:14">
      <c r="B2312" s="57"/>
      <c r="C2312" s="54"/>
      <c r="D2312" s="55"/>
      <c r="I2312" s="55"/>
      <c r="J2312" s="56"/>
      <c r="K2312" s="56"/>
      <c r="M2312" s="55"/>
      <c r="N2312" s="55"/>
    </row>
    <row r="2313" ht="14.25" customHeight="1" spans="2:14">
      <c r="B2313" s="57"/>
      <c r="C2313" s="54"/>
      <c r="D2313" s="55"/>
      <c r="I2313" s="55"/>
      <c r="J2313" s="56"/>
      <c r="K2313" s="56"/>
      <c r="M2313" s="55"/>
      <c r="N2313" s="55"/>
    </row>
    <row r="2314" ht="14.25" customHeight="1" spans="2:14">
      <c r="B2314" s="57"/>
      <c r="C2314" s="54"/>
      <c r="D2314" s="55"/>
      <c r="I2314" s="55"/>
      <c r="J2314" s="56"/>
      <c r="K2314" s="56"/>
      <c r="M2314" s="55"/>
      <c r="N2314" s="55"/>
    </row>
    <row r="2315" ht="14.25" customHeight="1" spans="2:14">
      <c r="B2315" s="57"/>
      <c r="C2315" s="54"/>
      <c r="D2315" s="55"/>
      <c r="I2315" s="55"/>
      <c r="J2315" s="56"/>
      <c r="K2315" s="56"/>
      <c r="M2315" s="55"/>
      <c r="N2315" s="55"/>
    </row>
    <row r="2316" ht="14.25" customHeight="1" spans="2:14">
      <c r="B2316" s="57"/>
      <c r="C2316" s="54"/>
      <c r="D2316" s="55"/>
      <c r="I2316" s="55"/>
      <c r="J2316" s="56"/>
      <c r="K2316" s="56"/>
      <c r="M2316" s="55"/>
      <c r="N2316" s="55"/>
    </row>
    <row r="2317" ht="14.25" customHeight="1" spans="2:14">
      <c r="B2317" s="57"/>
      <c r="C2317" s="54"/>
      <c r="D2317" s="55"/>
      <c r="I2317" s="55"/>
      <c r="J2317" s="56"/>
      <c r="K2317" s="56"/>
      <c r="M2317" s="55"/>
      <c r="N2317" s="55"/>
    </row>
    <row r="2318" ht="14.25" customHeight="1" spans="2:14">
      <c r="B2318" s="57"/>
      <c r="C2318" s="54"/>
      <c r="D2318" s="55"/>
      <c r="I2318" s="55"/>
      <c r="J2318" s="56"/>
      <c r="K2318" s="56"/>
      <c r="M2318" s="55"/>
      <c r="N2318" s="55"/>
    </row>
    <row r="2319" ht="14.25" customHeight="1" spans="2:14">
      <c r="B2319" s="57"/>
      <c r="C2319" s="54"/>
      <c r="D2319" s="55"/>
      <c r="I2319" s="55"/>
      <c r="J2319" s="56"/>
      <c r="K2319" s="56"/>
      <c r="M2319" s="55"/>
      <c r="N2319" s="55"/>
    </row>
    <row r="2320" ht="14.25" customHeight="1" spans="2:14">
      <c r="B2320" s="57"/>
      <c r="C2320" s="54"/>
      <c r="D2320" s="55"/>
      <c r="I2320" s="55"/>
      <c r="J2320" s="56"/>
      <c r="K2320" s="56"/>
      <c r="M2320" s="55"/>
      <c r="N2320" s="55"/>
    </row>
    <row r="2321" ht="14.25" customHeight="1" spans="2:14">
      <c r="B2321" s="57"/>
      <c r="C2321" s="54"/>
      <c r="D2321" s="55"/>
      <c r="I2321" s="55"/>
      <c r="J2321" s="56"/>
      <c r="K2321" s="56"/>
      <c r="M2321" s="55"/>
      <c r="N2321" s="55"/>
    </row>
    <row r="2322" ht="14.25" customHeight="1" spans="2:14">
      <c r="B2322" s="57"/>
      <c r="C2322" s="54"/>
      <c r="D2322" s="55"/>
      <c r="I2322" s="55"/>
      <c r="J2322" s="56"/>
      <c r="K2322" s="56"/>
      <c r="M2322" s="55"/>
      <c r="N2322" s="55"/>
    </row>
    <row r="2323" ht="14.25" customHeight="1" spans="2:14">
      <c r="B2323" s="57"/>
      <c r="C2323" s="54"/>
      <c r="D2323" s="55"/>
      <c r="I2323" s="55"/>
      <c r="J2323" s="56"/>
      <c r="K2323" s="56"/>
      <c r="M2323" s="55"/>
      <c r="N2323" s="55"/>
    </row>
    <row r="2324" ht="14.25" customHeight="1" spans="2:14">
      <c r="B2324" s="57"/>
      <c r="C2324" s="54"/>
      <c r="D2324" s="55"/>
      <c r="I2324" s="55"/>
      <c r="J2324" s="56"/>
      <c r="K2324" s="56"/>
      <c r="M2324" s="55"/>
      <c r="N2324" s="55"/>
    </row>
    <row r="2325" ht="14.25" customHeight="1" spans="2:14">
      <c r="B2325" s="57"/>
      <c r="C2325" s="54"/>
      <c r="D2325" s="55"/>
      <c r="I2325" s="55"/>
      <c r="J2325" s="56"/>
      <c r="K2325" s="56"/>
      <c r="M2325" s="55"/>
      <c r="N2325" s="55"/>
    </row>
    <row r="2326" ht="14.25" customHeight="1" spans="2:14">
      <c r="B2326" s="57"/>
      <c r="C2326" s="54"/>
      <c r="D2326" s="55"/>
      <c r="I2326" s="55"/>
      <c r="J2326" s="56"/>
      <c r="K2326" s="56"/>
      <c r="M2326" s="55"/>
      <c r="N2326" s="55"/>
    </row>
    <row r="2327" ht="14.25" customHeight="1" spans="2:14">
      <c r="B2327" s="57"/>
      <c r="C2327" s="54"/>
      <c r="D2327" s="55"/>
      <c r="I2327" s="55"/>
      <c r="J2327" s="56"/>
      <c r="K2327" s="56"/>
      <c r="M2327" s="55"/>
      <c r="N2327" s="55"/>
    </row>
    <row r="2328" ht="14.25" customHeight="1" spans="2:14">
      <c r="B2328" s="57"/>
      <c r="C2328" s="54"/>
      <c r="D2328" s="55"/>
      <c r="I2328" s="55"/>
      <c r="J2328" s="56"/>
      <c r="K2328" s="56"/>
      <c r="M2328" s="55"/>
      <c r="N2328" s="55"/>
    </row>
    <row r="2329" ht="14.25" customHeight="1" spans="2:14">
      <c r="B2329" s="57"/>
      <c r="C2329" s="54"/>
      <c r="D2329" s="55"/>
      <c r="I2329" s="55"/>
      <c r="J2329" s="56"/>
      <c r="K2329" s="56"/>
      <c r="M2329" s="55"/>
      <c r="N2329" s="55"/>
    </row>
    <row r="2330" ht="14.25" customHeight="1" spans="2:14">
      <c r="B2330" s="57"/>
      <c r="C2330" s="54"/>
      <c r="D2330" s="55"/>
      <c r="I2330" s="55"/>
      <c r="J2330" s="56"/>
      <c r="K2330" s="56"/>
      <c r="M2330" s="55"/>
      <c r="N2330" s="55"/>
    </row>
    <row r="2331" ht="14.25" customHeight="1" spans="2:14">
      <c r="B2331" s="57"/>
      <c r="C2331" s="54"/>
      <c r="D2331" s="55"/>
      <c r="I2331" s="55"/>
      <c r="J2331" s="56"/>
      <c r="K2331" s="56"/>
      <c r="M2331" s="55"/>
      <c r="N2331" s="55"/>
    </row>
    <row r="2332" ht="14.25" customHeight="1" spans="2:14">
      <c r="B2332" s="57"/>
      <c r="C2332" s="54"/>
      <c r="D2332" s="55"/>
      <c r="I2332" s="55"/>
      <c r="J2332" s="56"/>
      <c r="K2332" s="56"/>
      <c r="M2332" s="55"/>
      <c r="N2332" s="55"/>
    </row>
    <row r="2333" ht="14.25" customHeight="1" spans="2:14">
      <c r="B2333" s="57"/>
      <c r="C2333" s="54"/>
      <c r="D2333" s="55"/>
      <c r="I2333" s="55"/>
      <c r="J2333" s="56"/>
      <c r="K2333" s="56"/>
      <c r="M2333" s="55"/>
      <c r="N2333" s="55"/>
    </row>
    <row r="2334" ht="14.25" customHeight="1" spans="2:14">
      <c r="B2334" s="57"/>
      <c r="C2334" s="54"/>
      <c r="D2334" s="55"/>
      <c r="I2334" s="55"/>
      <c r="J2334" s="56"/>
      <c r="K2334" s="56"/>
      <c r="M2334" s="55"/>
      <c r="N2334" s="55"/>
    </row>
    <row r="2335" ht="14.25" customHeight="1" spans="2:14">
      <c r="B2335" s="57"/>
      <c r="C2335" s="54"/>
      <c r="D2335" s="55"/>
      <c r="I2335" s="55"/>
      <c r="J2335" s="56"/>
      <c r="K2335" s="56"/>
      <c r="M2335" s="55"/>
      <c r="N2335" s="55"/>
    </row>
    <row r="2336" ht="14.25" customHeight="1" spans="2:14">
      <c r="B2336" s="57"/>
      <c r="C2336" s="54"/>
      <c r="D2336" s="55"/>
      <c r="I2336" s="55"/>
      <c r="J2336" s="56"/>
      <c r="K2336" s="56"/>
      <c r="M2336" s="55"/>
      <c r="N2336" s="55"/>
    </row>
    <row r="2337" ht="14.25" customHeight="1" spans="2:14">
      <c r="B2337" s="57"/>
      <c r="C2337" s="54"/>
      <c r="D2337" s="55"/>
      <c r="I2337" s="55"/>
      <c r="J2337" s="56"/>
      <c r="K2337" s="56"/>
      <c r="M2337" s="55"/>
      <c r="N2337" s="55"/>
    </row>
    <row r="2338" ht="14.25" customHeight="1" spans="2:14">
      <c r="B2338" s="57"/>
      <c r="C2338" s="54"/>
      <c r="D2338" s="55"/>
      <c r="I2338" s="55"/>
      <c r="J2338" s="56"/>
      <c r="K2338" s="56"/>
      <c r="M2338" s="55"/>
      <c r="N2338" s="55"/>
    </row>
    <row r="2339" ht="14.25" customHeight="1" spans="2:14">
      <c r="B2339" s="57"/>
      <c r="C2339" s="54"/>
      <c r="D2339" s="55"/>
      <c r="I2339" s="55"/>
      <c r="J2339" s="56"/>
      <c r="K2339" s="56"/>
      <c r="M2339" s="55"/>
      <c r="N2339" s="55"/>
    </row>
    <row r="2340" ht="14.25" customHeight="1" spans="2:14">
      <c r="B2340" s="57"/>
      <c r="C2340" s="54"/>
      <c r="D2340" s="55"/>
      <c r="I2340" s="55"/>
      <c r="J2340" s="56"/>
      <c r="K2340" s="56"/>
      <c r="M2340" s="55"/>
      <c r="N2340" s="55"/>
    </row>
    <row r="2341" ht="14.25" customHeight="1" spans="2:14">
      <c r="B2341" s="57"/>
      <c r="C2341" s="54"/>
      <c r="D2341" s="55"/>
      <c r="I2341" s="55"/>
      <c r="J2341" s="56"/>
      <c r="K2341" s="56"/>
      <c r="M2341" s="55"/>
      <c r="N2341" s="55"/>
    </row>
    <row r="2342" ht="14.25" customHeight="1" spans="2:14">
      <c r="B2342" s="57"/>
      <c r="C2342" s="54"/>
      <c r="D2342" s="55"/>
      <c r="I2342" s="55"/>
      <c r="J2342" s="56"/>
      <c r="K2342" s="56"/>
      <c r="M2342" s="55"/>
      <c r="N2342" s="55"/>
    </row>
    <row r="2343" ht="14.25" customHeight="1" spans="2:14">
      <c r="B2343" s="57"/>
      <c r="C2343" s="54"/>
      <c r="D2343" s="55"/>
      <c r="I2343" s="55"/>
      <c r="J2343" s="56"/>
      <c r="K2343" s="56"/>
      <c r="M2343" s="55"/>
      <c r="N2343" s="55"/>
    </row>
    <row r="2344" ht="14.25" customHeight="1" spans="2:14">
      <c r="B2344" s="57"/>
      <c r="C2344" s="54"/>
      <c r="D2344" s="55"/>
      <c r="I2344" s="55"/>
      <c r="J2344" s="56"/>
      <c r="K2344" s="56"/>
      <c r="M2344" s="55"/>
      <c r="N2344" s="55"/>
    </row>
    <row r="2345" ht="14.25" customHeight="1" spans="2:14">
      <c r="B2345" s="57"/>
      <c r="C2345" s="54"/>
      <c r="D2345" s="55"/>
      <c r="I2345" s="55"/>
      <c r="J2345" s="56"/>
      <c r="K2345" s="56"/>
      <c r="M2345" s="55"/>
      <c r="N2345" s="55"/>
    </row>
    <row r="2346" ht="14.25" customHeight="1" spans="2:14">
      <c r="B2346" s="57"/>
      <c r="C2346" s="54"/>
      <c r="D2346" s="55"/>
      <c r="I2346" s="55"/>
      <c r="J2346" s="56"/>
      <c r="K2346" s="56"/>
      <c r="M2346" s="55"/>
      <c r="N2346" s="55"/>
    </row>
    <row r="2347" ht="14.25" customHeight="1" spans="2:14">
      <c r="B2347" s="57"/>
      <c r="C2347" s="54"/>
      <c r="D2347" s="55"/>
      <c r="I2347" s="55"/>
      <c r="J2347" s="56"/>
      <c r="K2347" s="56"/>
      <c r="M2347" s="55"/>
      <c r="N2347" s="55"/>
    </row>
    <row r="2348" ht="14.25" customHeight="1" spans="2:14">
      <c r="B2348" s="57"/>
      <c r="C2348" s="54"/>
      <c r="D2348" s="55"/>
      <c r="I2348" s="55"/>
      <c r="J2348" s="56"/>
      <c r="K2348" s="56"/>
      <c r="M2348" s="55"/>
      <c r="N2348" s="55"/>
    </row>
    <row r="2349" ht="14.25" customHeight="1" spans="2:14">
      <c r="B2349" s="57"/>
      <c r="C2349" s="54"/>
      <c r="D2349" s="55"/>
      <c r="I2349" s="55"/>
      <c r="J2349" s="56"/>
      <c r="K2349" s="56"/>
      <c r="M2349" s="55"/>
      <c r="N2349" s="55"/>
    </row>
    <row r="2350" ht="14.25" customHeight="1" spans="2:14">
      <c r="B2350" s="57"/>
      <c r="C2350" s="54"/>
      <c r="D2350" s="55"/>
      <c r="I2350" s="55"/>
      <c r="J2350" s="56"/>
      <c r="K2350" s="56"/>
      <c r="M2350" s="55"/>
      <c r="N2350" s="55"/>
    </row>
    <row r="2351" ht="14.25" customHeight="1" spans="2:14">
      <c r="B2351" s="57"/>
      <c r="C2351" s="54"/>
      <c r="D2351" s="55"/>
      <c r="I2351" s="55"/>
      <c r="J2351" s="56"/>
      <c r="K2351" s="56"/>
      <c r="M2351" s="55"/>
      <c r="N2351" s="55"/>
    </row>
    <row r="2352" ht="14.25" customHeight="1" spans="2:14">
      <c r="B2352" s="57"/>
      <c r="C2352" s="54"/>
      <c r="D2352" s="55"/>
      <c r="I2352" s="55"/>
      <c r="J2352" s="56"/>
      <c r="K2352" s="56"/>
      <c r="M2352" s="55"/>
      <c r="N2352" s="55"/>
    </row>
    <row r="2353" ht="14.25" customHeight="1" spans="2:14">
      <c r="B2353" s="57"/>
      <c r="C2353" s="54"/>
      <c r="D2353" s="55"/>
      <c r="I2353" s="55"/>
      <c r="J2353" s="56"/>
      <c r="K2353" s="56"/>
      <c r="M2353" s="55"/>
      <c r="N2353" s="55"/>
    </row>
    <row r="2354" ht="14.25" customHeight="1" spans="2:14">
      <c r="B2354" s="57"/>
      <c r="C2354" s="54"/>
      <c r="D2354" s="55"/>
      <c r="I2354" s="55"/>
      <c r="J2354" s="56"/>
      <c r="K2354" s="56"/>
      <c r="M2354" s="55"/>
      <c r="N2354" s="55"/>
    </row>
    <row r="2355" ht="14.25" customHeight="1" spans="2:14">
      <c r="B2355" s="57"/>
      <c r="C2355" s="54"/>
      <c r="D2355" s="55"/>
      <c r="I2355" s="55"/>
      <c r="J2355" s="56"/>
      <c r="K2355" s="56"/>
      <c r="M2355" s="55"/>
      <c r="N2355" s="55"/>
    </row>
    <row r="2356" ht="14.25" customHeight="1" spans="2:14">
      <c r="B2356" s="57"/>
      <c r="C2356" s="54"/>
      <c r="D2356" s="55"/>
      <c r="I2356" s="55"/>
      <c r="J2356" s="56"/>
      <c r="K2356" s="56"/>
      <c r="M2356" s="55"/>
      <c r="N2356" s="55"/>
    </row>
    <row r="2357" ht="14.25" customHeight="1" spans="2:14">
      <c r="B2357" s="57"/>
      <c r="C2357" s="54"/>
      <c r="D2357" s="55"/>
      <c r="I2357" s="55"/>
      <c r="J2357" s="56"/>
      <c r="K2357" s="56"/>
      <c r="M2357" s="55"/>
      <c r="N2357" s="55"/>
    </row>
    <row r="2358" ht="14.25" customHeight="1" spans="2:14">
      <c r="B2358" s="57"/>
      <c r="C2358" s="54"/>
      <c r="D2358" s="55"/>
      <c r="I2358" s="55"/>
      <c r="J2358" s="56"/>
      <c r="K2358" s="56"/>
      <c r="M2358" s="55"/>
      <c r="N2358" s="55"/>
    </row>
    <row r="2359" ht="14.25" customHeight="1" spans="2:14">
      <c r="B2359" s="57"/>
      <c r="C2359" s="54"/>
      <c r="D2359" s="55"/>
      <c r="I2359" s="55"/>
      <c r="J2359" s="56"/>
      <c r="K2359" s="56"/>
      <c r="M2359" s="55"/>
      <c r="N2359" s="55"/>
    </row>
    <row r="2360" ht="14.25" customHeight="1" spans="2:14">
      <c r="B2360" s="57"/>
      <c r="C2360" s="54"/>
      <c r="D2360" s="55"/>
      <c r="I2360" s="55"/>
      <c r="J2360" s="56"/>
      <c r="K2360" s="56"/>
      <c r="M2360" s="55"/>
      <c r="N2360" s="55"/>
    </row>
    <row r="2361" ht="14.25" customHeight="1" spans="2:14">
      <c r="B2361" s="57"/>
      <c r="C2361" s="54"/>
      <c r="D2361" s="55"/>
      <c r="I2361" s="55"/>
      <c r="J2361" s="56"/>
      <c r="K2361" s="56"/>
      <c r="M2361" s="55"/>
      <c r="N2361" s="55"/>
    </row>
    <row r="2362" ht="14.25" customHeight="1" spans="2:14">
      <c r="B2362" s="57"/>
      <c r="C2362" s="54"/>
      <c r="D2362" s="55"/>
      <c r="I2362" s="55"/>
      <c r="J2362" s="56"/>
      <c r="K2362" s="56"/>
      <c r="M2362" s="55"/>
      <c r="N2362" s="55"/>
    </row>
    <row r="2363" ht="14.25" customHeight="1" spans="2:14">
      <c r="B2363" s="57"/>
      <c r="C2363" s="54"/>
      <c r="D2363" s="55"/>
      <c r="I2363" s="55"/>
      <c r="J2363" s="56"/>
      <c r="K2363" s="56"/>
      <c r="M2363" s="55"/>
      <c r="N2363" s="55"/>
    </row>
    <row r="2364" ht="14.25" customHeight="1" spans="2:14">
      <c r="B2364" s="57"/>
      <c r="C2364" s="54"/>
      <c r="D2364" s="55"/>
      <c r="I2364" s="55"/>
      <c r="J2364" s="56"/>
      <c r="K2364" s="56"/>
      <c r="M2364" s="55"/>
      <c r="N2364" s="55"/>
    </row>
    <row r="2365" ht="14.25" customHeight="1" spans="2:14">
      <c r="B2365" s="57"/>
      <c r="C2365" s="54"/>
      <c r="D2365" s="55"/>
      <c r="I2365" s="55"/>
      <c r="J2365" s="56"/>
      <c r="K2365" s="56"/>
      <c r="M2365" s="55"/>
      <c r="N2365" s="55"/>
    </row>
    <row r="2366" ht="14.25" customHeight="1" spans="2:14">
      <c r="B2366" s="57"/>
      <c r="C2366" s="54"/>
      <c r="D2366" s="55"/>
      <c r="I2366" s="55"/>
      <c r="J2366" s="56"/>
      <c r="K2366" s="56"/>
      <c r="M2366" s="55"/>
      <c r="N2366" s="55"/>
    </row>
    <row r="2367" ht="14.25" customHeight="1" spans="2:14">
      <c r="B2367" s="57"/>
      <c r="C2367" s="54"/>
      <c r="D2367" s="55"/>
      <c r="I2367" s="55"/>
      <c r="J2367" s="56"/>
      <c r="K2367" s="56"/>
      <c r="M2367" s="55"/>
      <c r="N2367" s="55"/>
    </row>
    <row r="2368" ht="14.25" customHeight="1" spans="2:14">
      <c r="B2368" s="57"/>
      <c r="C2368" s="54"/>
      <c r="D2368" s="55"/>
      <c r="I2368" s="55"/>
      <c r="J2368" s="56"/>
      <c r="K2368" s="56"/>
      <c r="M2368" s="55"/>
      <c r="N2368" s="55"/>
    </row>
    <row r="2369" ht="14.25" customHeight="1" spans="2:14">
      <c r="B2369" s="57"/>
      <c r="C2369" s="54"/>
      <c r="D2369" s="55"/>
      <c r="I2369" s="55"/>
      <c r="J2369" s="56"/>
      <c r="K2369" s="56"/>
      <c r="M2369" s="55"/>
      <c r="N2369" s="55"/>
    </row>
    <row r="2370" ht="14.25" customHeight="1" spans="2:14">
      <c r="B2370" s="57"/>
      <c r="C2370" s="54"/>
      <c r="D2370" s="55"/>
      <c r="I2370" s="55"/>
      <c r="J2370" s="56"/>
      <c r="K2370" s="56"/>
      <c r="M2370" s="55"/>
      <c r="N2370" s="55"/>
    </row>
    <row r="2371" ht="14.25" customHeight="1" spans="2:14">
      <c r="B2371" s="57"/>
      <c r="C2371" s="54"/>
      <c r="D2371" s="55"/>
      <c r="I2371" s="55"/>
      <c r="J2371" s="56"/>
      <c r="K2371" s="56"/>
      <c r="M2371" s="55"/>
      <c r="N2371" s="55"/>
    </row>
    <row r="2372" ht="14.25" customHeight="1" spans="2:14">
      <c r="B2372" s="57"/>
      <c r="C2372" s="54"/>
      <c r="D2372" s="55"/>
      <c r="I2372" s="55"/>
      <c r="J2372" s="56"/>
      <c r="K2372" s="56"/>
      <c r="M2372" s="55"/>
      <c r="N2372" s="55"/>
    </row>
    <row r="2373" ht="14.25" customHeight="1" spans="2:14">
      <c r="B2373" s="57"/>
      <c r="C2373" s="54"/>
      <c r="D2373" s="55"/>
      <c r="I2373" s="55"/>
      <c r="J2373" s="56"/>
      <c r="K2373" s="56"/>
      <c r="M2373" s="55"/>
      <c r="N2373" s="55"/>
    </row>
    <row r="2374" ht="14.25" customHeight="1" spans="2:14">
      <c r="B2374" s="57"/>
      <c r="C2374" s="54"/>
      <c r="D2374" s="55"/>
      <c r="I2374" s="55"/>
      <c r="J2374" s="56"/>
      <c r="K2374" s="56"/>
      <c r="M2374" s="55"/>
      <c r="N2374" s="55"/>
    </row>
    <row r="2375" ht="14.25" customHeight="1" spans="2:14">
      <c r="B2375" s="57"/>
      <c r="C2375" s="54"/>
      <c r="D2375" s="55"/>
      <c r="I2375" s="55"/>
      <c r="J2375" s="56"/>
      <c r="K2375" s="56"/>
      <c r="M2375" s="55"/>
      <c r="N2375" s="55"/>
    </row>
    <row r="2376" ht="14.25" customHeight="1" spans="2:14">
      <c r="B2376" s="57"/>
      <c r="C2376" s="54"/>
      <c r="D2376" s="55"/>
      <c r="I2376" s="55"/>
      <c r="J2376" s="56"/>
      <c r="K2376" s="56"/>
      <c r="M2376" s="55"/>
      <c r="N2376" s="55"/>
    </row>
    <row r="2377" ht="14.25" customHeight="1" spans="2:14">
      <c r="B2377" s="57"/>
      <c r="C2377" s="54"/>
      <c r="D2377" s="55"/>
      <c r="I2377" s="55"/>
      <c r="J2377" s="56"/>
      <c r="K2377" s="56"/>
      <c r="M2377" s="55"/>
      <c r="N2377" s="55"/>
    </row>
    <row r="2378" ht="14.25" customHeight="1" spans="2:14">
      <c r="B2378" s="57"/>
      <c r="C2378" s="54"/>
      <c r="D2378" s="55"/>
      <c r="I2378" s="55"/>
      <c r="J2378" s="56"/>
      <c r="K2378" s="56"/>
      <c r="M2378" s="55"/>
      <c r="N2378" s="55"/>
    </row>
    <row r="2379" ht="14.25" customHeight="1" spans="2:14">
      <c r="B2379" s="57"/>
      <c r="C2379" s="54"/>
      <c r="D2379" s="55"/>
      <c r="I2379" s="55"/>
      <c r="J2379" s="56"/>
      <c r="K2379" s="56"/>
      <c r="M2379" s="55"/>
      <c r="N2379" s="55"/>
    </row>
    <row r="2380" ht="14.25" customHeight="1" spans="2:14">
      <c r="B2380" s="57"/>
      <c r="C2380" s="54"/>
      <c r="D2380" s="55"/>
      <c r="I2380" s="55"/>
      <c r="J2380" s="56"/>
      <c r="K2380" s="56"/>
      <c r="M2380" s="55"/>
      <c r="N2380" s="55"/>
    </row>
    <row r="2381" ht="14.25" customHeight="1" spans="2:14">
      <c r="B2381" s="57"/>
      <c r="C2381" s="54"/>
      <c r="D2381" s="55"/>
      <c r="I2381" s="55"/>
      <c r="J2381" s="56"/>
      <c r="K2381" s="56"/>
      <c r="M2381" s="55"/>
      <c r="N2381" s="55"/>
    </row>
    <row r="2382" ht="14.25" customHeight="1" spans="2:14">
      <c r="B2382" s="57"/>
      <c r="C2382" s="54"/>
      <c r="D2382" s="55"/>
      <c r="I2382" s="55"/>
      <c r="J2382" s="56"/>
      <c r="K2382" s="56"/>
      <c r="M2382" s="55"/>
      <c r="N2382" s="55"/>
    </row>
    <row r="2383" ht="14.25" customHeight="1" spans="2:14">
      <c r="B2383" s="57"/>
      <c r="C2383" s="54"/>
      <c r="D2383" s="55"/>
      <c r="I2383" s="55"/>
      <c r="J2383" s="56"/>
      <c r="K2383" s="56"/>
      <c r="M2383" s="55"/>
      <c r="N2383" s="55"/>
    </row>
    <row r="2384" ht="14.25" customHeight="1" spans="2:14">
      <c r="B2384" s="57"/>
      <c r="C2384" s="54"/>
      <c r="D2384" s="55"/>
      <c r="I2384" s="55"/>
      <c r="J2384" s="56"/>
      <c r="K2384" s="56"/>
      <c r="M2384" s="55"/>
      <c r="N2384" s="55"/>
    </row>
    <row r="2385" ht="14.25" customHeight="1" spans="2:14">
      <c r="B2385" s="57"/>
      <c r="C2385" s="54"/>
      <c r="D2385" s="55"/>
      <c r="I2385" s="55"/>
      <c r="J2385" s="56"/>
      <c r="K2385" s="56"/>
      <c r="M2385" s="55"/>
      <c r="N2385" s="55"/>
    </row>
    <row r="2386" ht="14.25" customHeight="1" spans="2:14">
      <c r="B2386" s="57"/>
      <c r="C2386" s="54"/>
      <c r="D2386" s="55"/>
      <c r="I2386" s="55"/>
      <c r="J2386" s="56"/>
      <c r="K2386" s="56"/>
      <c r="M2386" s="55"/>
      <c r="N2386" s="55"/>
    </row>
    <row r="2387" ht="14.25" customHeight="1" spans="2:14">
      <c r="B2387" s="57"/>
      <c r="C2387" s="54"/>
      <c r="D2387" s="55"/>
      <c r="I2387" s="55"/>
      <c r="J2387" s="56"/>
      <c r="K2387" s="56"/>
      <c r="M2387" s="55"/>
      <c r="N2387" s="55"/>
    </row>
    <row r="2388" ht="14.25" customHeight="1" spans="2:14">
      <c r="B2388" s="57"/>
      <c r="C2388" s="54"/>
      <c r="D2388" s="55"/>
      <c r="I2388" s="55"/>
      <c r="J2388" s="56"/>
      <c r="K2388" s="56"/>
      <c r="M2388" s="55"/>
      <c r="N2388" s="55"/>
    </row>
    <row r="2389" ht="14.25" customHeight="1" spans="2:14">
      <c r="B2389" s="57"/>
      <c r="C2389" s="54"/>
      <c r="D2389" s="55"/>
      <c r="I2389" s="55"/>
      <c r="J2389" s="56"/>
      <c r="K2389" s="56"/>
      <c r="M2389" s="55"/>
      <c r="N2389" s="55"/>
    </row>
    <row r="2390" ht="14.25" customHeight="1" spans="2:14">
      <c r="B2390" s="57"/>
      <c r="C2390" s="54"/>
      <c r="D2390" s="55"/>
      <c r="I2390" s="55"/>
      <c r="J2390" s="56"/>
      <c r="K2390" s="56"/>
      <c r="M2390" s="55"/>
      <c r="N2390" s="55"/>
    </row>
    <row r="2391" ht="14.25" customHeight="1" spans="2:14">
      <c r="B2391" s="57"/>
      <c r="C2391" s="54"/>
      <c r="D2391" s="55"/>
      <c r="I2391" s="55"/>
      <c r="J2391" s="56"/>
      <c r="K2391" s="56"/>
      <c r="M2391" s="55"/>
      <c r="N2391" s="55"/>
    </row>
    <row r="2392" ht="14.25" customHeight="1" spans="2:14">
      <c r="B2392" s="57"/>
      <c r="C2392" s="54"/>
      <c r="D2392" s="55"/>
      <c r="I2392" s="55"/>
      <c r="J2392" s="56"/>
      <c r="K2392" s="56"/>
      <c r="M2392" s="55"/>
      <c r="N2392" s="55"/>
    </row>
    <row r="2393" ht="14.25" customHeight="1" spans="2:14">
      <c r="B2393" s="57"/>
      <c r="C2393" s="54"/>
      <c r="D2393" s="55"/>
      <c r="I2393" s="55"/>
      <c r="J2393" s="56"/>
      <c r="K2393" s="56"/>
      <c r="M2393" s="55"/>
      <c r="N2393" s="55"/>
    </row>
    <row r="2394" ht="14.25" customHeight="1" spans="2:14">
      <c r="B2394" s="57"/>
      <c r="C2394" s="54"/>
      <c r="D2394" s="55"/>
      <c r="I2394" s="55"/>
      <c r="J2394" s="56"/>
      <c r="K2394" s="56"/>
      <c r="M2394" s="55"/>
      <c r="N2394" s="55"/>
    </row>
    <row r="2395" ht="14.25" customHeight="1" spans="2:14">
      <c r="B2395" s="57"/>
      <c r="C2395" s="54"/>
      <c r="D2395" s="55"/>
      <c r="I2395" s="55"/>
      <c r="J2395" s="56"/>
      <c r="K2395" s="56"/>
      <c r="M2395" s="55"/>
      <c r="N2395" s="55"/>
    </row>
    <row r="2396" ht="14.25" customHeight="1" spans="2:14">
      <c r="B2396" s="57"/>
      <c r="C2396" s="54"/>
      <c r="D2396" s="55"/>
      <c r="I2396" s="55"/>
      <c r="J2396" s="56"/>
      <c r="K2396" s="56"/>
      <c r="M2396" s="55"/>
      <c r="N2396" s="55"/>
    </row>
    <row r="2397" ht="14.25" customHeight="1" spans="2:14">
      <c r="B2397" s="57"/>
      <c r="C2397" s="54"/>
      <c r="D2397" s="55"/>
      <c r="I2397" s="55"/>
      <c r="J2397" s="56"/>
      <c r="K2397" s="56"/>
      <c r="M2397" s="55"/>
      <c r="N2397" s="55"/>
    </row>
    <row r="2398" ht="14.25" customHeight="1" spans="2:14">
      <c r="B2398" s="57"/>
      <c r="C2398" s="54"/>
      <c r="D2398" s="55"/>
      <c r="I2398" s="55"/>
      <c r="J2398" s="56"/>
      <c r="K2398" s="56"/>
      <c r="M2398" s="55"/>
      <c r="N2398" s="55"/>
    </row>
    <row r="2399" ht="14.25" customHeight="1" spans="2:14">
      <c r="B2399" s="57"/>
      <c r="C2399" s="54"/>
      <c r="D2399" s="55"/>
      <c r="I2399" s="55"/>
      <c r="J2399" s="56"/>
      <c r="K2399" s="56"/>
      <c r="M2399" s="55"/>
      <c r="N2399" s="55"/>
    </row>
    <row r="2400" ht="14.25" customHeight="1" spans="2:14">
      <c r="B2400" s="57"/>
      <c r="C2400" s="54"/>
      <c r="D2400" s="55"/>
      <c r="I2400" s="55"/>
      <c r="J2400" s="56"/>
      <c r="K2400" s="56"/>
      <c r="M2400" s="55"/>
      <c r="N2400" s="55"/>
    </row>
    <row r="2401" ht="14.25" customHeight="1" spans="2:14">
      <c r="B2401" s="57"/>
      <c r="C2401" s="54"/>
      <c r="D2401" s="55"/>
      <c r="I2401" s="55"/>
      <c r="J2401" s="56"/>
      <c r="K2401" s="56"/>
      <c r="M2401" s="55"/>
      <c r="N2401" s="55"/>
    </row>
    <row r="2402" ht="14.25" customHeight="1" spans="2:14">
      <c r="B2402" s="57"/>
      <c r="C2402" s="54"/>
      <c r="D2402" s="55"/>
      <c r="I2402" s="55"/>
      <c r="J2402" s="56"/>
      <c r="K2402" s="56"/>
      <c r="M2402" s="55"/>
      <c r="N2402" s="55"/>
    </row>
    <row r="2403" ht="14.25" customHeight="1" spans="2:14">
      <c r="B2403" s="57"/>
      <c r="C2403" s="54"/>
      <c r="D2403" s="55"/>
      <c r="I2403" s="55"/>
      <c r="J2403" s="56"/>
      <c r="K2403" s="56"/>
      <c r="M2403" s="55"/>
      <c r="N2403" s="55"/>
    </row>
    <row r="2404" ht="14.25" customHeight="1" spans="2:14">
      <c r="B2404" s="57"/>
      <c r="C2404" s="54"/>
      <c r="D2404" s="55"/>
      <c r="I2404" s="55"/>
      <c r="J2404" s="56"/>
      <c r="K2404" s="56"/>
      <c r="M2404" s="55"/>
      <c r="N2404" s="55"/>
    </row>
    <row r="2405" ht="14.25" customHeight="1" spans="2:14">
      <c r="B2405" s="57"/>
      <c r="C2405" s="54"/>
      <c r="D2405" s="55"/>
      <c r="I2405" s="55"/>
      <c r="J2405" s="56"/>
      <c r="K2405" s="56"/>
      <c r="M2405" s="55"/>
      <c r="N2405" s="55"/>
    </row>
    <row r="2406" ht="14.25" customHeight="1" spans="2:14">
      <c r="B2406" s="57"/>
      <c r="C2406" s="54"/>
      <c r="D2406" s="55"/>
      <c r="I2406" s="55"/>
      <c r="J2406" s="56"/>
      <c r="K2406" s="56"/>
      <c r="M2406" s="55"/>
      <c r="N2406" s="55"/>
    </row>
    <row r="2407" ht="14.25" customHeight="1" spans="2:14">
      <c r="B2407" s="57"/>
      <c r="C2407" s="54"/>
      <c r="D2407" s="55"/>
      <c r="I2407" s="55"/>
      <c r="J2407" s="56"/>
      <c r="K2407" s="56"/>
      <c r="M2407" s="55"/>
      <c r="N2407" s="55"/>
    </row>
    <row r="2408" ht="14.25" customHeight="1" spans="2:14">
      <c r="B2408" s="57"/>
      <c r="C2408" s="54"/>
      <c r="D2408" s="55"/>
      <c r="I2408" s="55"/>
      <c r="J2408" s="56"/>
      <c r="K2408" s="56"/>
      <c r="M2408" s="55"/>
      <c r="N2408" s="55"/>
    </row>
    <row r="2409" ht="14.25" customHeight="1" spans="2:14">
      <c r="B2409" s="57"/>
      <c r="C2409" s="54"/>
      <c r="D2409" s="55"/>
      <c r="I2409" s="55"/>
      <c r="J2409" s="56"/>
      <c r="K2409" s="56"/>
      <c r="M2409" s="55"/>
      <c r="N2409" s="55"/>
    </row>
    <row r="2410" ht="14.25" customHeight="1" spans="2:14">
      <c r="B2410" s="57"/>
      <c r="C2410" s="54"/>
      <c r="D2410" s="55"/>
      <c r="I2410" s="55"/>
      <c r="J2410" s="56"/>
      <c r="K2410" s="56"/>
      <c r="M2410" s="55"/>
      <c r="N2410" s="55"/>
    </row>
    <row r="2411" ht="14.25" customHeight="1" spans="2:14">
      <c r="B2411" s="57"/>
      <c r="C2411" s="54"/>
      <c r="D2411" s="55"/>
      <c r="I2411" s="55"/>
      <c r="J2411" s="56"/>
      <c r="K2411" s="56"/>
      <c r="M2411" s="55"/>
      <c r="N2411" s="55"/>
    </row>
    <row r="2412" ht="14.25" customHeight="1" spans="2:14">
      <c r="B2412" s="57"/>
      <c r="C2412" s="54"/>
      <c r="D2412" s="55"/>
      <c r="I2412" s="55"/>
      <c r="J2412" s="56"/>
      <c r="K2412" s="56"/>
      <c r="M2412" s="55"/>
      <c r="N2412" s="55"/>
    </row>
    <row r="2413" ht="14.25" customHeight="1" spans="2:14">
      <c r="B2413" s="57"/>
      <c r="C2413" s="54"/>
      <c r="D2413" s="55"/>
      <c r="I2413" s="55"/>
      <c r="J2413" s="56"/>
      <c r="K2413" s="56"/>
      <c r="M2413" s="55"/>
      <c r="N2413" s="55"/>
    </row>
    <row r="2414" ht="14.25" customHeight="1" spans="2:14">
      <c r="B2414" s="57"/>
      <c r="C2414" s="54"/>
      <c r="D2414" s="55"/>
      <c r="I2414" s="55"/>
      <c r="J2414" s="56"/>
      <c r="K2414" s="56"/>
      <c r="M2414" s="55"/>
      <c r="N2414" s="55"/>
    </row>
    <row r="2415" ht="14.25" customHeight="1" spans="2:14">
      <c r="B2415" s="57"/>
      <c r="C2415" s="54"/>
      <c r="D2415" s="55"/>
      <c r="I2415" s="55"/>
      <c r="J2415" s="56"/>
      <c r="K2415" s="56"/>
      <c r="M2415" s="55"/>
      <c r="N2415" s="55"/>
    </row>
    <row r="2416" ht="14.25" customHeight="1" spans="2:14">
      <c r="B2416" s="57"/>
      <c r="C2416" s="54"/>
      <c r="D2416" s="55"/>
      <c r="I2416" s="55"/>
      <c r="J2416" s="56"/>
      <c r="K2416" s="56"/>
      <c r="M2416" s="55"/>
      <c r="N2416" s="55"/>
    </row>
    <row r="2417" ht="14.25" customHeight="1" spans="2:14">
      <c r="B2417" s="57"/>
      <c r="C2417" s="54"/>
      <c r="D2417" s="55"/>
      <c r="I2417" s="55"/>
      <c r="J2417" s="56"/>
      <c r="K2417" s="56"/>
      <c r="M2417" s="55"/>
      <c r="N2417" s="55"/>
    </row>
    <row r="2418" ht="14.25" customHeight="1" spans="2:14">
      <c r="B2418" s="57"/>
      <c r="C2418" s="54"/>
      <c r="D2418" s="55"/>
      <c r="I2418" s="55"/>
      <c r="J2418" s="56"/>
      <c r="K2418" s="56"/>
      <c r="M2418" s="55"/>
      <c r="N2418" s="55"/>
    </row>
    <row r="2419" ht="14.25" customHeight="1" spans="2:14">
      <c r="B2419" s="57"/>
      <c r="C2419" s="54"/>
      <c r="D2419" s="55"/>
      <c r="I2419" s="55"/>
      <c r="J2419" s="56"/>
      <c r="K2419" s="56"/>
      <c r="M2419" s="55"/>
      <c r="N2419" s="55"/>
    </row>
    <row r="2420" ht="14.25" customHeight="1" spans="2:14">
      <c r="B2420" s="57"/>
      <c r="C2420" s="54"/>
      <c r="D2420" s="55"/>
      <c r="I2420" s="55"/>
      <c r="J2420" s="56"/>
      <c r="K2420" s="56"/>
      <c r="M2420" s="55"/>
      <c r="N2420" s="55"/>
    </row>
    <row r="2421" ht="14.25" customHeight="1" spans="2:14">
      <c r="B2421" s="57"/>
      <c r="C2421" s="54"/>
      <c r="D2421" s="55"/>
      <c r="I2421" s="55"/>
      <c r="J2421" s="56"/>
      <c r="K2421" s="56"/>
      <c r="M2421" s="55"/>
      <c r="N2421" s="55"/>
    </row>
    <row r="2422" ht="14.25" customHeight="1" spans="2:14">
      <c r="B2422" s="57"/>
      <c r="C2422" s="54"/>
      <c r="D2422" s="55"/>
      <c r="I2422" s="55"/>
      <c r="J2422" s="56"/>
      <c r="K2422" s="56"/>
      <c r="M2422" s="55"/>
      <c r="N2422" s="55"/>
    </row>
    <row r="2423" ht="14.25" customHeight="1" spans="2:14">
      <c r="B2423" s="57"/>
      <c r="C2423" s="54"/>
      <c r="D2423" s="55"/>
      <c r="I2423" s="55"/>
      <c r="J2423" s="56"/>
      <c r="K2423" s="56"/>
      <c r="M2423" s="55"/>
      <c r="N2423" s="55"/>
    </row>
    <row r="2424" ht="14.25" customHeight="1" spans="2:14">
      <c r="B2424" s="57"/>
      <c r="C2424" s="54"/>
      <c r="D2424" s="55"/>
      <c r="I2424" s="55"/>
      <c r="J2424" s="56"/>
      <c r="K2424" s="56"/>
      <c r="M2424" s="55"/>
      <c r="N2424" s="55"/>
    </row>
    <row r="2425" ht="14.25" customHeight="1" spans="2:14">
      <c r="B2425" s="57"/>
      <c r="C2425" s="54"/>
      <c r="D2425" s="55"/>
      <c r="I2425" s="55"/>
      <c r="J2425" s="56"/>
      <c r="K2425" s="56"/>
      <c r="M2425" s="55"/>
      <c r="N2425" s="55"/>
    </row>
    <row r="2426" ht="14.25" customHeight="1" spans="2:14">
      <c r="B2426" s="57"/>
      <c r="C2426" s="54"/>
      <c r="D2426" s="55"/>
      <c r="I2426" s="55"/>
      <c r="J2426" s="56"/>
      <c r="K2426" s="56"/>
      <c r="M2426" s="55"/>
      <c r="N2426" s="55"/>
    </row>
    <row r="2427" ht="14.25" customHeight="1" spans="2:14">
      <c r="B2427" s="57"/>
      <c r="C2427" s="54"/>
      <c r="D2427" s="55"/>
      <c r="I2427" s="55"/>
      <c r="J2427" s="56"/>
      <c r="K2427" s="56"/>
      <c r="M2427" s="55"/>
      <c r="N2427" s="55"/>
    </row>
    <row r="2428" ht="14.25" customHeight="1" spans="2:14">
      <c r="B2428" s="57"/>
      <c r="C2428" s="54"/>
      <c r="D2428" s="55"/>
      <c r="I2428" s="55"/>
      <c r="J2428" s="56"/>
      <c r="K2428" s="56"/>
      <c r="M2428" s="55"/>
      <c r="N2428" s="55"/>
    </row>
    <row r="2429" ht="14.25" customHeight="1" spans="2:14">
      <c r="B2429" s="57"/>
      <c r="C2429" s="54"/>
      <c r="D2429" s="55"/>
      <c r="I2429" s="55"/>
      <c r="J2429" s="56"/>
      <c r="K2429" s="56"/>
      <c r="M2429" s="55"/>
      <c r="N2429" s="55"/>
    </row>
    <row r="2430" ht="14.25" customHeight="1" spans="2:14">
      <c r="B2430" s="57"/>
      <c r="C2430" s="54"/>
      <c r="D2430" s="55"/>
      <c r="I2430" s="55"/>
      <c r="J2430" s="56"/>
      <c r="K2430" s="56"/>
      <c r="M2430" s="55"/>
      <c r="N2430" s="55"/>
    </row>
    <row r="2431" ht="14.25" customHeight="1" spans="2:14">
      <c r="B2431" s="57"/>
      <c r="C2431" s="54"/>
      <c r="D2431" s="55"/>
      <c r="I2431" s="55"/>
      <c r="J2431" s="56"/>
      <c r="K2431" s="56"/>
      <c r="M2431" s="55"/>
      <c r="N2431" s="55"/>
    </row>
    <row r="2432" ht="14.25" customHeight="1" spans="2:14">
      <c r="B2432" s="57"/>
      <c r="C2432" s="54"/>
      <c r="D2432" s="55"/>
      <c r="I2432" s="55"/>
      <c r="J2432" s="56"/>
      <c r="K2432" s="56"/>
      <c r="M2432" s="55"/>
      <c r="N2432" s="55"/>
    </row>
    <row r="2433" ht="14.25" customHeight="1" spans="2:14">
      <c r="B2433" s="57"/>
      <c r="C2433" s="54"/>
      <c r="D2433" s="55"/>
      <c r="I2433" s="55"/>
      <c r="J2433" s="56"/>
      <c r="K2433" s="56"/>
      <c r="M2433" s="55"/>
      <c r="N2433" s="55"/>
    </row>
    <row r="2434" ht="14.25" customHeight="1" spans="2:14">
      <c r="B2434" s="57"/>
      <c r="C2434" s="54"/>
      <c r="D2434" s="55"/>
      <c r="I2434" s="55"/>
      <c r="J2434" s="56"/>
      <c r="K2434" s="56"/>
      <c r="M2434" s="55"/>
      <c r="N2434" s="55"/>
    </row>
    <row r="2435" ht="14.25" customHeight="1" spans="2:14">
      <c r="B2435" s="57"/>
      <c r="C2435" s="54"/>
      <c r="D2435" s="55"/>
      <c r="I2435" s="55"/>
      <c r="J2435" s="56"/>
      <c r="K2435" s="56"/>
      <c r="M2435" s="55"/>
      <c r="N2435" s="55"/>
    </row>
    <row r="2436" ht="14.25" customHeight="1" spans="2:14">
      <c r="B2436" s="57"/>
      <c r="C2436" s="54"/>
      <c r="D2436" s="55"/>
      <c r="I2436" s="55"/>
      <c r="J2436" s="56"/>
      <c r="K2436" s="56"/>
      <c r="M2436" s="55"/>
      <c r="N2436" s="55"/>
    </row>
    <row r="2437" ht="14.25" customHeight="1" spans="2:14">
      <c r="B2437" s="57"/>
      <c r="C2437" s="54"/>
      <c r="D2437" s="55"/>
      <c r="I2437" s="55"/>
      <c r="J2437" s="56"/>
      <c r="K2437" s="56"/>
      <c r="M2437" s="55"/>
      <c r="N2437" s="55"/>
    </row>
    <row r="2438" ht="14.25" customHeight="1" spans="2:14">
      <c r="B2438" s="57"/>
      <c r="C2438" s="54"/>
      <c r="D2438" s="55"/>
      <c r="I2438" s="55"/>
      <c r="J2438" s="56"/>
      <c r="K2438" s="56"/>
      <c r="M2438" s="55"/>
      <c r="N2438" s="55"/>
    </row>
    <row r="2439" ht="14.25" customHeight="1" spans="2:14">
      <c r="B2439" s="57"/>
      <c r="C2439" s="54"/>
      <c r="D2439" s="55"/>
      <c r="I2439" s="55"/>
      <c r="J2439" s="56"/>
      <c r="K2439" s="56"/>
      <c r="M2439" s="55"/>
      <c r="N2439" s="55"/>
    </row>
    <row r="2440" ht="14.25" customHeight="1" spans="2:14">
      <c r="B2440" s="57"/>
      <c r="C2440" s="54"/>
      <c r="D2440" s="55"/>
      <c r="I2440" s="55"/>
      <c r="J2440" s="56"/>
      <c r="K2440" s="56"/>
      <c r="M2440" s="55"/>
      <c r="N2440" s="55"/>
    </row>
    <row r="2441" ht="14.25" customHeight="1" spans="2:14">
      <c r="B2441" s="57"/>
      <c r="C2441" s="54"/>
      <c r="D2441" s="55"/>
      <c r="I2441" s="55"/>
      <c r="J2441" s="56"/>
      <c r="K2441" s="56"/>
      <c r="M2441" s="55"/>
      <c r="N2441" s="55"/>
    </row>
    <row r="2442" ht="14.25" customHeight="1" spans="2:14">
      <c r="B2442" s="57"/>
      <c r="C2442" s="54"/>
      <c r="D2442" s="55"/>
      <c r="I2442" s="55"/>
      <c r="J2442" s="56"/>
      <c r="K2442" s="56"/>
      <c r="M2442" s="55"/>
      <c r="N2442" s="55"/>
    </row>
    <row r="2443" ht="14.25" customHeight="1" spans="2:14">
      <c r="B2443" s="57"/>
      <c r="C2443" s="54"/>
      <c r="D2443" s="55"/>
      <c r="I2443" s="55"/>
      <c r="J2443" s="56"/>
      <c r="K2443" s="56"/>
      <c r="M2443" s="55"/>
      <c r="N2443" s="55"/>
    </row>
    <row r="2444" ht="14.25" customHeight="1" spans="2:14">
      <c r="B2444" s="57"/>
      <c r="C2444" s="54"/>
      <c r="D2444" s="55"/>
      <c r="I2444" s="55"/>
      <c r="J2444" s="56"/>
      <c r="K2444" s="56"/>
      <c r="M2444" s="55"/>
      <c r="N2444" s="55"/>
    </row>
    <row r="2445" ht="14.25" customHeight="1" spans="2:14">
      <c r="B2445" s="57"/>
      <c r="C2445" s="54"/>
      <c r="D2445" s="55"/>
      <c r="I2445" s="55"/>
      <c r="J2445" s="56"/>
      <c r="K2445" s="56"/>
      <c r="M2445" s="55"/>
      <c r="N2445" s="55"/>
    </row>
    <row r="2446" ht="14.25" customHeight="1" spans="2:14">
      <c r="B2446" s="57"/>
      <c r="C2446" s="54"/>
      <c r="D2446" s="55"/>
      <c r="I2446" s="55"/>
      <c r="J2446" s="56"/>
      <c r="K2446" s="56"/>
      <c r="M2446" s="55"/>
      <c r="N2446" s="55"/>
    </row>
    <row r="2447" ht="14.25" customHeight="1" spans="2:14">
      <c r="B2447" s="57"/>
      <c r="C2447" s="54"/>
      <c r="D2447" s="55"/>
      <c r="I2447" s="55"/>
      <c r="J2447" s="56"/>
      <c r="K2447" s="56"/>
      <c r="M2447" s="55"/>
      <c r="N2447" s="55"/>
    </row>
    <row r="2448" ht="14.25" customHeight="1" spans="2:14">
      <c r="B2448" s="57"/>
      <c r="C2448" s="54"/>
      <c r="D2448" s="55"/>
      <c r="I2448" s="55"/>
      <c r="J2448" s="56"/>
      <c r="K2448" s="56"/>
      <c r="M2448" s="55"/>
      <c r="N2448" s="55"/>
    </row>
    <row r="2449" ht="14.25" customHeight="1" spans="2:14">
      <c r="B2449" s="57"/>
      <c r="C2449" s="54"/>
      <c r="D2449" s="55"/>
      <c r="I2449" s="55"/>
      <c r="J2449" s="56"/>
      <c r="K2449" s="56"/>
      <c r="M2449" s="55"/>
      <c r="N2449" s="55"/>
    </row>
    <row r="2450" ht="14.25" customHeight="1" spans="2:14">
      <c r="B2450" s="57"/>
      <c r="C2450" s="54"/>
      <c r="D2450" s="55"/>
      <c r="I2450" s="55"/>
      <c r="J2450" s="56"/>
      <c r="K2450" s="56"/>
      <c r="M2450" s="55"/>
      <c r="N2450" s="55"/>
    </row>
    <row r="2451" ht="14.25" customHeight="1" spans="2:14">
      <c r="B2451" s="57"/>
      <c r="C2451" s="54"/>
      <c r="D2451" s="55"/>
      <c r="I2451" s="55"/>
      <c r="J2451" s="56"/>
      <c r="K2451" s="56"/>
      <c r="M2451" s="55"/>
      <c r="N2451" s="55"/>
    </row>
    <row r="2452" ht="14.25" customHeight="1" spans="2:14">
      <c r="B2452" s="57"/>
      <c r="C2452" s="54"/>
      <c r="D2452" s="55"/>
      <c r="I2452" s="55"/>
      <c r="J2452" s="56"/>
      <c r="K2452" s="56"/>
      <c r="M2452" s="55"/>
      <c r="N2452" s="55"/>
    </row>
    <row r="2453" ht="14.25" customHeight="1" spans="2:14">
      <c r="B2453" s="57"/>
      <c r="C2453" s="54"/>
      <c r="D2453" s="55"/>
      <c r="I2453" s="55"/>
      <c r="J2453" s="56"/>
      <c r="K2453" s="56"/>
      <c r="M2453" s="55"/>
      <c r="N2453" s="55"/>
    </row>
    <row r="2454" ht="14.25" customHeight="1" spans="2:14">
      <c r="B2454" s="57"/>
      <c r="C2454" s="54"/>
      <c r="D2454" s="55"/>
      <c r="I2454" s="55"/>
      <c r="J2454" s="56"/>
      <c r="K2454" s="56"/>
      <c r="M2454" s="55"/>
      <c r="N2454" s="55"/>
    </row>
    <row r="2455" ht="14.25" customHeight="1" spans="2:14">
      <c r="B2455" s="57"/>
      <c r="C2455" s="54"/>
      <c r="D2455" s="55"/>
      <c r="I2455" s="55"/>
      <c r="J2455" s="56"/>
      <c r="K2455" s="56"/>
      <c r="M2455" s="55"/>
      <c r="N2455" s="55"/>
    </row>
    <row r="2456" ht="14.25" customHeight="1" spans="2:14">
      <c r="B2456" s="57"/>
      <c r="C2456" s="54"/>
      <c r="D2456" s="55"/>
      <c r="I2456" s="55"/>
      <c r="J2456" s="56"/>
      <c r="K2456" s="56"/>
      <c r="M2456" s="55"/>
      <c r="N2456" s="55"/>
    </row>
    <row r="2457" ht="14.25" customHeight="1" spans="2:14">
      <c r="B2457" s="57"/>
      <c r="C2457" s="54"/>
      <c r="D2457" s="55"/>
      <c r="I2457" s="55"/>
      <c r="J2457" s="56"/>
      <c r="K2457" s="56"/>
      <c r="M2457" s="55"/>
      <c r="N2457" s="55"/>
    </row>
    <row r="2458" ht="14.25" customHeight="1" spans="2:14">
      <c r="B2458" s="57"/>
      <c r="C2458" s="54"/>
      <c r="D2458" s="55"/>
      <c r="I2458" s="55"/>
      <c r="J2458" s="56"/>
      <c r="K2458" s="56"/>
      <c r="M2458" s="55"/>
      <c r="N2458" s="55"/>
    </row>
    <row r="2459" ht="14.25" customHeight="1" spans="2:14">
      <c r="B2459" s="57"/>
      <c r="C2459" s="54"/>
      <c r="D2459" s="55"/>
      <c r="I2459" s="55"/>
      <c r="J2459" s="56"/>
      <c r="K2459" s="56"/>
      <c r="M2459" s="55"/>
      <c r="N2459" s="55"/>
    </row>
    <row r="2460" ht="14.25" customHeight="1" spans="2:14">
      <c r="B2460" s="57"/>
      <c r="C2460" s="54"/>
      <c r="D2460" s="55"/>
      <c r="I2460" s="55"/>
      <c r="J2460" s="56"/>
      <c r="K2460" s="56"/>
      <c r="M2460" s="55"/>
      <c r="N2460" s="55"/>
    </row>
    <row r="2461" ht="14.25" customHeight="1" spans="2:14">
      <c r="B2461" s="57"/>
      <c r="C2461" s="54"/>
      <c r="D2461" s="55"/>
      <c r="I2461" s="55"/>
      <c r="J2461" s="56"/>
      <c r="K2461" s="56"/>
      <c r="M2461" s="55"/>
      <c r="N2461" s="55"/>
    </row>
    <row r="2462" ht="14.25" customHeight="1" spans="2:14">
      <c r="B2462" s="57"/>
      <c r="C2462" s="54"/>
      <c r="D2462" s="55"/>
      <c r="I2462" s="55"/>
      <c r="J2462" s="56"/>
      <c r="K2462" s="56"/>
      <c r="M2462" s="55"/>
      <c r="N2462" s="55"/>
    </row>
    <row r="2463" ht="14.25" customHeight="1" spans="2:14">
      <c r="B2463" s="57"/>
      <c r="C2463" s="54"/>
      <c r="D2463" s="55"/>
      <c r="I2463" s="55"/>
      <c r="J2463" s="56"/>
      <c r="K2463" s="56"/>
      <c r="M2463" s="55"/>
      <c r="N2463" s="55"/>
    </row>
    <row r="2464" ht="14.25" customHeight="1" spans="2:14">
      <c r="B2464" s="57"/>
      <c r="C2464" s="54"/>
      <c r="D2464" s="55"/>
      <c r="I2464" s="55"/>
      <c r="J2464" s="56"/>
      <c r="K2464" s="56"/>
      <c r="M2464" s="55"/>
      <c r="N2464" s="55"/>
    </row>
    <row r="2465" ht="14.25" customHeight="1" spans="2:14">
      <c r="B2465" s="57"/>
      <c r="C2465" s="54"/>
      <c r="D2465" s="55"/>
      <c r="I2465" s="55"/>
      <c r="J2465" s="56"/>
      <c r="K2465" s="56"/>
      <c r="M2465" s="55"/>
      <c r="N2465" s="55"/>
    </row>
    <row r="2466" ht="14.25" customHeight="1" spans="2:14">
      <c r="B2466" s="57"/>
      <c r="C2466" s="54"/>
      <c r="D2466" s="55"/>
      <c r="I2466" s="55"/>
      <c r="J2466" s="56"/>
      <c r="K2466" s="56"/>
      <c r="M2466" s="55"/>
      <c r="N2466" s="55"/>
    </row>
    <row r="2467" ht="14.25" customHeight="1" spans="2:14">
      <c r="B2467" s="57"/>
      <c r="C2467" s="54"/>
      <c r="D2467" s="55"/>
      <c r="I2467" s="55"/>
      <c r="J2467" s="56"/>
      <c r="K2467" s="56"/>
      <c r="M2467" s="55"/>
      <c r="N2467" s="55"/>
    </row>
    <row r="2468" ht="14.25" customHeight="1" spans="2:14">
      <c r="B2468" s="57"/>
      <c r="C2468" s="54"/>
      <c r="D2468" s="55"/>
      <c r="I2468" s="55"/>
      <c r="J2468" s="56"/>
      <c r="K2468" s="56"/>
      <c r="M2468" s="55"/>
      <c r="N2468" s="55"/>
    </row>
    <row r="2469" ht="14.25" customHeight="1" spans="2:14">
      <c r="B2469" s="57"/>
      <c r="C2469" s="54"/>
      <c r="D2469" s="55"/>
      <c r="I2469" s="55"/>
      <c r="J2469" s="56"/>
      <c r="K2469" s="56"/>
      <c r="M2469" s="55"/>
      <c r="N2469" s="55"/>
    </row>
    <row r="2470" ht="14.25" customHeight="1" spans="2:14">
      <c r="B2470" s="57"/>
      <c r="C2470" s="54"/>
      <c r="D2470" s="55"/>
      <c r="I2470" s="55"/>
      <c r="J2470" s="56"/>
      <c r="K2470" s="56"/>
      <c r="M2470" s="55"/>
      <c r="N2470" s="55"/>
    </row>
    <row r="2471" ht="14.25" customHeight="1" spans="2:14">
      <c r="B2471" s="57"/>
      <c r="C2471" s="54"/>
      <c r="D2471" s="55"/>
      <c r="I2471" s="55"/>
      <c r="J2471" s="56"/>
      <c r="K2471" s="56"/>
      <c r="M2471" s="55"/>
      <c r="N2471" s="55"/>
    </row>
    <row r="2472" ht="14.25" customHeight="1" spans="2:14">
      <c r="B2472" s="57"/>
      <c r="C2472" s="54"/>
      <c r="D2472" s="55"/>
      <c r="I2472" s="55"/>
      <c r="J2472" s="56"/>
      <c r="K2472" s="56"/>
      <c r="M2472" s="55"/>
      <c r="N2472" s="55"/>
    </row>
    <row r="2473" ht="14.25" customHeight="1" spans="2:14">
      <c r="B2473" s="57"/>
      <c r="C2473" s="54"/>
      <c r="D2473" s="55"/>
      <c r="I2473" s="55"/>
      <c r="J2473" s="56"/>
      <c r="K2473" s="56"/>
      <c r="M2473" s="55"/>
      <c r="N2473" s="55"/>
    </row>
    <row r="2474" ht="14.25" customHeight="1" spans="2:14">
      <c r="B2474" s="57"/>
      <c r="C2474" s="54"/>
      <c r="D2474" s="55"/>
      <c r="I2474" s="55"/>
      <c r="J2474" s="56"/>
      <c r="K2474" s="56"/>
      <c r="M2474" s="55"/>
      <c r="N2474" s="55"/>
    </row>
    <row r="2475" ht="14.25" customHeight="1" spans="2:14">
      <c r="B2475" s="57"/>
      <c r="C2475" s="54"/>
      <c r="D2475" s="55"/>
      <c r="I2475" s="55"/>
      <c r="J2475" s="56"/>
      <c r="K2475" s="56"/>
      <c r="M2475" s="55"/>
      <c r="N2475" s="55"/>
    </row>
    <row r="2476" ht="14.25" customHeight="1" spans="2:14">
      <c r="B2476" s="57"/>
      <c r="C2476" s="54"/>
      <c r="D2476" s="55"/>
      <c r="I2476" s="55"/>
      <c r="J2476" s="56"/>
      <c r="K2476" s="56"/>
      <c r="M2476" s="55"/>
      <c r="N2476" s="55"/>
    </row>
    <row r="2477" ht="14.25" customHeight="1" spans="2:14">
      <c r="B2477" s="57"/>
      <c r="C2477" s="54"/>
      <c r="D2477" s="55"/>
      <c r="I2477" s="55"/>
      <c r="J2477" s="56"/>
      <c r="K2477" s="56"/>
      <c r="M2477" s="55"/>
      <c r="N2477" s="55"/>
    </row>
    <row r="2478" ht="14.25" customHeight="1" spans="2:14">
      <c r="B2478" s="57"/>
      <c r="C2478" s="54"/>
      <c r="D2478" s="55"/>
      <c r="I2478" s="55"/>
      <c r="J2478" s="56"/>
      <c r="K2478" s="56"/>
      <c r="M2478" s="55"/>
      <c r="N2478" s="55"/>
    </row>
    <row r="2479" ht="14.25" customHeight="1" spans="2:14">
      <c r="B2479" s="57"/>
      <c r="C2479" s="54"/>
      <c r="D2479" s="55"/>
      <c r="I2479" s="55"/>
      <c r="J2479" s="56"/>
      <c r="K2479" s="56"/>
      <c r="M2479" s="55"/>
      <c r="N2479" s="55"/>
    </row>
    <row r="2480" ht="14.25" customHeight="1" spans="2:14">
      <c r="B2480" s="57"/>
      <c r="C2480" s="54"/>
      <c r="D2480" s="55"/>
      <c r="I2480" s="55"/>
      <c r="J2480" s="56"/>
      <c r="K2480" s="56"/>
      <c r="M2480" s="55"/>
      <c r="N2480" s="55"/>
    </row>
    <row r="2481" ht="14.25" customHeight="1" spans="2:14">
      <c r="B2481" s="57"/>
      <c r="C2481" s="54"/>
      <c r="D2481" s="55"/>
      <c r="I2481" s="55"/>
      <c r="J2481" s="56"/>
      <c r="K2481" s="56"/>
      <c r="M2481" s="55"/>
      <c r="N2481" s="55"/>
    </row>
    <row r="2482" ht="14.25" customHeight="1" spans="2:14">
      <c r="B2482" s="57"/>
      <c r="C2482" s="54"/>
      <c r="D2482" s="55"/>
      <c r="I2482" s="55"/>
      <c r="J2482" s="56"/>
      <c r="K2482" s="56"/>
      <c r="M2482" s="55"/>
      <c r="N2482" s="55"/>
    </row>
    <row r="2483" ht="14.25" customHeight="1" spans="2:14">
      <c r="B2483" s="57"/>
      <c r="C2483" s="54"/>
      <c r="D2483" s="55"/>
      <c r="I2483" s="55"/>
      <c r="J2483" s="56"/>
      <c r="K2483" s="56"/>
      <c r="M2483" s="55"/>
      <c r="N2483" s="55"/>
    </row>
    <row r="2484" ht="14.25" customHeight="1" spans="2:14">
      <c r="B2484" s="57"/>
      <c r="C2484" s="54"/>
      <c r="D2484" s="55"/>
      <c r="I2484" s="55"/>
      <c r="J2484" s="56"/>
      <c r="K2484" s="56"/>
      <c r="M2484" s="55"/>
      <c r="N2484" s="55"/>
    </row>
    <row r="2485" ht="14.25" customHeight="1" spans="2:14">
      <c r="B2485" s="57"/>
      <c r="C2485" s="54"/>
      <c r="D2485" s="55"/>
      <c r="I2485" s="55"/>
      <c r="J2485" s="56"/>
      <c r="K2485" s="56"/>
      <c r="M2485" s="55"/>
      <c r="N2485" s="55"/>
    </row>
    <row r="2486" ht="14.25" customHeight="1" spans="2:14">
      <c r="B2486" s="57"/>
      <c r="C2486" s="54"/>
      <c r="D2486" s="55"/>
      <c r="I2486" s="55"/>
      <c r="J2486" s="56"/>
      <c r="K2486" s="56"/>
      <c r="M2486" s="55"/>
      <c r="N2486" s="55"/>
    </row>
    <row r="2487" ht="14.25" customHeight="1" spans="2:14">
      <c r="B2487" s="57"/>
      <c r="C2487" s="54"/>
      <c r="D2487" s="55"/>
      <c r="I2487" s="55"/>
      <c r="J2487" s="56"/>
      <c r="K2487" s="56"/>
      <c r="M2487" s="55"/>
      <c r="N2487" s="55"/>
    </row>
    <row r="2488" ht="14.25" customHeight="1" spans="2:14">
      <c r="B2488" s="57"/>
      <c r="C2488" s="54"/>
      <c r="D2488" s="55"/>
      <c r="I2488" s="55"/>
      <c r="J2488" s="56"/>
      <c r="K2488" s="56"/>
      <c r="M2488" s="55"/>
      <c r="N2488" s="55"/>
    </row>
    <row r="2489" ht="14.25" customHeight="1" spans="2:14">
      <c r="B2489" s="57"/>
      <c r="C2489" s="54"/>
      <c r="D2489" s="55"/>
      <c r="I2489" s="55"/>
      <c r="J2489" s="56"/>
      <c r="K2489" s="56"/>
      <c r="M2489" s="55"/>
      <c r="N2489" s="55"/>
    </row>
    <row r="2490" ht="14.25" customHeight="1" spans="2:14">
      <c r="B2490" s="57"/>
      <c r="C2490" s="54"/>
      <c r="D2490" s="55"/>
      <c r="I2490" s="55"/>
      <c r="J2490" s="56"/>
      <c r="K2490" s="56"/>
      <c r="M2490" s="55"/>
      <c r="N2490" s="55"/>
    </row>
    <row r="2491" ht="14.25" customHeight="1" spans="2:14">
      <c r="B2491" s="57"/>
      <c r="C2491" s="54"/>
      <c r="D2491" s="55"/>
      <c r="I2491" s="55"/>
      <c r="J2491" s="56"/>
      <c r="K2491" s="56"/>
      <c r="M2491" s="55"/>
      <c r="N2491" s="55"/>
    </row>
    <row r="2492" ht="14.25" customHeight="1" spans="2:14">
      <c r="B2492" s="57"/>
      <c r="C2492" s="54"/>
      <c r="D2492" s="55"/>
      <c r="I2492" s="55"/>
      <c r="J2492" s="56"/>
      <c r="K2492" s="56"/>
      <c r="M2492" s="55"/>
      <c r="N2492" s="55"/>
    </row>
    <row r="2493" ht="14.25" customHeight="1" spans="2:14">
      <c r="B2493" s="57"/>
      <c r="C2493" s="54"/>
      <c r="D2493" s="55"/>
      <c r="I2493" s="55"/>
      <c r="J2493" s="56"/>
      <c r="K2493" s="56"/>
      <c r="M2493" s="55"/>
      <c r="N2493" s="55"/>
    </row>
    <row r="2494" ht="14.25" customHeight="1" spans="2:14">
      <c r="B2494" s="57"/>
      <c r="C2494" s="54"/>
      <c r="D2494" s="55"/>
      <c r="I2494" s="55"/>
      <c r="J2494" s="56"/>
      <c r="K2494" s="56"/>
      <c r="M2494" s="55"/>
      <c r="N2494" s="55"/>
    </row>
    <row r="2495" ht="14.25" customHeight="1" spans="2:14">
      <c r="B2495" s="57"/>
      <c r="C2495" s="54"/>
      <c r="D2495" s="55"/>
      <c r="I2495" s="55"/>
      <c r="J2495" s="56"/>
      <c r="K2495" s="56"/>
      <c r="M2495" s="55"/>
      <c r="N2495" s="55"/>
    </row>
    <row r="2496" ht="14.25" customHeight="1" spans="2:14">
      <c r="B2496" s="57"/>
      <c r="C2496" s="54"/>
      <c r="D2496" s="55"/>
      <c r="I2496" s="55"/>
      <c r="J2496" s="56"/>
      <c r="K2496" s="56"/>
      <c r="M2496" s="55"/>
      <c r="N2496" s="55"/>
    </row>
    <row r="2497" ht="14.25" customHeight="1" spans="2:14">
      <c r="B2497" s="57"/>
      <c r="C2497" s="54"/>
      <c r="D2497" s="55"/>
      <c r="I2497" s="55"/>
      <c r="J2497" s="56"/>
      <c r="K2497" s="56"/>
      <c r="M2497" s="55"/>
      <c r="N2497" s="55"/>
    </row>
    <row r="2498" ht="14.25" customHeight="1" spans="2:14">
      <c r="B2498" s="57"/>
      <c r="C2498" s="54"/>
      <c r="D2498" s="55"/>
      <c r="I2498" s="55"/>
      <c r="J2498" s="56"/>
      <c r="K2498" s="56"/>
      <c r="M2498" s="55"/>
      <c r="N2498" s="55"/>
    </row>
    <row r="2499" ht="14.25" customHeight="1" spans="2:14">
      <c r="B2499" s="57"/>
      <c r="C2499" s="54"/>
      <c r="D2499" s="55"/>
      <c r="I2499" s="55"/>
      <c r="J2499" s="56"/>
      <c r="K2499" s="56"/>
      <c r="M2499" s="55"/>
      <c r="N2499" s="55"/>
    </row>
    <row r="2500" ht="14.25" customHeight="1" spans="2:14">
      <c r="B2500" s="57"/>
      <c r="C2500" s="54"/>
      <c r="D2500" s="55"/>
      <c r="I2500" s="55"/>
      <c r="J2500" s="56"/>
      <c r="K2500" s="56"/>
      <c r="M2500" s="55"/>
      <c r="N2500" s="55"/>
    </row>
    <row r="2501" ht="14.25" customHeight="1" spans="2:14">
      <c r="B2501" s="57"/>
      <c r="C2501" s="54"/>
      <c r="D2501" s="55"/>
      <c r="I2501" s="55"/>
      <c r="J2501" s="56"/>
      <c r="K2501" s="56"/>
      <c r="M2501" s="55"/>
      <c r="N2501" s="55"/>
    </row>
    <row r="2502" ht="14.25" customHeight="1" spans="2:14">
      <c r="B2502" s="57"/>
      <c r="C2502" s="54"/>
      <c r="D2502" s="55"/>
      <c r="I2502" s="55"/>
      <c r="J2502" s="56"/>
      <c r="K2502" s="56"/>
      <c r="M2502" s="55"/>
      <c r="N2502" s="55"/>
    </row>
    <row r="2503" ht="14.25" customHeight="1" spans="2:14">
      <c r="B2503" s="57"/>
      <c r="C2503" s="54"/>
      <c r="D2503" s="55"/>
      <c r="I2503" s="55"/>
      <c r="J2503" s="56"/>
      <c r="K2503" s="56"/>
      <c r="M2503" s="55"/>
      <c r="N2503" s="55"/>
    </row>
    <row r="2504" ht="14.25" customHeight="1" spans="2:14">
      <c r="B2504" s="57"/>
      <c r="C2504" s="54"/>
      <c r="D2504" s="55"/>
      <c r="I2504" s="55"/>
      <c r="J2504" s="56"/>
      <c r="K2504" s="56"/>
      <c r="M2504" s="55"/>
      <c r="N2504" s="55"/>
    </row>
    <row r="2505" ht="14.25" customHeight="1" spans="2:14">
      <c r="B2505" s="57"/>
      <c r="C2505" s="54"/>
      <c r="D2505" s="55"/>
      <c r="I2505" s="55"/>
      <c r="J2505" s="56"/>
      <c r="K2505" s="56"/>
      <c r="M2505" s="55"/>
      <c r="N2505" s="55"/>
    </row>
    <row r="2506" ht="14.25" customHeight="1" spans="2:14">
      <c r="B2506" s="57"/>
      <c r="C2506" s="54"/>
      <c r="D2506" s="55"/>
      <c r="I2506" s="55"/>
      <c r="J2506" s="56"/>
      <c r="K2506" s="56"/>
      <c r="M2506" s="55"/>
      <c r="N2506" s="55"/>
    </row>
    <row r="2507" ht="14.25" customHeight="1" spans="2:14">
      <c r="B2507" s="57"/>
      <c r="C2507" s="54"/>
      <c r="D2507" s="55"/>
      <c r="I2507" s="55"/>
      <c r="J2507" s="56"/>
      <c r="K2507" s="56"/>
      <c r="M2507" s="55"/>
      <c r="N2507" s="55"/>
    </row>
    <row r="2508" ht="14.25" customHeight="1" spans="2:14">
      <c r="B2508" s="57"/>
      <c r="C2508" s="54"/>
      <c r="D2508" s="55"/>
      <c r="I2508" s="55"/>
      <c r="J2508" s="56"/>
      <c r="K2508" s="56"/>
      <c r="M2508" s="55"/>
      <c r="N2508" s="55"/>
    </row>
    <row r="2509" ht="14.25" customHeight="1" spans="2:14">
      <c r="B2509" s="57"/>
      <c r="C2509" s="54"/>
      <c r="D2509" s="55"/>
      <c r="I2509" s="55"/>
      <c r="J2509" s="56"/>
      <c r="K2509" s="56"/>
      <c r="M2509" s="55"/>
      <c r="N2509" s="55"/>
    </row>
    <row r="2510" ht="14.25" customHeight="1" spans="2:14">
      <c r="B2510" s="57"/>
      <c r="C2510" s="54"/>
      <c r="D2510" s="55"/>
      <c r="I2510" s="55"/>
      <c r="J2510" s="56"/>
      <c r="K2510" s="56"/>
      <c r="M2510" s="55"/>
      <c r="N2510" s="55"/>
    </row>
    <row r="2511" ht="14.25" customHeight="1" spans="2:14">
      <c r="B2511" s="57"/>
      <c r="C2511" s="54"/>
      <c r="D2511" s="55"/>
      <c r="I2511" s="55"/>
      <c r="J2511" s="56"/>
      <c r="K2511" s="56"/>
      <c r="M2511" s="55"/>
      <c r="N2511" s="55"/>
    </row>
    <row r="2512" ht="14.25" customHeight="1" spans="2:14">
      <c r="B2512" s="57"/>
      <c r="C2512" s="54"/>
      <c r="D2512" s="55"/>
      <c r="I2512" s="55"/>
      <c r="J2512" s="56"/>
      <c r="K2512" s="56"/>
      <c r="M2512" s="55"/>
      <c r="N2512" s="55"/>
    </row>
    <row r="2513" ht="14.25" customHeight="1" spans="2:14">
      <c r="B2513" s="57"/>
      <c r="C2513" s="54"/>
      <c r="D2513" s="55"/>
      <c r="I2513" s="55"/>
      <c r="J2513" s="56"/>
      <c r="K2513" s="56"/>
      <c r="M2513" s="55"/>
      <c r="N2513" s="55"/>
    </row>
    <row r="2514" ht="14.25" customHeight="1" spans="2:14">
      <c r="B2514" s="57"/>
      <c r="C2514" s="54"/>
      <c r="D2514" s="55"/>
      <c r="I2514" s="55"/>
      <c r="J2514" s="56"/>
      <c r="K2514" s="56"/>
      <c r="M2514" s="55"/>
      <c r="N2514" s="55"/>
    </row>
    <row r="2515" ht="14.25" customHeight="1" spans="2:14">
      <c r="B2515" s="57"/>
      <c r="C2515" s="54"/>
      <c r="D2515" s="55"/>
      <c r="I2515" s="55"/>
      <c r="J2515" s="56"/>
      <c r="K2515" s="56"/>
      <c r="M2515" s="55"/>
      <c r="N2515" s="55"/>
    </row>
    <row r="2516" ht="14.25" customHeight="1" spans="2:14">
      <c r="B2516" s="57"/>
      <c r="C2516" s="54"/>
      <c r="D2516" s="55"/>
      <c r="I2516" s="55"/>
      <c r="J2516" s="56"/>
      <c r="K2516" s="56"/>
      <c r="M2516" s="55"/>
      <c r="N2516" s="55"/>
    </row>
    <row r="2517" ht="14.25" customHeight="1" spans="2:14">
      <c r="B2517" s="57"/>
      <c r="C2517" s="54"/>
      <c r="D2517" s="55"/>
      <c r="I2517" s="55"/>
      <c r="J2517" s="56"/>
      <c r="K2517" s="56"/>
      <c r="M2517" s="55"/>
      <c r="N2517" s="55"/>
    </row>
    <row r="2518" ht="14.25" customHeight="1" spans="2:14">
      <c r="B2518" s="57"/>
      <c r="C2518" s="54"/>
      <c r="D2518" s="55"/>
      <c r="I2518" s="55"/>
      <c r="J2518" s="56"/>
      <c r="K2518" s="56"/>
      <c r="M2518" s="55"/>
      <c r="N2518" s="55"/>
    </row>
    <row r="2519" ht="14.25" customHeight="1" spans="2:14">
      <c r="B2519" s="57"/>
      <c r="C2519" s="54"/>
      <c r="D2519" s="55"/>
      <c r="I2519" s="55"/>
      <c r="J2519" s="56"/>
      <c r="K2519" s="56"/>
      <c r="M2519" s="55"/>
      <c r="N2519" s="55"/>
    </row>
    <row r="2520" ht="14.25" customHeight="1" spans="2:14">
      <c r="B2520" s="57"/>
      <c r="C2520" s="54"/>
      <c r="D2520" s="55"/>
      <c r="I2520" s="55"/>
      <c r="J2520" s="56"/>
      <c r="K2520" s="56"/>
      <c r="M2520" s="55"/>
      <c r="N2520" s="55"/>
    </row>
    <row r="2521" ht="14.25" customHeight="1" spans="2:14">
      <c r="B2521" s="57"/>
      <c r="C2521" s="54"/>
      <c r="D2521" s="55"/>
      <c r="I2521" s="55"/>
      <c r="J2521" s="56"/>
      <c r="K2521" s="56"/>
      <c r="M2521" s="55"/>
      <c r="N2521" s="55"/>
    </row>
    <row r="2522" ht="14.25" customHeight="1" spans="2:14">
      <c r="B2522" s="57"/>
      <c r="C2522" s="54"/>
      <c r="D2522" s="55"/>
      <c r="I2522" s="55"/>
      <c r="J2522" s="56"/>
      <c r="K2522" s="56"/>
      <c r="M2522" s="55"/>
      <c r="N2522" s="55"/>
    </row>
    <row r="2523" ht="14.25" customHeight="1" spans="2:14">
      <c r="B2523" s="57"/>
      <c r="C2523" s="54"/>
      <c r="D2523" s="55"/>
      <c r="I2523" s="55"/>
      <c r="J2523" s="56"/>
      <c r="K2523" s="56"/>
      <c r="M2523" s="55"/>
      <c r="N2523" s="55"/>
    </row>
    <row r="2524" ht="14.25" customHeight="1" spans="2:14">
      <c r="B2524" s="57"/>
      <c r="C2524" s="54"/>
      <c r="D2524" s="55"/>
      <c r="I2524" s="55"/>
      <c r="J2524" s="56"/>
      <c r="K2524" s="56"/>
      <c r="M2524" s="55"/>
      <c r="N2524" s="55"/>
    </row>
    <row r="2525" ht="14.25" customHeight="1" spans="2:14">
      <c r="B2525" s="57"/>
      <c r="C2525" s="54"/>
      <c r="D2525" s="55"/>
      <c r="I2525" s="55"/>
      <c r="J2525" s="56"/>
      <c r="K2525" s="56"/>
      <c r="M2525" s="55"/>
      <c r="N2525" s="55"/>
    </row>
    <row r="2526" ht="14.25" customHeight="1" spans="2:14">
      <c r="B2526" s="57"/>
      <c r="C2526" s="54"/>
      <c r="D2526" s="55"/>
      <c r="I2526" s="55"/>
      <c r="J2526" s="56"/>
      <c r="K2526" s="56"/>
      <c r="M2526" s="55"/>
      <c r="N2526" s="55"/>
    </row>
    <row r="2527" ht="14.25" customHeight="1" spans="2:14">
      <c r="B2527" s="57"/>
      <c r="C2527" s="54"/>
      <c r="D2527" s="55"/>
      <c r="I2527" s="55"/>
      <c r="J2527" s="56"/>
      <c r="K2527" s="56"/>
      <c r="M2527" s="55"/>
      <c r="N2527" s="55"/>
    </row>
    <row r="2528" ht="14.25" customHeight="1" spans="2:14">
      <c r="B2528" s="57"/>
      <c r="C2528" s="54"/>
      <c r="D2528" s="55"/>
      <c r="I2528" s="55"/>
      <c r="J2528" s="56"/>
      <c r="K2528" s="56"/>
      <c r="M2528" s="55"/>
      <c r="N2528" s="55"/>
    </row>
    <row r="2529" ht="14.25" customHeight="1" spans="2:14">
      <c r="B2529" s="57"/>
      <c r="C2529" s="54"/>
      <c r="D2529" s="55"/>
      <c r="I2529" s="55"/>
      <c r="J2529" s="56"/>
      <c r="K2529" s="56"/>
      <c r="M2529" s="55"/>
      <c r="N2529" s="55"/>
    </row>
    <row r="2530" ht="14.25" customHeight="1" spans="2:14">
      <c r="B2530" s="57"/>
      <c r="C2530" s="54"/>
      <c r="D2530" s="55"/>
      <c r="I2530" s="55"/>
      <c r="J2530" s="56"/>
      <c r="K2530" s="56"/>
      <c r="M2530" s="55"/>
      <c r="N2530" s="55"/>
    </row>
    <row r="2531" ht="14.25" customHeight="1" spans="2:14">
      <c r="B2531" s="57"/>
      <c r="C2531" s="54"/>
      <c r="D2531" s="55"/>
      <c r="I2531" s="55"/>
      <c r="J2531" s="56"/>
      <c r="K2531" s="56"/>
      <c r="M2531" s="55"/>
      <c r="N2531" s="55"/>
    </row>
    <row r="2532" ht="14.25" customHeight="1" spans="2:14">
      <c r="B2532" s="57"/>
      <c r="C2532" s="54"/>
      <c r="D2532" s="55"/>
      <c r="I2532" s="55"/>
      <c r="J2532" s="56"/>
      <c r="K2532" s="56"/>
      <c r="M2532" s="55"/>
      <c r="N2532" s="55"/>
    </row>
    <row r="2533" ht="14.25" customHeight="1" spans="2:14">
      <c r="B2533" s="57"/>
      <c r="C2533" s="54"/>
      <c r="D2533" s="55"/>
      <c r="I2533" s="55"/>
      <c r="J2533" s="56"/>
      <c r="K2533" s="56"/>
      <c r="M2533" s="55"/>
      <c r="N2533" s="55"/>
    </row>
    <row r="2534" ht="14.25" customHeight="1" spans="2:14">
      <c r="B2534" s="57"/>
      <c r="C2534" s="54"/>
      <c r="D2534" s="55"/>
      <c r="I2534" s="55"/>
      <c r="J2534" s="56"/>
      <c r="K2534" s="56"/>
      <c r="M2534" s="55"/>
      <c r="N2534" s="55"/>
    </row>
    <row r="2535" ht="14.25" customHeight="1" spans="2:14">
      <c r="B2535" s="57"/>
      <c r="C2535" s="54"/>
      <c r="D2535" s="55"/>
      <c r="I2535" s="55"/>
      <c r="J2535" s="56"/>
      <c r="K2535" s="56"/>
      <c r="M2535" s="55"/>
      <c r="N2535" s="55"/>
    </row>
    <row r="2536" ht="14.25" customHeight="1" spans="2:14">
      <c r="B2536" s="57"/>
      <c r="C2536" s="54"/>
      <c r="D2536" s="55"/>
      <c r="I2536" s="55"/>
      <c r="J2536" s="56"/>
      <c r="K2536" s="56"/>
      <c r="M2536" s="55"/>
      <c r="N2536" s="55"/>
    </row>
    <row r="2537" ht="14.25" customHeight="1" spans="2:14">
      <c r="B2537" s="57"/>
      <c r="C2537" s="54"/>
      <c r="D2537" s="55"/>
      <c r="I2537" s="55"/>
      <c r="J2537" s="56"/>
      <c r="K2537" s="56"/>
      <c r="M2537" s="55"/>
      <c r="N2537" s="55"/>
    </row>
    <row r="2538" ht="14.25" customHeight="1" spans="2:14">
      <c r="B2538" s="57"/>
      <c r="C2538" s="54"/>
      <c r="D2538" s="55"/>
      <c r="I2538" s="55"/>
      <c r="J2538" s="56"/>
      <c r="K2538" s="56"/>
      <c r="M2538" s="55"/>
      <c r="N2538" s="55"/>
    </row>
    <row r="2539" ht="14.25" customHeight="1" spans="2:14">
      <c r="B2539" s="57"/>
      <c r="C2539" s="54"/>
      <c r="D2539" s="55"/>
      <c r="I2539" s="55"/>
      <c r="J2539" s="56"/>
      <c r="K2539" s="56"/>
      <c r="M2539" s="55"/>
      <c r="N2539" s="55"/>
    </row>
    <row r="2540" ht="14.25" customHeight="1" spans="2:14">
      <c r="B2540" s="57"/>
      <c r="C2540" s="54"/>
      <c r="D2540" s="55"/>
      <c r="I2540" s="55"/>
      <c r="J2540" s="56"/>
      <c r="K2540" s="56"/>
      <c r="M2540" s="55"/>
      <c r="N2540" s="55"/>
    </row>
    <row r="2541" ht="14.25" customHeight="1" spans="2:14">
      <c r="B2541" s="57"/>
      <c r="C2541" s="54"/>
      <c r="D2541" s="55"/>
      <c r="I2541" s="55"/>
      <c r="J2541" s="56"/>
      <c r="K2541" s="56"/>
      <c r="M2541" s="55"/>
      <c r="N2541" s="55"/>
    </row>
    <row r="2542" ht="14.25" customHeight="1" spans="2:14">
      <c r="B2542" s="57"/>
      <c r="C2542" s="54"/>
      <c r="D2542" s="55"/>
      <c r="I2542" s="55"/>
      <c r="J2542" s="56"/>
      <c r="K2542" s="56"/>
      <c r="M2542" s="55"/>
      <c r="N2542" s="55"/>
    </row>
    <row r="2543" ht="14.25" customHeight="1" spans="2:14">
      <c r="B2543" s="57"/>
      <c r="C2543" s="54"/>
      <c r="D2543" s="55"/>
      <c r="I2543" s="55"/>
      <c r="J2543" s="56"/>
      <c r="K2543" s="56"/>
      <c r="M2543" s="55"/>
      <c r="N2543" s="55"/>
    </row>
    <row r="2544" ht="14.25" customHeight="1" spans="2:14">
      <c r="B2544" s="57"/>
      <c r="C2544" s="54"/>
      <c r="D2544" s="55"/>
      <c r="I2544" s="55"/>
      <c r="J2544" s="56"/>
      <c r="K2544" s="56"/>
      <c r="M2544" s="55"/>
      <c r="N2544" s="55"/>
    </row>
    <row r="2545" ht="14.25" customHeight="1" spans="2:14">
      <c r="B2545" s="57"/>
      <c r="C2545" s="54"/>
      <c r="D2545" s="55"/>
      <c r="I2545" s="55"/>
      <c r="J2545" s="56"/>
      <c r="K2545" s="56"/>
      <c r="M2545" s="55"/>
      <c r="N2545" s="55"/>
    </row>
    <row r="2546" ht="14.25" customHeight="1" spans="2:14">
      <c r="B2546" s="57"/>
      <c r="C2546" s="54"/>
      <c r="D2546" s="55"/>
      <c r="I2546" s="55"/>
      <c r="J2546" s="56"/>
      <c r="K2546" s="56"/>
      <c r="M2546" s="55"/>
      <c r="N2546" s="55"/>
    </row>
    <row r="2547" ht="14.25" customHeight="1" spans="2:14">
      <c r="B2547" s="57"/>
      <c r="C2547" s="54"/>
      <c r="D2547" s="55"/>
      <c r="I2547" s="55"/>
      <c r="J2547" s="56"/>
      <c r="K2547" s="56"/>
      <c r="M2547" s="55"/>
      <c r="N2547" s="55"/>
    </row>
    <row r="2548" ht="14.25" customHeight="1" spans="2:14">
      <c r="B2548" s="57"/>
      <c r="C2548" s="54"/>
      <c r="D2548" s="55"/>
      <c r="I2548" s="55"/>
      <c r="J2548" s="56"/>
      <c r="K2548" s="56"/>
      <c r="M2548" s="55"/>
      <c r="N2548" s="55"/>
    </row>
    <row r="2549" ht="14.25" customHeight="1" spans="2:14">
      <c r="B2549" s="57"/>
      <c r="C2549" s="54"/>
      <c r="D2549" s="55"/>
      <c r="I2549" s="55"/>
      <c r="J2549" s="56"/>
      <c r="K2549" s="56"/>
      <c r="M2549" s="55"/>
      <c r="N2549" s="55"/>
    </row>
    <row r="2550" ht="14.25" customHeight="1" spans="2:14">
      <c r="B2550" s="57"/>
      <c r="C2550" s="54"/>
      <c r="D2550" s="55"/>
      <c r="I2550" s="55"/>
      <c r="J2550" s="56"/>
      <c r="K2550" s="56"/>
      <c r="M2550" s="55"/>
      <c r="N2550" s="55"/>
    </row>
    <row r="2551" ht="14.25" customHeight="1" spans="2:14">
      <c r="B2551" s="57"/>
      <c r="C2551" s="54"/>
      <c r="D2551" s="55"/>
      <c r="I2551" s="55"/>
      <c r="J2551" s="56"/>
      <c r="K2551" s="56"/>
      <c r="M2551" s="55"/>
      <c r="N2551" s="55"/>
    </row>
    <row r="2552" ht="14.25" customHeight="1" spans="2:14">
      <c r="B2552" s="57"/>
      <c r="C2552" s="54"/>
      <c r="D2552" s="55"/>
      <c r="I2552" s="55"/>
      <c r="J2552" s="56"/>
      <c r="K2552" s="56"/>
      <c r="M2552" s="55"/>
      <c r="N2552" s="55"/>
    </row>
    <row r="2553" ht="14.25" customHeight="1" spans="2:14">
      <c r="B2553" s="57"/>
      <c r="C2553" s="54"/>
      <c r="D2553" s="55"/>
      <c r="I2553" s="55"/>
      <c r="J2553" s="56"/>
      <c r="K2553" s="56"/>
      <c r="M2553" s="55"/>
      <c r="N2553" s="55"/>
    </row>
    <row r="2554" ht="14.25" customHeight="1" spans="2:14">
      <c r="B2554" s="57"/>
      <c r="C2554" s="54"/>
      <c r="D2554" s="55"/>
      <c r="I2554" s="55"/>
      <c r="J2554" s="56"/>
      <c r="K2554" s="56"/>
      <c r="M2554" s="55"/>
      <c r="N2554" s="55"/>
    </row>
    <row r="2555" ht="14.25" customHeight="1" spans="2:14">
      <c r="B2555" s="57"/>
      <c r="C2555" s="54"/>
      <c r="D2555" s="55"/>
      <c r="I2555" s="55"/>
      <c r="J2555" s="56"/>
      <c r="K2555" s="56"/>
      <c r="M2555" s="55"/>
      <c r="N2555" s="55"/>
    </row>
    <row r="2556" ht="14.25" customHeight="1" spans="2:14">
      <c r="B2556" s="57"/>
      <c r="C2556" s="54"/>
      <c r="D2556" s="55"/>
      <c r="I2556" s="55"/>
      <c r="J2556" s="56"/>
      <c r="K2556" s="56"/>
      <c r="M2556" s="55"/>
      <c r="N2556" s="55"/>
    </row>
    <row r="2557" ht="14.25" customHeight="1" spans="2:14">
      <c r="B2557" s="57"/>
      <c r="C2557" s="54"/>
      <c r="D2557" s="55"/>
      <c r="I2557" s="55"/>
      <c r="J2557" s="56"/>
      <c r="K2557" s="56"/>
      <c r="M2557" s="55"/>
      <c r="N2557" s="55"/>
    </row>
    <row r="2558" ht="14.25" customHeight="1" spans="2:14">
      <c r="B2558" s="57"/>
      <c r="C2558" s="54"/>
      <c r="D2558" s="55"/>
      <c r="I2558" s="55"/>
      <c r="J2558" s="56"/>
      <c r="K2558" s="56"/>
      <c r="M2558" s="55"/>
      <c r="N2558" s="55"/>
    </row>
    <row r="2559" ht="14.25" customHeight="1" spans="2:14">
      <c r="B2559" s="57"/>
      <c r="C2559" s="54"/>
      <c r="D2559" s="55"/>
      <c r="I2559" s="55"/>
      <c r="J2559" s="56"/>
      <c r="K2559" s="56"/>
      <c r="M2559" s="55"/>
      <c r="N2559" s="55"/>
    </row>
    <row r="2560" ht="14.25" customHeight="1" spans="2:14">
      <c r="B2560" s="57"/>
      <c r="C2560" s="54"/>
      <c r="D2560" s="55"/>
      <c r="I2560" s="55"/>
      <c r="J2560" s="56"/>
      <c r="K2560" s="56"/>
      <c r="M2560" s="55"/>
      <c r="N2560" s="55"/>
    </row>
    <row r="2561" ht="14.25" customHeight="1" spans="2:14">
      <c r="B2561" s="57"/>
      <c r="C2561" s="54"/>
      <c r="D2561" s="55"/>
      <c r="I2561" s="55"/>
      <c r="J2561" s="56"/>
      <c r="K2561" s="56"/>
      <c r="M2561" s="55"/>
      <c r="N2561" s="55"/>
    </row>
    <row r="2562" ht="14.25" customHeight="1" spans="2:14">
      <c r="B2562" s="57"/>
      <c r="C2562" s="54"/>
      <c r="D2562" s="55"/>
      <c r="I2562" s="55"/>
      <c r="J2562" s="56"/>
      <c r="K2562" s="56"/>
      <c r="M2562" s="55"/>
      <c r="N2562" s="55"/>
    </row>
    <row r="2563" ht="14.25" customHeight="1" spans="2:14">
      <c r="B2563" s="57"/>
      <c r="C2563" s="54"/>
      <c r="D2563" s="55"/>
      <c r="I2563" s="55"/>
      <c r="J2563" s="56"/>
      <c r="K2563" s="56"/>
      <c r="M2563" s="55"/>
      <c r="N2563" s="55"/>
    </row>
    <row r="2564" ht="14.25" customHeight="1" spans="2:14">
      <c r="B2564" s="57"/>
      <c r="C2564" s="54"/>
      <c r="D2564" s="55"/>
      <c r="I2564" s="55"/>
      <c r="J2564" s="56"/>
      <c r="K2564" s="56"/>
      <c r="M2564" s="55"/>
      <c r="N2564" s="55"/>
    </row>
    <row r="2565" ht="14.25" customHeight="1" spans="2:14">
      <c r="B2565" s="57"/>
      <c r="C2565" s="54"/>
      <c r="D2565" s="55"/>
      <c r="I2565" s="55"/>
      <c r="J2565" s="56"/>
      <c r="K2565" s="56"/>
      <c r="M2565" s="55"/>
      <c r="N2565" s="55"/>
    </row>
    <row r="2566" ht="14.25" customHeight="1" spans="2:14">
      <c r="B2566" s="57"/>
      <c r="C2566" s="54"/>
      <c r="D2566" s="55"/>
      <c r="I2566" s="55"/>
      <c r="J2566" s="56"/>
      <c r="K2566" s="56"/>
      <c r="M2566" s="55"/>
      <c r="N2566" s="55"/>
    </row>
    <row r="2567" ht="14.25" customHeight="1" spans="2:14">
      <c r="B2567" s="57"/>
      <c r="C2567" s="54"/>
      <c r="D2567" s="55"/>
      <c r="I2567" s="55"/>
      <c r="J2567" s="56"/>
      <c r="K2567" s="56"/>
      <c r="M2567" s="55"/>
      <c r="N2567" s="55"/>
    </row>
    <row r="2568" ht="14.25" customHeight="1" spans="2:14">
      <c r="B2568" s="57"/>
      <c r="C2568" s="54"/>
      <c r="D2568" s="55"/>
      <c r="I2568" s="55"/>
      <c r="J2568" s="56"/>
      <c r="K2568" s="56"/>
      <c r="M2568" s="55"/>
      <c r="N2568" s="55"/>
    </row>
    <row r="2569" ht="14.25" customHeight="1" spans="2:14">
      <c r="B2569" s="57"/>
      <c r="C2569" s="54"/>
      <c r="D2569" s="55"/>
      <c r="I2569" s="55"/>
      <c r="J2569" s="56"/>
      <c r="K2569" s="56"/>
      <c r="M2569" s="55"/>
      <c r="N2569" s="55"/>
    </row>
    <row r="2570" ht="14.25" customHeight="1" spans="2:14">
      <c r="B2570" s="57"/>
      <c r="C2570" s="54"/>
      <c r="D2570" s="55"/>
      <c r="I2570" s="55"/>
      <c r="J2570" s="56"/>
      <c r="K2570" s="56"/>
      <c r="M2570" s="55"/>
      <c r="N2570" s="55"/>
    </row>
    <row r="2571" ht="14.25" customHeight="1" spans="2:14">
      <c r="B2571" s="57"/>
      <c r="C2571" s="54"/>
      <c r="D2571" s="55"/>
      <c r="I2571" s="55"/>
      <c r="J2571" s="56"/>
      <c r="K2571" s="56"/>
      <c r="M2571" s="55"/>
      <c r="N2571" s="55"/>
    </row>
    <row r="2572" ht="14.25" customHeight="1" spans="2:14">
      <c r="B2572" s="57"/>
      <c r="C2572" s="54"/>
      <c r="D2572" s="55"/>
      <c r="I2572" s="55"/>
      <c r="J2572" s="56"/>
      <c r="K2572" s="56"/>
      <c r="M2572" s="55"/>
      <c r="N2572" s="55"/>
    </row>
    <row r="2573" ht="14.25" customHeight="1" spans="2:14">
      <c r="B2573" s="57"/>
      <c r="C2573" s="54"/>
      <c r="D2573" s="55"/>
      <c r="I2573" s="55"/>
      <c r="J2573" s="56"/>
      <c r="K2573" s="56"/>
      <c r="M2573" s="55"/>
      <c r="N2573" s="55"/>
    </row>
    <row r="2574" ht="14.25" customHeight="1" spans="2:14">
      <c r="B2574" s="57"/>
      <c r="C2574" s="54"/>
      <c r="D2574" s="55"/>
      <c r="I2574" s="55"/>
      <c r="J2574" s="56"/>
      <c r="K2574" s="56"/>
      <c r="M2574" s="55"/>
      <c r="N2574" s="55"/>
    </row>
    <row r="2575" ht="14.25" customHeight="1" spans="2:14">
      <c r="B2575" s="57"/>
      <c r="C2575" s="54"/>
      <c r="D2575" s="55"/>
      <c r="I2575" s="55"/>
      <c r="J2575" s="56"/>
      <c r="K2575" s="56"/>
      <c r="M2575" s="55"/>
      <c r="N2575" s="55"/>
    </row>
    <row r="2576" ht="14.25" customHeight="1" spans="2:14">
      <c r="B2576" s="57"/>
      <c r="C2576" s="54"/>
      <c r="D2576" s="55"/>
      <c r="I2576" s="55"/>
      <c r="J2576" s="56"/>
      <c r="K2576" s="56"/>
      <c r="M2576" s="55"/>
      <c r="N2576" s="55"/>
    </row>
    <row r="2577" ht="14.25" customHeight="1" spans="2:14">
      <c r="B2577" s="57"/>
      <c r="C2577" s="54"/>
      <c r="D2577" s="55"/>
      <c r="I2577" s="55"/>
      <c r="J2577" s="56"/>
      <c r="K2577" s="56"/>
      <c r="M2577" s="55"/>
      <c r="N2577" s="55"/>
    </row>
    <row r="2578" ht="14.25" customHeight="1" spans="2:14">
      <c r="B2578" s="57"/>
      <c r="C2578" s="54"/>
      <c r="D2578" s="55"/>
      <c r="I2578" s="55"/>
      <c r="J2578" s="56"/>
      <c r="K2578" s="56"/>
      <c r="M2578" s="55"/>
      <c r="N2578" s="55"/>
    </row>
    <row r="2579" ht="14.25" customHeight="1" spans="2:14">
      <c r="B2579" s="57"/>
      <c r="C2579" s="54"/>
      <c r="D2579" s="55"/>
      <c r="I2579" s="55"/>
      <c r="J2579" s="56"/>
      <c r="K2579" s="56"/>
      <c r="M2579" s="55"/>
      <c r="N2579" s="55"/>
    </row>
    <row r="2580" ht="14.25" customHeight="1" spans="2:14">
      <c r="B2580" s="57"/>
      <c r="C2580" s="54"/>
      <c r="D2580" s="55"/>
      <c r="I2580" s="55"/>
      <c r="J2580" s="56"/>
      <c r="K2580" s="56"/>
      <c r="M2580" s="55"/>
      <c r="N2580" s="55"/>
    </row>
    <row r="2581" ht="14.25" customHeight="1" spans="2:14">
      <c r="B2581" s="57"/>
      <c r="C2581" s="54"/>
      <c r="D2581" s="55"/>
      <c r="I2581" s="55"/>
      <c r="J2581" s="56"/>
      <c r="K2581" s="56"/>
      <c r="M2581" s="55"/>
      <c r="N2581" s="55"/>
    </row>
    <row r="2582" ht="14.25" customHeight="1" spans="2:14">
      <c r="B2582" s="57"/>
      <c r="C2582" s="54"/>
      <c r="D2582" s="55"/>
      <c r="I2582" s="55"/>
      <c r="J2582" s="56"/>
      <c r="K2582" s="56"/>
      <c r="M2582" s="55"/>
      <c r="N2582" s="55"/>
    </row>
    <row r="2583" ht="14.25" customHeight="1" spans="2:14">
      <c r="B2583" s="57"/>
      <c r="C2583" s="54"/>
      <c r="D2583" s="55"/>
      <c r="I2583" s="55"/>
      <c r="J2583" s="56"/>
      <c r="K2583" s="56"/>
      <c r="M2583" s="55"/>
      <c r="N2583" s="55"/>
    </row>
    <row r="2584" ht="14.25" customHeight="1" spans="2:14">
      <c r="B2584" s="57"/>
      <c r="C2584" s="54"/>
      <c r="D2584" s="55"/>
      <c r="I2584" s="55"/>
      <c r="J2584" s="56"/>
      <c r="K2584" s="56"/>
      <c r="M2584" s="55"/>
      <c r="N2584" s="55"/>
    </row>
    <row r="2585" ht="14.25" customHeight="1" spans="2:14">
      <c r="B2585" s="57"/>
      <c r="C2585" s="54"/>
      <c r="D2585" s="55"/>
      <c r="I2585" s="55"/>
      <c r="J2585" s="56"/>
      <c r="K2585" s="56"/>
      <c r="M2585" s="55"/>
      <c r="N2585" s="55"/>
    </row>
    <row r="2586" ht="14.25" customHeight="1" spans="2:14">
      <c r="B2586" s="57"/>
      <c r="C2586" s="54"/>
      <c r="D2586" s="55"/>
      <c r="I2586" s="55"/>
      <c r="J2586" s="56"/>
      <c r="K2586" s="56"/>
      <c r="M2586" s="55"/>
      <c r="N2586" s="55"/>
    </row>
    <row r="2587" ht="14.25" customHeight="1" spans="2:14">
      <c r="B2587" s="57"/>
      <c r="C2587" s="54"/>
      <c r="D2587" s="55"/>
      <c r="I2587" s="55"/>
      <c r="J2587" s="56"/>
      <c r="K2587" s="56"/>
      <c r="M2587" s="55"/>
      <c r="N2587" s="55"/>
    </row>
    <row r="2588" ht="14.25" customHeight="1" spans="2:14">
      <c r="B2588" s="57"/>
      <c r="C2588" s="54"/>
      <c r="D2588" s="55"/>
      <c r="I2588" s="55"/>
      <c r="J2588" s="56"/>
      <c r="K2588" s="56"/>
      <c r="M2588" s="55"/>
      <c r="N2588" s="55"/>
    </row>
    <row r="2589" ht="14.25" customHeight="1" spans="2:14">
      <c r="B2589" s="57"/>
      <c r="C2589" s="54"/>
      <c r="D2589" s="55"/>
      <c r="I2589" s="55"/>
      <c r="J2589" s="56"/>
      <c r="K2589" s="56"/>
      <c r="M2589" s="55"/>
      <c r="N2589" s="55"/>
    </row>
    <row r="2590" ht="14.25" customHeight="1" spans="2:14">
      <c r="B2590" s="57"/>
      <c r="C2590" s="54"/>
      <c r="D2590" s="55"/>
      <c r="I2590" s="55"/>
      <c r="J2590" s="56"/>
      <c r="K2590" s="56"/>
      <c r="M2590" s="55"/>
      <c r="N2590" s="55"/>
    </row>
    <row r="2591" ht="14.25" customHeight="1" spans="2:14">
      <c r="B2591" s="57"/>
      <c r="C2591" s="54"/>
      <c r="D2591" s="55"/>
      <c r="I2591" s="55"/>
      <c r="J2591" s="56"/>
      <c r="K2591" s="56"/>
      <c r="M2591" s="55"/>
      <c r="N2591" s="55"/>
    </row>
    <row r="2592" ht="14.25" customHeight="1" spans="2:14">
      <c r="B2592" s="57"/>
      <c r="C2592" s="54"/>
      <c r="D2592" s="55"/>
      <c r="I2592" s="55"/>
      <c r="J2592" s="56"/>
      <c r="K2592" s="56"/>
      <c r="M2592" s="55"/>
      <c r="N2592" s="55"/>
    </row>
    <row r="2593" ht="14.25" customHeight="1" spans="2:14">
      <c r="B2593" s="57"/>
      <c r="C2593" s="54"/>
      <c r="D2593" s="55"/>
      <c r="I2593" s="55"/>
      <c r="J2593" s="56"/>
      <c r="K2593" s="56"/>
      <c r="M2593" s="55"/>
      <c r="N2593" s="55"/>
    </row>
    <row r="2594" ht="14.25" customHeight="1" spans="2:14">
      <c r="B2594" s="57"/>
      <c r="C2594" s="54"/>
      <c r="D2594" s="55"/>
      <c r="I2594" s="55"/>
      <c r="J2594" s="56"/>
      <c r="K2594" s="56"/>
      <c r="M2594" s="55"/>
      <c r="N2594" s="55"/>
    </row>
    <row r="2595" ht="14.25" customHeight="1" spans="2:14">
      <c r="B2595" s="57"/>
      <c r="C2595" s="54"/>
      <c r="D2595" s="55"/>
      <c r="I2595" s="55"/>
      <c r="J2595" s="56"/>
      <c r="K2595" s="56"/>
      <c r="M2595" s="55"/>
      <c r="N2595" s="55"/>
    </row>
    <row r="2596" ht="14.25" customHeight="1" spans="2:14">
      <c r="B2596" s="57"/>
      <c r="C2596" s="54"/>
      <c r="D2596" s="55"/>
      <c r="I2596" s="55"/>
      <c r="J2596" s="56"/>
      <c r="K2596" s="56"/>
      <c r="M2596" s="55"/>
      <c r="N2596" s="55"/>
    </row>
    <row r="2597" ht="14.25" customHeight="1" spans="2:14">
      <c r="B2597" s="57"/>
      <c r="C2597" s="54"/>
      <c r="D2597" s="55"/>
      <c r="I2597" s="55"/>
      <c r="J2597" s="56"/>
      <c r="K2597" s="56"/>
      <c r="M2597" s="55"/>
      <c r="N2597" s="55"/>
    </row>
    <row r="2598" ht="14.25" customHeight="1" spans="2:14">
      <c r="B2598" s="57"/>
      <c r="C2598" s="54"/>
      <c r="D2598" s="55"/>
      <c r="I2598" s="55"/>
      <c r="J2598" s="56"/>
      <c r="K2598" s="56"/>
      <c r="M2598" s="55"/>
      <c r="N2598" s="55"/>
    </row>
    <row r="2599" ht="14.25" customHeight="1" spans="2:14">
      <c r="B2599" s="57"/>
      <c r="C2599" s="54"/>
      <c r="D2599" s="55"/>
      <c r="I2599" s="55"/>
      <c r="J2599" s="56"/>
      <c r="K2599" s="56"/>
      <c r="M2599" s="55"/>
      <c r="N2599" s="55"/>
    </row>
    <row r="2600" ht="14.25" customHeight="1" spans="2:14">
      <c r="B2600" s="57"/>
      <c r="C2600" s="54"/>
      <c r="D2600" s="55"/>
      <c r="I2600" s="55"/>
      <c r="J2600" s="56"/>
      <c r="K2600" s="56"/>
      <c r="M2600" s="55"/>
      <c r="N2600" s="55"/>
    </row>
    <row r="2601" ht="14.25" customHeight="1" spans="2:14">
      <c r="B2601" s="57"/>
      <c r="C2601" s="54"/>
      <c r="D2601" s="55"/>
      <c r="I2601" s="55"/>
      <c r="J2601" s="56"/>
      <c r="K2601" s="56"/>
      <c r="M2601" s="55"/>
      <c r="N2601" s="55"/>
    </row>
    <row r="2602" ht="14.25" customHeight="1" spans="2:14">
      <c r="B2602" s="57"/>
      <c r="C2602" s="54"/>
      <c r="D2602" s="55"/>
      <c r="I2602" s="55"/>
      <c r="J2602" s="56"/>
      <c r="K2602" s="56"/>
      <c r="M2602" s="55"/>
      <c r="N2602" s="55"/>
    </row>
    <row r="2603" ht="14.25" customHeight="1" spans="2:14">
      <c r="B2603" s="57"/>
      <c r="C2603" s="54"/>
      <c r="D2603" s="55"/>
      <c r="I2603" s="55"/>
      <c r="J2603" s="56"/>
      <c r="K2603" s="56"/>
      <c r="M2603" s="55"/>
      <c r="N2603" s="55"/>
    </row>
    <row r="2604" ht="14.25" customHeight="1" spans="2:14">
      <c r="B2604" s="57"/>
      <c r="C2604" s="54"/>
      <c r="D2604" s="55"/>
      <c r="I2604" s="55"/>
      <c r="J2604" s="56"/>
      <c r="K2604" s="56"/>
      <c r="M2604" s="55"/>
      <c r="N2604" s="55"/>
    </row>
    <row r="2605" ht="14.25" customHeight="1" spans="2:14">
      <c r="B2605" s="57"/>
      <c r="C2605" s="54"/>
      <c r="D2605" s="55"/>
      <c r="I2605" s="55"/>
      <c r="J2605" s="56"/>
      <c r="K2605" s="56"/>
      <c r="M2605" s="55"/>
      <c r="N2605" s="55"/>
    </row>
    <row r="2606" ht="14.25" customHeight="1" spans="2:14">
      <c r="B2606" s="57"/>
      <c r="C2606" s="54"/>
      <c r="D2606" s="55"/>
      <c r="I2606" s="55"/>
      <c r="J2606" s="56"/>
      <c r="K2606" s="56"/>
      <c r="M2606" s="55"/>
      <c r="N2606" s="55"/>
    </row>
    <row r="2607" ht="14.25" customHeight="1" spans="2:14">
      <c r="B2607" s="57"/>
      <c r="C2607" s="54"/>
      <c r="D2607" s="55"/>
      <c r="I2607" s="55"/>
      <c r="J2607" s="56"/>
      <c r="K2607" s="56"/>
      <c r="M2607" s="55"/>
      <c r="N2607" s="55"/>
    </row>
    <row r="2608" ht="14.25" customHeight="1" spans="2:14">
      <c r="B2608" s="57"/>
      <c r="C2608" s="54"/>
      <c r="D2608" s="55"/>
      <c r="I2608" s="55"/>
      <c r="J2608" s="56"/>
      <c r="K2608" s="56"/>
      <c r="M2608" s="55"/>
      <c r="N2608" s="55"/>
    </row>
    <row r="2609" ht="14.25" customHeight="1" spans="2:14">
      <c r="B2609" s="57"/>
      <c r="C2609" s="54"/>
      <c r="D2609" s="55"/>
      <c r="I2609" s="55"/>
      <c r="J2609" s="56"/>
      <c r="K2609" s="56"/>
      <c r="M2609" s="55"/>
      <c r="N2609" s="55"/>
    </row>
    <row r="2610" ht="14.25" customHeight="1" spans="2:14">
      <c r="B2610" s="57"/>
      <c r="C2610" s="54"/>
      <c r="D2610" s="55"/>
      <c r="I2610" s="55"/>
      <c r="J2610" s="56"/>
      <c r="K2610" s="56"/>
      <c r="M2610" s="55"/>
      <c r="N2610" s="55"/>
    </row>
    <row r="2611" ht="14.25" customHeight="1" spans="2:14">
      <c r="B2611" s="57"/>
      <c r="C2611" s="54"/>
      <c r="D2611" s="55"/>
      <c r="I2611" s="55"/>
      <c r="J2611" s="56"/>
      <c r="K2611" s="56"/>
      <c r="M2611" s="55"/>
      <c r="N2611" s="55"/>
    </row>
    <row r="2612" ht="14.25" customHeight="1" spans="2:14">
      <c r="B2612" s="57"/>
      <c r="C2612" s="54"/>
      <c r="D2612" s="55"/>
      <c r="I2612" s="55"/>
      <c r="J2612" s="56"/>
      <c r="K2612" s="56"/>
      <c r="M2612" s="55"/>
      <c r="N2612" s="55"/>
    </row>
    <row r="2613" ht="14.25" customHeight="1" spans="2:14">
      <c r="B2613" s="57"/>
      <c r="C2613" s="54"/>
      <c r="D2613" s="55"/>
      <c r="I2613" s="55"/>
      <c r="J2613" s="56"/>
      <c r="K2613" s="56"/>
      <c r="M2613" s="55"/>
      <c r="N2613" s="55"/>
    </row>
    <row r="2614" ht="14.25" customHeight="1" spans="2:14">
      <c r="B2614" s="57"/>
      <c r="C2614" s="54"/>
      <c r="D2614" s="55"/>
      <c r="I2614" s="55"/>
      <c r="J2614" s="56"/>
      <c r="K2614" s="56"/>
      <c r="M2614" s="55"/>
      <c r="N2614" s="55"/>
    </row>
    <row r="2615" ht="14.25" customHeight="1" spans="2:14">
      <c r="B2615" s="57"/>
      <c r="C2615" s="54"/>
      <c r="D2615" s="55"/>
      <c r="I2615" s="55"/>
      <c r="J2615" s="56"/>
      <c r="K2615" s="56"/>
      <c r="M2615" s="55"/>
      <c r="N2615" s="55"/>
    </row>
    <row r="2616" ht="14.25" customHeight="1" spans="2:14">
      <c r="B2616" s="57"/>
      <c r="C2616" s="54"/>
      <c r="D2616" s="55"/>
      <c r="I2616" s="55"/>
      <c r="J2616" s="56"/>
      <c r="K2616" s="56"/>
      <c r="M2616" s="55"/>
      <c r="N2616" s="55"/>
    </row>
    <row r="2617" ht="14.25" customHeight="1" spans="2:14">
      <c r="B2617" s="57"/>
      <c r="C2617" s="54"/>
      <c r="D2617" s="55"/>
      <c r="I2617" s="55"/>
      <c r="J2617" s="56"/>
      <c r="K2617" s="56"/>
      <c r="M2617" s="55"/>
      <c r="N2617" s="55"/>
    </row>
    <row r="2618" ht="14.25" customHeight="1" spans="2:14">
      <c r="B2618" s="57"/>
      <c r="C2618" s="54"/>
      <c r="D2618" s="55"/>
      <c r="I2618" s="55"/>
      <c r="J2618" s="56"/>
      <c r="K2618" s="56"/>
      <c r="M2618" s="55"/>
      <c r="N2618" s="55"/>
    </row>
    <row r="2619" ht="14.25" customHeight="1" spans="2:14">
      <c r="B2619" s="57"/>
      <c r="C2619" s="54"/>
      <c r="D2619" s="55"/>
      <c r="I2619" s="55"/>
      <c r="J2619" s="56"/>
      <c r="K2619" s="56"/>
      <c r="M2619" s="55"/>
      <c r="N2619" s="55"/>
    </row>
    <row r="2620" ht="14.25" customHeight="1" spans="2:14">
      <c r="B2620" s="57"/>
      <c r="C2620" s="54"/>
      <c r="D2620" s="55"/>
      <c r="I2620" s="55"/>
      <c r="J2620" s="56"/>
      <c r="K2620" s="56"/>
      <c r="M2620" s="55"/>
      <c r="N2620" s="55"/>
    </row>
    <row r="2621" ht="14.25" customHeight="1" spans="2:14">
      <c r="B2621" s="57"/>
      <c r="C2621" s="54"/>
      <c r="D2621" s="55"/>
      <c r="I2621" s="55"/>
      <c r="J2621" s="56"/>
      <c r="K2621" s="56"/>
      <c r="M2621" s="55"/>
      <c r="N2621" s="55"/>
    </row>
    <row r="2622" ht="14.25" customHeight="1" spans="2:14">
      <c r="B2622" s="57"/>
      <c r="C2622" s="54"/>
      <c r="D2622" s="55"/>
      <c r="I2622" s="55"/>
      <c r="J2622" s="56"/>
      <c r="K2622" s="56"/>
      <c r="M2622" s="55"/>
      <c r="N2622" s="55"/>
    </row>
    <row r="2623" ht="14.25" customHeight="1" spans="2:14">
      <c r="B2623" s="57"/>
      <c r="C2623" s="54"/>
      <c r="D2623" s="55"/>
      <c r="I2623" s="55"/>
      <c r="J2623" s="56"/>
      <c r="K2623" s="56"/>
      <c r="M2623" s="55"/>
      <c r="N2623" s="55"/>
    </row>
    <row r="2624" ht="14.25" customHeight="1" spans="2:14">
      <c r="B2624" s="57"/>
      <c r="C2624" s="54"/>
      <c r="D2624" s="55"/>
      <c r="I2624" s="55"/>
      <c r="J2624" s="56"/>
      <c r="K2624" s="56"/>
      <c r="M2624" s="55"/>
      <c r="N2624" s="55"/>
    </row>
    <row r="2625" ht="14.25" customHeight="1" spans="2:14">
      <c r="B2625" s="57"/>
      <c r="C2625" s="54"/>
      <c r="D2625" s="55"/>
      <c r="I2625" s="55"/>
      <c r="J2625" s="56"/>
      <c r="K2625" s="56"/>
      <c r="M2625" s="55"/>
      <c r="N2625" s="55"/>
    </row>
    <row r="2626" ht="14.25" customHeight="1" spans="2:14">
      <c r="B2626" s="57"/>
      <c r="C2626" s="54"/>
      <c r="D2626" s="55"/>
      <c r="I2626" s="55"/>
      <c r="J2626" s="56"/>
      <c r="K2626" s="56"/>
      <c r="M2626" s="55"/>
      <c r="N2626" s="55"/>
    </row>
    <row r="2627" ht="14.25" customHeight="1" spans="2:14">
      <c r="B2627" s="57"/>
      <c r="C2627" s="54"/>
      <c r="D2627" s="55"/>
      <c r="I2627" s="55"/>
      <c r="J2627" s="56"/>
      <c r="K2627" s="56"/>
      <c r="M2627" s="55"/>
      <c r="N2627" s="55"/>
    </row>
    <row r="2628" ht="14.25" customHeight="1" spans="2:14">
      <c r="B2628" s="57"/>
      <c r="C2628" s="54"/>
      <c r="D2628" s="55"/>
      <c r="I2628" s="55"/>
      <c r="J2628" s="56"/>
      <c r="K2628" s="56"/>
      <c r="M2628" s="55"/>
      <c r="N2628" s="55"/>
    </row>
    <row r="2629" ht="14.25" customHeight="1" spans="2:14">
      <c r="B2629" s="57"/>
      <c r="C2629" s="54"/>
      <c r="D2629" s="55"/>
      <c r="I2629" s="55"/>
      <c r="J2629" s="56"/>
      <c r="K2629" s="56"/>
      <c r="M2629" s="55"/>
      <c r="N2629" s="55"/>
    </row>
    <row r="2630" ht="14.25" customHeight="1" spans="2:14">
      <c r="B2630" s="57"/>
      <c r="C2630" s="54"/>
      <c r="D2630" s="55"/>
      <c r="I2630" s="55"/>
      <c r="J2630" s="56"/>
      <c r="K2630" s="56"/>
      <c r="M2630" s="55"/>
      <c r="N2630" s="55"/>
    </row>
    <row r="2631" ht="14.25" customHeight="1" spans="2:14">
      <c r="B2631" s="57"/>
      <c r="C2631" s="54"/>
      <c r="D2631" s="55"/>
      <c r="I2631" s="55"/>
      <c r="J2631" s="56"/>
      <c r="K2631" s="56"/>
      <c r="M2631" s="55"/>
      <c r="N2631" s="55"/>
    </row>
    <row r="2632" ht="14.25" customHeight="1" spans="2:14">
      <c r="B2632" s="57"/>
      <c r="C2632" s="54"/>
      <c r="D2632" s="55"/>
      <c r="I2632" s="55"/>
      <c r="J2632" s="56"/>
      <c r="K2632" s="56"/>
      <c r="M2632" s="55"/>
      <c r="N2632" s="55"/>
    </row>
    <row r="2633" ht="14.25" customHeight="1" spans="2:14">
      <c r="B2633" s="57"/>
      <c r="C2633" s="54"/>
      <c r="D2633" s="55"/>
      <c r="I2633" s="55"/>
      <c r="J2633" s="56"/>
      <c r="K2633" s="56"/>
      <c r="M2633" s="55"/>
      <c r="N2633" s="55"/>
    </row>
    <row r="2634" ht="14.25" customHeight="1" spans="2:14">
      <c r="B2634" s="57"/>
      <c r="C2634" s="54"/>
      <c r="D2634" s="55"/>
      <c r="I2634" s="55"/>
      <c r="J2634" s="56"/>
      <c r="K2634" s="56"/>
      <c r="M2634" s="55"/>
      <c r="N2634" s="55"/>
    </row>
    <row r="2635" ht="14.25" customHeight="1" spans="2:14">
      <c r="B2635" s="57"/>
      <c r="C2635" s="54"/>
      <c r="D2635" s="55"/>
      <c r="I2635" s="55"/>
      <c r="J2635" s="56"/>
      <c r="K2635" s="56"/>
      <c r="M2635" s="55"/>
      <c r="N2635" s="55"/>
    </row>
    <row r="2636" ht="14.25" customHeight="1" spans="2:14">
      <c r="B2636" s="57"/>
      <c r="C2636" s="54"/>
      <c r="D2636" s="55"/>
      <c r="I2636" s="55"/>
      <c r="J2636" s="56"/>
      <c r="K2636" s="56"/>
      <c r="M2636" s="55"/>
      <c r="N2636" s="55"/>
    </row>
    <row r="2637" ht="14.25" customHeight="1" spans="2:14">
      <c r="B2637" s="57"/>
      <c r="C2637" s="54"/>
      <c r="D2637" s="55"/>
      <c r="I2637" s="55"/>
      <c r="J2637" s="56"/>
      <c r="K2637" s="56"/>
      <c r="M2637" s="55"/>
      <c r="N2637" s="55"/>
    </row>
    <row r="2638" ht="14.25" customHeight="1" spans="2:14">
      <c r="B2638" s="57"/>
      <c r="C2638" s="54"/>
      <c r="D2638" s="55"/>
      <c r="I2638" s="55"/>
      <c r="J2638" s="56"/>
      <c r="K2638" s="56"/>
      <c r="M2638" s="55"/>
      <c r="N2638" s="55"/>
    </row>
    <row r="2639" ht="14.25" customHeight="1" spans="2:14">
      <c r="B2639" s="57"/>
      <c r="C2639" s="54"/>
      <c r="D2639" s="55"/>
      <c r="I2639" s="55"/>
      <c r="J2639" s="56"/>
      <c r="K2639" s="56"/>
      <c r="M2639" s="55"/>
      <c r="N2639" s="55"/>
    </row>
    <row r="2640" ht="14.25" customHeight="1" spans="2:14">
      <c r="B2640" s="57"/>
      <c r="C2640" s="54"/>
      <c r="D2640" s="55"/>
      <c r="I2640" s="55"/>
      <c r="J2640" s="56"/>
      <c r="K2640" s="56"/>
      <c r="M2640" s="55"/>
      <c r="N2640" s="55"/>
    </row>
    <row r="2641" ht="14.25" customHeight="1" spans="2:14">
      <c r="B2641" s="57"/>
      <c r="C2641" s="54"/>
      <c r="D2641" s="55"/>
      <c r="I2641" s="55"/>
      <c r="J2641" s="56"/>
      <c r="K2641" s="56"/>
      <c r="M2641" s="55"/>
      <c r="N2641" s="55"/>
    </row>
    <row r="2642" ht="14.25" customHeight="1" spans="2:14">
      <c r="B2642" s="57"/>
      <c r="C2642" s="54"/>
      <c r="D2642" s="55"/>
      <c r="I2642" s="55"/>
      <c r="J2642" s="56"/>
      <c r="K2642" s="56"/>
      <c r="M2642" s="55"/>
      <c r="N2642" s="55"/>
    </row>
    <row r="2643" ht="14.25" customHeight="1" spans="2:14">
      <c r="B2643" s="57"/>
      <c r="C2643" s="54"/>
      <c r="D2643" s="55"/>
      <c r="I2643" s="55"/>
      <c r="J2643" s="56"/>
      <c r="K2643" s="56"/>
      <c r="M2643" s="55"/>
      <c r="N2643" s="55"/>
    </row>
    <row r="2644" ht="14.25" customHeight="1" spans="2:14">
      <c r="B2644" s="57"/>
      <c r="C2644" s="54"/>
      <c r="D2644" s="55"/>
      <c r="I2644" s="55"/>
      <c r="J2644" s="56"/>
      <c r="K2644" s="56"/>
      <c r="M2644" s="55"/>
      <c r="N2644" s="55"/>
    </row>
    <row r="2645" ht="14.25" customHeight="1" spans="2:14">
      <c r="B2645" s="57"/>
      <c r="C2645" s="54"/>
      <c r="D2645" s="55"/>
      <c r="I2645" s="55"/>
      <c r="J2645" s="56"/>
      <c r="K2645" s="56"/>
      <c r="M2645" s="55"/>
      <c r="N2645" s="55"/>
    </row>
    <row r="2646" ht="14.25" customHeight="1" spans="2:14">
      <c r="B2646" s="57"/>
      <c r="C2646" s="54"/>
      <c r="D2646" s="55"/>
      <c r="I2646" s="55"/>
      <c r="J2646" s="56"/>
      <c r="K2646" s="56"/>
      <c r="M2646" s="55"/>
      <c r="N2646" s="55"/>
    </row>
    <row r="2647" ht="14.25" customHeight="1" spans="2:14">
      <c r="B2647" s="57"/>
      <c r="C2647" s="54"/>
      <c r="D2647" s="55"/>
      <c r="I2647" s="55"/>
      <c r="J2647" s="56"/>
      <c r="K2647" s="56"/>
      <c r="M2647" s="55"/>
      <c r="N2647" s="55"/>
    </row>
    <row r="2648" ht="14.25" customHeight="1" spans="2:14">
      <c r="B2648" s="57"/>
      <c r="C2648" s="54"/>
      <c r="D2648" s="55"/>
      <c r="I2648" s="55"/>
      <c r="J2648" s="56"/>
      <c r="K2648" s="56"/>
      <c r="M2648" s="55"/>
      <c r="N2648" s="55"/>
    </row>
    <row r="2649" ht="14.25" customHeight="1" spans="2:14">
      <c r="B2649" s="57"/>
      <c r="C2649" s="54"/>
      <c r="D2649" s="55"/>
      <c r="I2649" s="55"/>
      <c r="J2649" s="56"/>
      <c r="K2649" s="56"/>
      <c r="M2649" s="55"/>
      <c r="N2649" s="55"/>
    </row>
    <row r="2650" ht="14.25" customHeight="1" spans="2:14">
      <c r="B2650" s="57"/>
      <c r="C2650" s="54"/>
      <c r="D2650" s="55"/>
      <c r="I2650" s="55"/>
      <c r="J2650" s="56"/>
      <c r="K2650" s="56"/>
      <c r="M2650" s="55"/>
      <c r="N2650" s="55"/>
    </row>
    <row r="2651" ht="14.25" customHeight="1" spans="2:14">
      <c r="B2651" s="57"/>
      <c r="C2651" s="54"/>
      <c r="D2651" s="55"/>
      <c r="I2651" s="55"/>
      <c r="J2651" s="56"/>
      <c r="K2651" s="56"/>
      <c r="M2651" s="55"/>
      <c r="N2651" s="55"/>
    </row>
    <row r="2652" ht="14.25" customHeight="1" spans="2:14">
      <c r="B2652" s="57"/>
      <c r="C2652" s="54"/>
      <c r="D2652" s="55"/>
      <c r="I2652" s="55"/>
      <c r="J2652" s="56"/>
      <c r="K2652" s="56"/>
      <c r="M2652" s="55"/>
      <c r="N2652" s="55"/>
    </row>
    <row r="2653" ht="14.25" customHeight="1" spans="2:14">
      <c r="B2653" s="57"/>
      <c r="C2653" s="54"/>
      <c r="D2653" s="55"/>
      <c r="I2653" s="55"/>
      <c r="J2653" s="56"/>
      <c r="K2653" s="56"/>
      <c r="M2653" s="55"/>
      <c r="N2653" s="55"/>
    </row>
    <row r="2654" ht="14.25" customHeight="1" spans="2:14">
      <c r="B2654" s="57"/>
      <c r="C2654" s="54"/>
      <c r="D2654" s="55"/>
      <c r="I2654" s="55"/>
      <c r="J2654" s="56"/>
      <c r="K2654" s="56"/>
      <c r="M2654" s="55"/>
      <c r="N2654" s="55"/>
    </row>
    <row r="2655" ht="14.25" customHeight="1" spans="2:14">
      <c r="B2655" s="57"/>
      <c r="C2655" s="54"/>
      <c r="D2655" s="55"/>
      <c r="I2655" s="55"/>
      <c r="J2655" s="56"/>
      <c r="K2655" s="56"/>
      <c r="M2655" s="55"/>
      <c r="N2655" s="55"/>
    </row>
    <row r="2656" ht="14.25" customHeight="1" spans="2:14">
      <c r="B2656" s="57"/>
      <c r="C2656" s="54"/>
      <c r="D2656" s="55"/>
      <c r="I2656" s="55"/>
      <c r="J2656" s="56"/>
      <c r="K2656" s="56"/>
      <c r="M2656" s="55"/>
      <c r="N2656" s="55"/>
    </row>
    <row r="2657" ht="14.25" customHeight="1" spans="2:14">
      <c r="B2657" s="57"/>
      <c r="C2657" s="54"/>
      <c r="D2657" s="55"/>
      <c r="I2657" s="55"/>
      <c r="J2657" s="56"/>
      <c r="K2657" s="56"/>
      <c r="M2657" s="55"/>
      <c r="N2657" s="55"/>
    </row>
    <row r="2658" ht="14.25" customHeight="1" spans="2:14">
      <c r="B2658" s="57"/>
      <c r="C2658" s="54"/>
      <c r="D2658" s="55"/>
      <c r="I2658" s="55"/>
      <c r="J2658" s="56"/>
      <c r="K2658" s="56"/>
      <c r="M2658" s="55"/>
      <c r="N2658" s="55"/>
    </row>
    <row r="2659" ht="14.25" customHeight="1" spans="2:14">
      <c r="B2659" s="57"/>
      <c r="C2659" s="54"/>
      <c r="D2659" s="55"/>
      <c r="I2659" s="55"/>
      <c r="J2659" s="56"/>
      <c r="K2659" s="56"/>
      <c r="M2659" s="55"/>
      <c r="N2659" s="55"/>
    </row>
    <row r="2660" ht="14.25" customHeight="1" spans="2:14">
      <c r="B2660" s="57"/>
      <c r="C2660" s="54"/>
      <c r="D2660" s="55"/>
      <c r="I2660" s="55"/>
      <c r="J2660" s="56"/>
      <c r="K2660" s="56"/>
      <c r="M2660" s="55"/>
      <c r="N2660" s="55"/>
    </row>
    <row r="2661" ht="14.25" customHeight="1" spans="2:14">
      <c r="B2661" s="57"/>
      <c r="C2661" s="54"/>
      <c r="D2661" s="55"/>
      <c r="I2661" s="55"/>
      <c r="J2661" s="56"/>
      <c r="K2661" s="56"/>
      <c r="M2661" s="55"/>
      <c r="N2661" s="55"/>
    </row>
    <row r="2662" ht="14.25" customHeight="1" spans="2:14">
      <c r="B2662" s="57"/>
      <c r="C2662" s="54"/>
      <c r="D2662" s="55"/>
      <c r="I2662" s="55"/>
      <c r="J2662" s="56"/>
      <c r="K2662" s="56"/>
      <c r="M2662" s="55"/>
      <c r="N2662" s="55"/>
    </row>
    <row r="2663" ht="14.25" customHeight="1" spans="2:14">
      <c r="B2663" s="57"/>
      <c r="C2663" s="54"/>
      <c r="D2663" s="55"/>
      <c r="I2663" s="55"/>
      <c r="J2663" s="56"/>
      <c r="K2663" s="56"/>
      <c r="M2663" s="55"/>
      <c r="N2663" s="55"/>
    </row>
    <row r="2664" ht="14.25" customHeight="1" spans="2:14">
      <c r="B2664" s="57"/>
      <c r="C2664" s="54"/>
      <c r="D2664" s="55"/>
      <c r="I2664" s="55"/>
      <c r="J2664" s="56"/>
      <c r="K2664" s="56"/>
      <c r="M2664" s="55"/>
      <c r="N2664" s="55"/>
    </row>
    <row r="2665" ht="14.25" customHeight="1" spans="2:14">
      <c r="B2665" s="57"/>
      <c r="C2665" s="54"/>
      <c r="D2665" s="55"/>
      <c r="I2665" s="55"/>
      <c r="J2665" s="56"/>
      <c r="K2665" s="56"/>
      <c r="M2665" s="55"/>
      <c r="N2665" s="55"/>
    </row>
    <row r="2666" ht="14.25" customHeight="1" spans="2:14">
      <c r="B2666" s="57"/>
      <c r="C2666" s="54"/>
      <c r="D2666" s="55"/>
      <c r="I2666" s="55"/>
      <c r="J2666" s="56"/>
      <c r="K2666" s="56"/>
      <c r="M2666" s="55"/>
      <c r="N2666" s="55"/>
    </row>
    <row r="2667" ht="14.25" customHeight="1" spans="2:14">
      <c r="B2667" s="57"/>
      <c r="C2667" s="54"/>
      <c r="D2667" s="55"/>
      <c r="I2667" s="55"/>
      <c r="J2667" s="56"/>
      <c r="K2667" s="56"/>
      <c r="M2667" s="55"/>
      <c r="N2667" s="55"/>
    </row>
    <row r="2668" ht="14.25" customHeight="1" spans="2:14">
      <c r="B2668" s="57"/>
      <c r="C2668" s="54"/>
      <c r="D2668" s="55"/>
      <c r="I2668" s="55"/>
      <c r="J2668" s="56"/>
      <c r="K2668" s="56"/>
      <c r="M2668" s="55"/>
      <c r="N2668" s="55"/>
    </row>
    <row r="2669" ht="14.25" customHeight="1" spans="2:14">
      <c r="B2669" s="57"/>
      <c r="C2669" s="54"/>
      <c r="D2669" s="55"/>
      <c r="I2669" s="55"/>
      <c r="J2669" s="56"/>
      <c r="K2669" s="56"/>
      <c r="M2669" s="55"/>
      <c r="N2669" s="55"/>
    </row>
    <row r="2670" ht="14.25" customHeight="1" spans="2:14">
      <c r="B2670" s="57"/>
      <c r="C2670" s="54"/>
      <c r="D2670" s="55"/>
      <c r="I2670" s="55"/>
      <c r="J2670" s="56"/>
      <c r="K2670" s="56"/>
      <c r="M2670" s="55"/>
      <c r="N2670" s="55"/>
    </row>
    <row r="2671" ht="14.25" customHeight="1" spans="2:14">
      <c r="B2671" s="57"/>
      <c r="C2671" s="54"/>
      <c r="D2671" s="55"/>
      <c r="I2671" s="55"/>
      <c r="J2671" s="56"/>
      <c r="K2671" s="56"/>
      <c r="M2671" s="55"/>
      <c r="N2671" s="55"/>
    </row>
    <row r="2672" ht="14.25" customHeight="1" spans="2:14">
      <c r="B2672" s="57"/>
      <c r="C2672" s="54"/>
      <c r="D2672" s="55"/>
      <c r="I2672" s="55"/>
      <c r="J2672" s="56"/>
      <c r="K2672" s="56"/>
      <c r="M2672" s="55"/>
      <c r="N2672" s="55"/>
    </row>
    <row r="2673" ht="14.25" customHeight="1" spans="2:14">
      <c r="B2673" s="57"/>
      <c r="C2673" s="54"/>
      <c r="D2673" s="55"/>
      <c r="I2673" s="55"/>
      <c r="J2673" s="56"/>
      <c r="K2673" s="56"/>
      <c r="M2673" s="55"/>
      <c r="N2673" s="55"/>
    </row>
    <row r="2674" ht="14.25" customHeight="1" spans="2:14">
      <c r="B2674" s="57"/>
      <c r="C2674" s="54"/>
      <c r="D2674" s="55"/>
      <c r="I2674" s="55"/>
      <c r="J2674" s="56"/>
      <c r="K2674" s="56"/>
      <c r="M2674" s="55"/>
      <c r="N2674" s="55"/>
    </row>
    <row r="2675" ht="14.25" customHeight="1" spans="2:14">
      <c r="B2675" s="57"/>
      <c r="C2675" s="54"/>
      <c r="D2675" s="55"/>
      <c r="I2675" s="55"/>
      <c r="J2675" s="56"/>
      <c r="K2675" s="56"/>
      <c r="M2675" s="55"/>
      <c r="N2675" s="55"/>
    </row>
    <row r="2676" ht="14.25" customHeight="1" spans="2:14">
      <c r="B2676" s="57"/>
      <c r="C2676" s="54"/>
      <c r="D2676" s="55"/>
      <c r="I2676" s="55"/>
      <c r="J2676" s="56"/>
      <c r="K2676" s="56"/>
      <c r="M2676" s="55"/>
      <c r="N2676" s="55"/>
    </row>
    <row r="2677" ht="14.25" customHeight="1" spans="2:14">
      <c r="B2677" s="57"/>
      <c r="C2677" s="54"/>
      <c r="D2677" s="55"/>
      <c r="I2677" s="55"/>
      <c r="J2677" s="56"/>
      <c r="K2677" s="56"/>
      <c r="M2677" s="55"/>
      <c r="N2677" s="55"/>
    </row>
    <row r="2678" ht="14.25" customHeight="1" spans="2:14">
      <c r="B2678" s="57"/>
      <c r="C2678" s="54"/>
      <c r="D2678" s="55"/>
      <c r="I2678" s="55"/>
      <c r="J2678" s="56"/>
      <c r="K2678" s="56"/>
      <c r="M2678" s="55"/>
      <c r="N2678" s="55"/>
    </row>
    <row r="2679" ht="14.25" customHeight="1" spans="2:14">
      <c r="B2679" s="57"/>
      <c r="C2679" s="54"/>
      <c r="D2679" s="55"/>
      <c r="I2679" s="55"/>
      <c r="J2679" s="56"/>
      <c r="K2679" s="56"/>
      <c r="M2679" s="55"/>
      <c r="N2679" s="55"/>
    </row>
    <row r="2680" ht="14.25" customHeight="1" spans="2:14">
      <c r="B2680" s="57"/>
      <c r="C2680" s="54"/>
      <c r="D2680" s="55"/>
      <c r="I2680" s="55"/>
      <c r="J2680" s="56"/>
      <c r="K2680" s="56"/>
      <c r="M2680" s="55"/>
      <c r="N2680" s="55"/>
    </row>
    <row r="2681" ht="14.25" customHeight="1" spans="2:14">
      <c r="B2681" s="57"/>
      <c r="C2681" s="54"/>
      <c r="D2681" s="55"/>
      <c r="I2681" s="55"/>
      <c r="J2681" s="56"/>
      <c r="K2681" s="56"/>
      <c r="M2681" s="55"/>
      <c r="N2681" s="55"/>
    </row>
    <row r="2682" ht="14.25" customHeight="1" spans="2:14">
      <c r="B2682" s="57"/>
      <c r="C2682" s="54"/>
      <c r="D2682" s="55"/>
      <c r="I2682" s="55"/>
      <c r="J2682" s="56"/>
      <c r="K2682" s="56"/>
      <c r="M2682" s="55"/>
      <c r="N2682" s="55"/>
    </row>
    <row r="2683" ht="14.25" customHeight="1" spans="2:14">
      <c r="B2683" s="57"/>
      <c r="C2683" s="54"/>
      <c r="D2683" s="55"/>
      <c r="I2683" s="55"/>
      <c r="J2683" s="56"/>
      <c r="K2683" s="56"/>
      <c r="M2683" s="55"/>
      <c r="N2683" s="55"/>
    </row>
    <row r="2684" ht="14.25" customHeight="1" spans="2:14">
      <c r="B2684" s="57"/>
      <c r="C2684" s="54"/>
      <c r="D2684" s="55"/>
      <c r="I2684" s="55"/>
      <c r="J2684" s="56"/>
      <c r="K2684" s="56"/>
      <c r="M2684" s="55"/>
      <c r="N2684" s="55"/>
    </row>
    <row r="2685" ht="14.25" customHeight="1" spans="2:14">
      <c r="B2685" s="57"/>
      <c r="C2685" s="54"/>
      <c r="D2685" s="55"/>
      <c r="I2685" s="55"/>
      <c r="J2685" s="56"/>
      <c r="K2685" s="56"/>
      <c r="M2685" s="55"/>
      <c r="N2685" s="55"/>
    </row>
    <row r="2686" ht="14.25" customHeight="1" spans="2:14">
      <c r="B2686" s="57"/>
      <c r="C2686" s="54"/>
      <c r="D2686" s="55"/>
      <c r="I2686" s="55"/>
      <c r="J2686" s="56"/>
      <c r="K2686" s="56"/>
      <c r="M2686" s="55"/>
      <c r="N2686" s="55"/>
    </row>
    <row r="2687" ht="14.25" customHeight="1" spans="2:14">
      <c r="B2687" s="57"/>
      <c r="C2687" s="54"/>
      <c r="D2687" s="55"/>
      <c r="I2687" s="55"/>
      <c r="J2687" s="56"/>
      <c r="K2687" s="56"/>
      <c r="M2687" s="55"/>
      <c r="N2687" s="55"/>
    </row>
    <row r="2688" ht="14.25" customHeight="1" spans="2:14">
      <c r="B2688" s="57"/>
      <c r="C2688" s="54"/>
      <c r="D2688" s="55"/>
      <c r="I2688" s="55"/>
      <c r="J2688" s="56"/>
      <c r="K2688" s="56"/>
      <c r="M2688" s="55"/>
      <c r="N2688" s="55"/>
    </row>
    <row r="2689" ht="14.25" customHeight="1" spans="2:14">
      <c r="B2689" s="57"/>
      <c r="C2689" s="54"/>
      <c r="D2689" s="55"/>
      <c r="I2689" s="55"/>
      <c r="J2689" s="56"/>
      <c r="K2689" s="56"/>
      <c r="M2689" s="55"/>
      <c r="N2689" s="55"/>
    </row>
    <row r="2690" ht="14.25" customHeight="1" spans="2:14">
      <c r="B2690" s="57"/>
      <c r="C2690" s="54"/>
      <c r="D2690" s="55"/>
      <c r="I2690" s="55"/>
      <c r="J2690" s="56"/>
      <c r="K2690" s="56"/>
      <c r="M2690" s="55"/>
      <c r="N2690" s="55"/>
    </row>
    <row r="2691" ht="14.25" customHeight="1" spans="2:14">
      <c r="B2691" s="57"/>
      <c r="C2691" s="54"/>
      <c r="D2691" s="55"/>
      <c r="I2691" s="55"/>
      <c r="J2691" s="56"/>
      <c r="K2691" s="56"/>
      <c r="M2691" s="55"/>
      <c r="N2691" s="55"/>
    </row>
    <row r="2692" ht="14.25" customHeight="1" spans="2:14">
      <c r="B2692" s="57"/>
      <c r="C2692" s="54"/>
      <c r="D2692" s="55"/>
      <c r="I2692" s="55"/>
      <c r="J2692" s="56"/>
      <c r="K2692" s="56"/>
      <c r="M2692" s="55"/>
      <c r="N2692" s="55"/>
    </row>
    <row r="2693" ht="14.25" customHeight="1" spans="2:14">
      <c r="B2693" s="57"/>
      <c r="C2693" s="54"/>
      <c r="D2693" s="55"/>
      <c r="I2693" s="55"/>
      <c r="J2693" s="56"/>
      <c r="K2693" s="56"/>
      <c r="M2693" s="55"/>
      <c r="N2693" s="55"/>
    </row>
    <row r="2694" ht="14.25" customHeight="1" spans="2:14">
      <c r="B2694" s="57"/>
      <c r="C2694" s="54"/>
      <c r="D2694" s="55"/>
      <c r="I2694" s="55"/>
      <c r="J2694" s="56"/>
      <c r="K2694" s="56"/>
      <c r="M2694" s="55"/>
      <c r="N2694" s="55"/>
    </row>
    <row r="2695" ht="14.25" customHeight="1" spans="2:14">
      <c r="B2695" s="57"/>
      <c r="C2695" s="54"/>
      <c r="D2695" s="55"/>
      <c r="I2695" s="55"/>
      <c r="J2695" s="56"/>
      <c r="K2695" s="56"/>
      <c r="M2695" s="55"/>
      <c r="N2695" s="55"/>
    </row>
    <row r="2696" ht="14.25" customHeight="1" spans="2:14">
      <c r="B2696" s="57"/>
      <c r="C2696" s="54"/>
      <c r="D2696" s="55"/>
      <c r="I2696" s="55"/>
      <c r="J2696" s="56"/>
      <c r="K2696" s="56"/>
      <c r="M2696" s="55"/>
      <c r="N2696" s="55"/>
    </row>
    <row r="2697" ht="14.25" customHeight="1" spans="2:14">
      <c r="B2697" s="57"/>
      <c r="C2697" s="54"/>
      <c r="D2697" s="55"/>
      <c r="I2697" s="55"/>
      <c r="J2697" s="56"/>
      <c r="K2697" s="56"/>
      <c r="M2697" s="55"/>
      <c r="N2697" s="55"/>
    </row>
    <row r="2698" ht="14.25" customHeight="1" spans="2:14">
      <c r="B2698" s="57"/>
      <c r="C2698" s="54"/>
      <c r="D2698" s="55"/>
      <c r="I2698" s="55"/>
      <c r="J2698" s="56"/>
      <c r="K2698" s="56"/>
      <c r="M2698" s="55"/>
      <c r="N2698" s="55"/>
    </row>
    <row r="2699" ht="14.25" customHeight="1" spans="2:14">
      <c r="B2699" s="57"/>
      <c r="C2699" s="54"/>
      <c r="D2699" s="55"/>
      <c r="I2699" s="55"/>
      <c r="J2699" s="56"/>
      <c r="K2699" s="56"/>
      <c r="M2699" s="55"/>
      <c r="N2699" s="55"/>
    </row>
    <row r="2700" ht="14.25" customHeight="1" spans="2:14">
      <c r="B2700" s="57"/>
      <c r="C2700" s="54"/>
      <c r="D2700" s="55"/>
      <c r="I2700" s="55"/>
      <c r="J2700" s="56"/>
      <c r="K2700" s="56"/>
      <c r="M2700" s="55"/>
      <c r="N2700" s="55"/>
    </row>
    <row r="2701" ht="14.25" customHeight="1" spans="2:14">
      <c r="B2701" s="57"/>
      <c r="C2701" s="54"/>
      <c r="D2701" s="55"/>
      <c r="I2701" s="55"/>
      <c r="J2701" s="56"/>
      <c r="K2701" s="56"/>
      <c r="M2701" s="55"/>
      <c r="N2701" s="55"/>
    </row>
    <row r="2702" ht="14.25" customHeight="1" spans="2:14">
      <c r="B2702" s="57"/>
      <c r="C2702" s="54"/>
      <c r="D2702" s="55"/>
      <c r="I2702" s="55"/>
      <c r="J2702" s="56"/>
      <c r="K2702" s="56"/>
      <c r="M2702" s="55"/>
      <c r="N2702" s="55"/>
    </row>
    <row r="2703" ht="14.25" customHeight="1" spans="2:14">
      <c r="B2703" s="57"/>
      <c r="C2703" s="54"/>
      <c r="D2703" s="55"/>
      <c r="I2703" s="55"/>
      <c r="J2703" s="56"/>
      <c r="K2703" s="56"/>
      <c r="M2703" s="55"/>
      <c r="N2703" s="55"/>
    </row>
    <row r="2704" ht="14.25" customHeight="1" spans="2:14">
      <c r="B2704" s="57"/>
      <c r="C2704" s="54"/>
      <c r="D2704" s="55"/>
      <c r="I2704" s="55"/>
      <c r="J2704" s="56"/>
      <c r="K2704" s="56"/>
      <c r="M2704" s="55"/>
      <c r="N2704" s="55"/>
    </row>
    <row r="2705" ht="14.25" customHeight="1" spans="2:14">
      <c r="B2705" s="57"/>
      <c r="C2705" s="54"/>
      <c r="D2705" s="55"/>
      <c r="I2705" s="55"/>
      <c r="J2705" s="56"/>
      <c r="K2705" s="56"/>
      <c r="M2705" s="55"/>
      <c r="N2705" s="55"/>
    </row>
    <row r="2706" ht="14.25" customHeight="1" spans="2:14">
      <c r="B2706" s="57"/>
      <c r="C2706" s="54"/>
      <c r="D2706" s="55"/>
      <c r="I2706" s="55"/>
      <c r="J2706" s="56"/>
      <c r="K2706" s="56"/>
      <c r="M2706" s="55"/>
      <c r="N2706" s="55"/>
    </row>
    <row r="2707" ht="14.25" customHeight="1" spans="2:14">
      <c r="B2707" s="57"/>
      <c r="C2707" s="54"/>
      <c r="D2707" s="55"/>
      <c r="I2707" s="55"/>
      <c r="J2707" s="56"/>
      <c r="K2707" s="56"/>
      <c r="M2707" s="55"/>
      <c r="N2707" s="55"/>
    </row>
    <row r="2708" ht="14.25" customHeight="1" spans="2:14">
      <c r="B2708" s="57"/>
      <c r="C2708" s="54"/>
      <c r="D2708" s="55"/>
      <c r="I2708" s="55"/>
      <c r="J2708" s="56"/>
      <c r="K2708" s="56"/>
      <c r="M2708" s="55"/>
      <c r="N2708" s="55"/>
    </row>
    <row r="2709" ht="14.25" customHeight="1" spans="2:14">
      <c r="B2709" s="57"/>
      <c r="C2709" s="54"/>
      <c r="D2709" s="55"/>
      <c r="I2709" s="55"/>
      <c r="J2709" s="56"/>
      <c r="K2709" s="56"/>
      <c r="M2709" s="55"/>
      <c r="N2709" s="55"/>
    </row>
    <row r="2710" ht="14.25" customHeight="1" spans="2:14">
      <c r="B2710" s="57"/>
      <c r="C2710" s="54"/>
      <c r="D2710" s="55"/>
      <c r="I2710" s="55"/>
      <c r="J2710" s="56"/>
      <c r="K2710" s="56"/>
      <c r="M2710" s="55"/>
      <c r="N2710" s="55"/>
    </row>
    <row r="2711" ht="14.25" customHeight="1" spans="2:14">
      <c r="B2711" s="57"/>
      <c r="C2711" s="54"/>
      <c r="D2711" s="55"/>
      <c r="I2711" s="55"/>
      <c r="J2711" s="56"/>
      <c r="K2711" s="56"/>
      <c r="M2711" s="55"/>
      <c r="N2711" s="55"/>
    </row>
    <row r="2712" ht="14.25" customHeight="1" spans="2:14">
      <c r="B2712" s="57"/>
      <c r="C2712" s="54"/>
      <c r="D2712" s="55"/>
      <c r="I2712" s="55"/>
      <c r="J2712" s="56"/>
      <c r="K2712" s="56"/>
      <c r="M2712" s="55"/>
      <c r="N2712" s="55"/>
    </row>
    <row r="2713" ht="14.25" customHeight="1" spans="2:14">
      <c r="B2713" s="57"/>
      <c r="C2713" s="54"/>
      <c r="D2713" s="55"/>
      <c r="I2713" s="55"/>
      <c r="J2713" s="56"/>
      <c r="K2713" s="56"/>
      <c r="M2713" s="55"/>
      <c r="N2713" s="55"/>
    </row>
    <row r="2714" ht="14.25" customHeight="1" spans="2:14">
      <c r="B2714" s="57"/>
      <c r="C2714" s="54"/>
      <c r="D2714" s="55"/>
      <c r="I2714" s="55"/>
      <c r="J2714" s="56"/>
      <c r="K2714" s="56"/>
      <c r="M2714" s="55"/>
      <c r="N2714" s="55"/>
    </row>
    <row r="2715" ht="14.25" customHeight="1" spans="2:14">
      <c r="B2715" s="57"/>
      <c r="C2715" s="54"/>
      <c r="D2715" s="55"/>
      <c r="I2715" s="55"/>
      <c r="J2715" s="56"/>
      <c r="K2715" s="56"/>
      <c r="M2715" s="55"/>
      <c r="N2715" s="55"/>
    </row>
    <row r="2716" ht="14.25" customHeight="1" spans="2:14">
      <c r="B2716" s="57"/>
      <c r="C2716" s="54"/>
      <c r="D2716" s="55"/>
      <c r="I2716" s="55"/>
      <c r="J2716" s="56"/>
      <c r="K2716" s="56"/>
      <c r="M2716" s="55"/>
      <c r="N2716" s="55"/>
    </row>
    <row r="2717" ht="14.25" customHeight="1" spans="2:14">
      <c r="B2717" s="57"/>
      <c r="C2717" s="54"/>
      <c r="D2717" s="55"/>
      <c r="I2717" s="55"/>
      <c r="J2717" s="56"/>
      <c r="K2717" s="56"/>
      <c r="M2717" s="55"/>
      <c r="N2717" s="55"/>
    </row>
    <row r="2718" ht="14.25" customHeight="1" spans="2:14">
      <c r="B2718" s="57"/>
      <c r="C2718" s="54"/>
      <c r="D2718" s="55"/>
      <c r="I2718" s="55"/>
      <c r="J2718" s="56"/>
      <c r="K2718" s="56"/>
      <c r="M2718" s="55"/>
      <c r="N2718" s="55"/>
    </row>
    <row r="2719" ht="14.25" customHeight="1" spans="2:14">
      <c r="B2719" s="57"/>
      <c r="C2719" s="54"/>
      <c r="D2719" s="55"/>
      <c r="I2719" s="55"/>
      <c r="J2719" s="56"/>
      <c r="K2719" s="56"/>
      <c r="M2719" s="55"/>
      <c r="N2719" s="55"/>
    </row>
    <row r="2720" ht="14.25" customHeight="1" spans="2:14">
      <c r="B2720" s="57"/>
      <c r="C2720" s="54"/>
      <c r="D2720" s="55"/>
      <c r="I2720" s="55"/>
      <c r="J2720" s="56"/>
      <c r="K2720" s="56"/>
      <c r="M2720" s="55"/>
      <c r="N2720" s="55"/>
    </row>
    <row r="2721" ht="14.25" customHeight="1" spans="2:14">
      <c r="B2721" s="57"/>
      <c r="C2721" s="54"/>
      <c r="D2721" s="55"/>
      <c r="I2721" s="55"/>
      <c r="J2721" s="56"/>
      <c r="K2721" s="56"/>
      <c r="M2721" s="55"/>
      <c r="N2721" s="55"/>
    </row>
    <row r="2722" ht="14.25" customHeight="1" spans="2:14">
      <c r="B2722" s="57"/>
      <c r="C2722" s="54"/>
      <c r="D2722" s="55"/>
      <c r="I2722" s="55"/>
      <c r="J2722" s="56"/>
      <c r="K2722" s="56"/>
      <c r="M2722" s="55"/>
      <c r="N2722" s="55"/>
    </row>
    <row r="2723" ht="14.25" customHeight="1" spans="2:14">
      <c r="B2723" s="57"/>
      <c r="C2723" s="54"/>
      <c r="D2723" s="55"/>
      <c r="I2723" s="55"/>
      <c r="J2723" s="56"/>
      <c r="K2723" s="56"/>
      <c r="M2723" s="55"/>
      <c r="N2723" s="55"/>
    </row>
    <row r="2724" ht="14.25" customHeight="1" spans="2:14">
      <c r="B2724" s="57"/>
      <c r="C2724" s="54"/>
      <c r="D2724" s="55"/>
      <c r="I2724" s="55"/>
      <c r="J2724" s="56"/>
      <c r="K2724" s="56"/>
      <c r="M2724" s="55"/>
      <c r="N2724" s="55"/>
    </row>
    <row r="2725" ht="14.25" customHeight="1" spans="2:14">
      <c r="B2725" s="57"/>
      <c r="C2725" s="54"/>
      <c r="D2725" s="55"/>
      <c r="I2725" s="55"/>
      <c r="J2725" s="56"/>
      <c r="K2725" s="56"/>
      <c r="M2725" s="55"/>
      <c r="N2725" s="55"/>
    </row>
    <row r="2726" ht="14.25" customHeight="1" spans="2:14">
      <c r="B2726" s="57"/>
      <c r="C2726" s="54"/>
      <c r="D2726" s="55"/>
      <c r="I2726" s="55"/>
      <c r="J2726" s="56"/>
      <c r="K2726" s="56"/>
      <c r="M2726" s="55"/>
      <c r="N2726" s="55"/>
    </row>
    <row r="2727" ht="14.25" customHeight="1" spans="2:14">
      <c r="B2727" s="57"/>
      <c r="C2727" s="54"/>
      <c r="D2727" s="55"/>
      <c r="I2727" s="55"/>
      <c r="J2727" s="56"/>
      <c r="K2727" s="56"/>
      <c r="M2727" s="55"/>
      <c r="N2727" s="55"/>
    </row>
    <row r="2728" ht="14.25" customHeight="1" spans="2:14">
      <c r="B2728" s="57"/>
      <c r="C2728" s="54"/>
      <c r="D2728" s="55"/>
      <c r="I2728" s="55"/>
      <c r="J2728" s="56"/>
      <c r="K2728" s="56"/>
      <c r="M2728" s="55"/>
      <c r="N2728" s="55"/>
    </row>
    <row r="2729" ht="14.25" customHeight="1" spans="2:14">
      <c r="B2729" s="57"/>
      <c r="C2729" s="54"/>
      <c r="D2729" s="55"/>
      <c r="I2729" s="55"/>
      <c r="J2729" s="56"/>
      <c r="K2729" s="56"/>
      <c r="M2729" s="55"/>
      <c r="N2729" s="55"/>
    </row>
    <row r="2730" ht="14.25" customHeight="1" spans="2:14">
      <c r="B2730" s="57"/>
      <c r="C2730" s="54"/>
      <c r="D2730" s="55"/>
      <c r="I2730" s="55"/>
      <c r="J2730" s="56"/>
      <c r="K2730" s="56"/>
      <c r="M2730" s="55"/>
      <c r="N2730" s="55"/>
    </row>
    <row r="2731" ht="14.25" customHeight="1" spans="2:14">
      <c r="B2731" s="57"/>
      <c r="C2731" s="54"/>
      <c r="D2731" s="55"/>
      <c r="I2731" s="55"/>
      <c r="J2731" s="56"/>
      <c r="K2731" s="56"/>
      <c r="M2731" s="55"/>
      <c r="N2731" s="55"/>
    </row>
    <row r="2732" ht="14.25" customHeight="1" spans="2:14">
      <c r="B2732" s="57"/>
      <c r="C2732" s="54"/>
      <c r="D2732" s="55"/>
      <c r="I2732" s="55"/>
      <c r="J2732" s="56"/>
      <c r="K2732" s="56"/>
      <c r="M2732" s="55"/>
      <c r="N2732" s="55"/>
    </row>
    <row r="2733" ht="14.25" customHeight="1" spans="2:14">
      <c r="B2733" s="57"/>
      <c r="C2733" s="54"/>
      <c r="D2733" s="55"/>
      <c r="I2733" s="55"/>
      <c r="J2733" s="56"/>
      <c r="K2733" s="56"/>
      <c r="M2733" s="55"/>
      <c r="N2733" s="55"/>
    </row>
    <row r="2734" ht="14.25" customHeight="1" spans="2:14">
      <c r="B2734" s="57"/>
      <c r="C2734" s="54"/>
      <c r="D2734" s="55"/>
      <c r="I2734" s="55"/>
      <c r="J2734" s="56"/>
      <c r="K2734" s="56"/>
      <c r="M2734" s="55"/>
      <c r="N2734" s="55"/>
    </row>
    <row r="2735" ht="14.25" customHeight="1" spans="2:14">
      <c r="B2735" s="57"/>
      <c r="C2735" s="54"/>
      <c r="D2735" s="55"/>
      <c r="I2735" s="55"/>
      <c r="J2735" s="56"/>
      <c r="K2735" s="56"/>
      <c r="M2735" s="55"/>
      <c r="N2735" s="55"/>
    </row>
    <row r="2736" ht="14.25" customHeight="1" spans="2:14">
      <c r="B2736" s="57"/>
      <c r="C2736" s="54"/>
      <c r="D2736" s="55"/>
      <c r="I2736" s="55"/>
      <c r="J2736" s="56"/>
      <c r="K2736" s="56"/>
      <c r="M2736" s="55"/>
      <c r="N2736" s="55"/>
    </row>
    <row r="2737" ht="14.25" customHeight="1" spans="2:14">
      <c r="B2737" s="57"/>
      <c r="C2737" s="54"/>
      <c r="D2737" s="55"/>
      <c r="I2737" s="55"/>
      <c r="J2737" s="56"/>
      <c r="K2737" s="56"/>
      <c r="M2737" s="55"/>
      <c r="N2737" s="55"/>
    </row>
    <row r="2738" ht="14.25" customHeight="1" spans="2:14">
      <c r="B2738" s="57"/>
      <c r="C2738" s="54"/>
      <c r="D2738" s="55"/>
      <c r="I2738" s="55"/>
      <c r="J2738" s="56"/>
      <c r="K2738" s="56"/>
      <c r="M2738" s="55"/>
      <c r="N2738" s="55"/>
    </row>
    <row r="2739" ht="14.25" customHeight="1" spans="2:14">
      <c r="B2739" s="57"/>
      <c r="C2739" s="54"/>
      <c r="D2739" s="55"/>
      <c r="I2739" s="55"/>
      <c r="J2739" s="56"/>
      <c r="K2739" s="56"/>
      <c r="M2739" s="55"/>
      <c r="N2739" s="55"/>
    </row>
    <row r="2740" ht="14.25" customHeight="1" spans="2:14">
      <c r="B2740" s="57"/>
      <c r="C2740" s="54"/>
      <c r="D2740" s="55"/>
      <c r="I2740" s="55"/>
      <c r="J2740" s="56"/>
      <c r="K2740" s="56"/>
      <c r="M2740" s="55"/>
      <c r="N2740" s="55"/>
    </row>
    <row r="2741" ht="14.25" customHeight="1" spans="2:14">
      <c r="B2741" s="57"/>
      <c r="C2741" s="54"/>
      <c r="D2741" s="55"/>
      <c r="I2741" s="55"/>
      <c r="J2741" s="56"/>
      <c r="K2741" s="56"/>
      <c r="M2741" s="55"/>
      <c r="N2741" s="55"/>
    </row>
    <row r="2742" ht="14.25" customHeight="1" spans="2:14">
      <c r="B2742" s="57"/>
      <c r="C2742" s="54"/>
      <c r="D2742" s="55"/>
      <c r="I2742" s="55"/>
      <c r="J2742" s="56"/>
      <c r="K2742" s="56"/>
      <c r="M2742" s="55"/>
      <c r="N2742" s="55"/>
    </row>
    <row r="2743" ht="14.25" customHeight="1" spans="2:14">
      <c r="B2743" s="57"/>
      <c r="C2743" s="54"/>
      <c r="D2743" s="55"/>
      <c r="I2743" s="55"/>
      <c r="J2743" s="56"/>
      <c r="K2743" s="56"/>
      <c r="M2743" s="55"/>
      <c r="N2743" s="55"/>
    </row>
    <row r="2744" ht="14.25" customHeight="1" spans="2:14">
      <c r="B2744" s="57"/>
      <c r="C2744" s="54"/>
      <c r="D2744" s="55"/>
      <c r="I2744" s="55"/>
      <c r="J2744" s="56"/>
      <c r="K2744" s="56"/>
      <c r="M2744" s="55"/>
      <c r="N2744" s="55"/>
    </row>
    <row r="2745" ht="14.25" customHeight="1" spans="2:14">
      <c r="B2745" s="57"/>
      <c r="C2745" s="54"/>
      <c r="D2745" s="55"/>
      <c r="I2745" s="55"/>
      <c r="J2745" s="56"/>
      <c r="K2745" s="56"/>
      <c r="M2745" s="55"/>
      <c r="N2745" s="55"/>
    </row>
    <row r="2746" ht="14.25" customHeight="1" spans="2:14">
      <c r="B2746" s="57"/>
      <c r="C2746" s="54"/>
      <c r="D2746" s="55"/>
      <c r="I2746" s="55"/>
      <c r="J2746" s="56"/>
      <c r="K2746" s="56"/>
      <c r="M2746" s="55"/>
      <c r="N2746" s="55"/>
    </row>
    <row r="2747" ht="14.25" customHeight="1" spans="2:14">
      <c r="B2747" s="57"/>
      <c r="C2747" s="54"/>
      <c r="D2747" s="55"/>
      <c r="I2747" s="55"/>
      <c r="J2747" s="56"/>
      <c r="K2747" s="56"/>
      <c r="M2747" s="55"/>
      <c r="N2747" s="55"/>
    </row>
    <row r="2748" ht="14.25" customHeight="1" spans="2:14">
      <c r="B2748" s="57"/>
      <c r="C2748" s="54"/>
      <c r="D2748" s="55"/>
      <c r="I2748" s="55"/>
      <c r="J2748" s="56"/>
      <c r="K2748" s="56"/>
      <c r="M2748" s="55"/>
      <c r="N2748" s="55"/>
    </row>
    <row r="2749" ht="14.25" customHeight="1" spans="2:14">
      <c r="B2749" s="57"/>
      <c r="C2749" s="54"/>
      <c r="D2749" s="55"/>
      <c r="I2749" s="55"/>
      <c r="J2749" s="56"/>
      <c r="K2749" s="56"/>
      <c r="M2749" s="55"/>
      <c r="N2749" s="55"/>
    </row>
    <row r="2750" ht="14.25" customHeight="1" spans="2:14">
      <c r="B2750" s="57"/>
      <c r="C2750" s="54"/>
      <c r="D2750" s="55"/>
      <c r="I2750" s="55"/>
      <c r="J2750" s="56"/>
      <c r="K2750" s="56"/>
      <c r="M2750" s="55"/>
      <c r="N2750" s="55"/>
    </row>
    <row r="2751" ht="14.25" customHeight="1" spans="2:14">
      <c r="B2751" s="57"/>
      <c r="C2751" s="54"/>
      <c r="D2751" s="55"/>
      <c r="I2751" s="55"/>
      <c r="J2751" s="56"/>
      <c r="K2751" s="56"/>
      <c r="M2751" s="55"/>
      <c r="N2751" s="55"/>
    </row>
    <row r="2752" ht="14.25" customHeight="1" spans="2:14">
      <c r="B2752" s="57"/>
      <c r="C2752" s="54"/>
      <c r="D2752" s="55"/>
      <c r="I2752" s="55"/>
      <c r="J2752" s="56"/>
      <c r="K2752" s="56"/>
      <c r="M2752" s="55"/>
      <c r="N2752" s="55"/>
    </row>
    <row r="2753" ht="14.25" customHeight="1" spans="2:14">
      <c r="B2753" s="57"/>
      <c r="C2753" s="54"/>
      <c r="D2753" s="55"/>
      <c r="I2753" s="55"/>
      <c r="J2753" s="56"/>
      <c r="K2753" s="56"/>
      <c r="M2753" s="55"/>
      <c r="N2753" s="55"/>
    </row>
    <row r="2754" ht="14.25" customHeight="1" spans="2:14">
      <c r="B2754" s="57"/>
      <c r="C2754" s="54"/>
      <c r="D2754" s="55"/>
      <c r="I2754" s="55"/>
      <c r="J2754" s="56"/>
      <c r="K2754" s="56"/>
      <c r="M2754" s="55"/>
      <c r="N2754" s="55"/>
    </row>
    <row r="2755" ht="14.25" customHeight="1" spans="2:14">
      <c r="B2755" s="57"/>
      <c r="C2755" s="54"/>
      <c r="D2755" s="55"/>
      <c r="I2755" s="55"/>
      <c r="J2755" s="56"/>
      <c r="K2755" s="56"/>
      <c r="M2755" s="55"/>
      <c r="N2755" s="55"/>
    </row>
    <row r="2756" ht="14.25" customHeight="1" spans="2:14">
      <c r="B2756" s="57"/>
      <c r="C2756" s="54"/>
      <c r="D2756" s="55"/>
      <c r="I2756" s="55"/>
      <c r="J2756" s="56"/>
      <c r="K2756" s="56"/>
      <c r="M2756" s="55"/>
      <c r="N2756" s="55"/>
    </row>
    <row r="2757" ht="14.25" customHeight="1" spans="2:14">
      <c r="B2757" s="57"/>
      <c r="C2757" s="54"/>
      <c r="D2757" s="55"/>
      <c r="I2757" s="55"/>
      <c r="J2757" s="56"/>
      <c r="K2757" s="56"/>
      <c r="M2757" s="55"/>
      <c r="N2757" s="55"/>
    </row>
    <row r="2758" ht="14.25" customHeight="1" spans="2:14">
      <c r="B2758" s="57"/>
      <c r="C2758" s="54"/>
      <c r="D2758" s="55"/>
      <c r="I2758" s="55"/>
      <c r="J2758" s="56"/>
      <c r="K2758" s="56"/>
      <c r="M2758" s="55"/>
      <c r="N2758" s="55"/>
    </row>
    <row r="2759" ht="14.25" customHeight="1" spans="2:14">
      <c r="B2759" s="57"/>
      <c r="C2759" s="54"/>
      <c r="D2759" s="55"/>
      <c r="I2759" s="55"/>
      <c r="J2759" s="56"/>
      <c r="K2759" s="56"/>
      <c r="M2759" s="55"/>
      <c r="N2759" s="55"/>
    </row>
    <row r="2760" ht="14.25" customHeight="1" spans="2:14">
      <c r="B2760" s="57"/>
      <c r="C2760" s="54"/>
      <c r="D2760" s="55"/>
      <c r="I2760" s="55"/>
      <c r="J2760" s="56"/>
      <c r="K2760" s="56"/>
      <c r="M2760" s="55"/>
      <c r="N2760" s="55"/>
    </row>
    <row r="2761" ht="14.25" customHeight="1" spans="2:14">
      <c r="B2761" s="57"/>
      <c r="C2761" s="54"/>
      <c r="D2761" s="55"/>
      <c r="I2761" s="55"/>
      <c r="J2761" s="56"/>
      <c r="K2761" s="56"/>
      <c r="M2761" s="55"/>
      <c r="N2761" s="55"/>
    </row>
    <row r="2762" ht="14.25" customHeight="1" spans="2:14">
      <c r="B2762" s="57"/>
      <c r="C2762" s="54"/>
      <c r="D2762" s="55"/>
      <c r="I2762" s="55"/>
      <c r="J2762" s="56"/>
      <c r="K2762" s="56"/>
      <c r="M2762" s="55"/>
      <c r="N2762" s="55"/>
    </row>
    <row r="2763" ht="14.25" customHeight="1" spans="2:14">
      <c r="B2763" s="57"/>
      <c r="C2763" s="54"/>
      <c r="D2763" s="55"/>
      <c r="I2763" s="55"/>
      <c r="J2763" s="56"/>
      <c r="K2763" s="56"/>
      <c r="M2763" s="55"/>
      <c r="N2763" s="55"/>
    </row>
    <row r="2764" ht="14.25" customHeight="1" spans="2:14">
      <c r="B2764" s="57"/>
      <c r="C2764" s="54"/>
      <c r="D2764" s="55"/>
      <c r="I2764" s="55"/>
      <c r="J2764" s="56"/>
      <c r="K2764" s="56"/>
      <c r="M2764" s="55"/>
      <c r="N2764" s="55"/>
    </row>
    <row r="2765" ht="14.25" customHeight="1" spans="2:14">
      <c r="B2765" s="57"/>
      <c r="C2765" s="54"/>
      <c r="D2765" s="55"/>
      <c r="I2765" s="55"/>
      <c r="J2765" s="56"/>
      <c r="K2765" s="56"/>
      <c r="M2765" s="55"/>
      <c r="N2765" s="55"/>
    </row>
    <row r="2766" ht="14.25" customHeight="1" spans="2:14">
      <c r="B2766" s="57"/>
      <c r="C2766" s="54"/>
      <c r="D2766" s="55"/>
      <c r="I2766" s="55"/>
      <c r="J2766" s="56"/>
      <c r="K2766" s="56"/>
      <c r="M2766" s="55"/>
      <c r="N2766" s="55"/>
    </row>
    <row r="2767" ht="14.25" customHeight="1" spans="2:14">
      <c r="B2767" s="57"/>
      <c r="C2767" s="54"/>
      <c r="D2767" s="55"/>
      <c r="I2767" s="55"/>
      <c r="J2767" s="56"/>
      <c r="K2767" s="56"/>
      <c r="M2767" s="55"/>
      <c r="N2767" s="55"/>
    </row>
    <row r="2768" ht="14.25" customHeight="1" spans="2:14">
      <c r="B2768" s="57"/>
      <c r="C2768" s="54"/>
      <c r="D2768" s="55"/>
      <c r="I2768" s="55"/>
      <c r="J2768" s="56"/>
      <c r="K2768" s="56"/>
      <c r="M2768" s="55"/>
      <c r="N2768" s="55"/>
    </row>
    <row r="2769" ht="14.25" customHeight="1" spans="2:14">
      <c r="B2769" s="57"/>
      <c r="C2769" s="54"/>
      <c r="D2769" s="55"/>
      <c r="I2769" s="55"/>
      <c r="J2769" s="56"/>
      <c r="K2769" s="56"/>
      <c r="M2769" s="55"/>
      <c r="N2769" s="55"/>
    </row>
    <row r="2770" ht="14.25" customHeight="1" spans="2:14">
      <c r="B2770" s="57"/>
      <c r="C2770" s="54"/>
      <c r="D2770" s="55"/>
      <c r="I2770" s="55"/>
      <c r="J2770" s="56"/>
      <c r="K2770" s="56"/>
      <c r="M2770" s="55"/>
      <c r="N2770" s="55"/>
    </row>
    <row r="2771" ht="14.25" customHeight="1" spans="2:14">
      <c r="B2771" s="57"/>
      <c r="C2771" s="54"/>
      <c r="D2771" s="55"/>
      <c r="I2771" s="55"/>
      <c r="J2771" s="56"/>
      <c r="K2771" s="56"/>
      <c r="M2771" s="55"/>
      <c r="N2771" s="55"/>
    </row>
    <row r="2772" ht="14.25" customHeight="1" spans="2:14">
      <c r="B2772" s="57"/>
      <c r="C2772" s="54"/>
      <c r="D2772" s="55"/>
      <c r="I2772" s="55"/>
      <c r="J2772" s="56"/>
      <c r="K2772" s="56"/>
      <c r="M2772" s="55"/>
      <c r="N2772" s="55"/>
    </row>
    <row r="2773" ht="14.25" customHeight="1" spans="2:14">
      <c r="B2773" s="57"/>
      <c r="C2773" s="54"/>
      <c r="D2773" s="55"/>
      <c r="I2773" s="55"/>
      <c r="J2773" s="56"/>
      <c r="K2773" s="56"/>
      <c r="M2773" s="55"/>
      <c r="N2773" s="55"/>
    </row>
    <row r="2774" ht="14.25" customHeight="1" spans="2:14">
      <c r="B2774" s="57"/>
      <c r="C2774" s="54"/>
      <c r="D2774" s="55"/>
      <c r="I2774" s="55"/>
      <c r="J2774" s="56"/>
      <c r="K2774" s="56"/>
      <c r="M2774" s="55"/>
      <c r="N2774" s="55"/>
    </row>
    <row r="2775" ht="14.25" customHeight="1" spans="2:14">
      <c r="B2775" s="57"/>
      <c r="C2775" s="54"/>
      <c r="D2775" s="55"/>
      <c r="I2775" s="55"/>
      <c r="J2775" s="56"/>
      <c r="K2775" s="56"/>
      <c r="M2775" s="55"/>
      <c r="N2775" s="55"/>
    </row>
    <row r="2776" ht="14.25" customHeight="1" spans="2:14">
      <c r="B2776" s="57"/>
      <c r="C2776" s="54"/>
      <c r="D2776" s="55"/>
      <c r="I2776" s="55"/>
      <c r="J2776" s="56"/>
      <c r="K2776" s="56"/>
      <c r="M2776" s="55"/>
      <c r="N2776" s="55"/>
    </row>
    <row r="2777" ht="14.25" customHeight="1" spans="2:14">
      <c r="B2777" s="57"/>
      <c r="C2777" s="54"/>
      <c r="D2777" s="55"/>
      <c r="I2777" s="55"/>
      <c r="J2777" s="56"/>
      <c r="K2777" s="56"/>
      <c r="M2777" s="55"/>
      <c r="N2777" s="55"/>
    </row>
    <row r="2778" ht="14.25" customHeight="1" spans="2:14">
      <c r="B2778" s="57"/>
      <c r="C2778" s="54"/>
      <c r="D2778" s="55"/>
      <c r="I2778" s="55"/>
      <c r="J2778" s="56"/>
      <c r="K2778" s="56"/>
      <c r="M2778" s="55"/>
      <c r="N2778" s="55"/>
    </row>
    <row r="2779" ht="14.25" customHeight="1" spans="2:14">
      <c r="B2779" s="57"/>
      <c r="C2779" s="54"/>
      <c r="D2779" s="55"/>
      <c r="I2779" s="55"/>
      <c r="J2779" s="56"/>
      <c r="K2779" s="56"/>
      <c r="M2779" s="55"/>
      <c r="N2779" s="55"/>
    </row>
    <row r="2780" ht="14.25" customHeight="1" spans="2:14">
      <c r="B2780" s="57"/>
      <c r="C2780" s="54"/>
      <c r="D2780" s="55"/>
      <c r="I2780" s="55"/>
      <c r="J2780" s="56"/>
      <c r="K2780" s="56"/>
      <c r="M2780" s="55"/>
      <c r="N2780" s="55"/>
    </row>
    <row r="2781" ht="14.25" customHeight="1" spans="2:14">
      <c r="B2781" s="57"/>
      <c r="C2781" s="54"/>
      <c r="D2781" s="55"/>
      <c r="I2781" s="55"/>
      <c r="J2781" s="56"/>
      <c r="K2781" s="56"/>
      <c r="M2781" s="55"/>
      <c r="N2781" s="55"/>
    </row>
    <row r="2782" ht="14.25" customHeight="1" spans="2:14">
      <c r="B2782" s="57"/>
      <c r="C2782" s="54"/>
      <c r="D2782" s="55"/>
      <c r="I2782" s="55"/>
      <c r="J2782" s="56"/>
      <c r="K2782" s="56"/>
      <c r="M2782" s="55"/>
      <c r="N2782" s="55"/>
    </row>
    <row r="2783" ht="14.25" customHeight="1" spans="2:14">
      <c r="B2783" s="57"/>
      <c r="C2783" s="54"/>
      <c r="D2783" s="55"/>
      <c r="I2783" s="55"/>
      <c r="J2783" s="56"/>
      <c r="K2783" s="56"/>
      <c r="M2783" s="55"/>
      <c r="N2783" s="55"/>
    </row>
    <row r="2784" ht="14.25" customHeight="1" spans="2:14">
      <c r="B2784" s="57"/>
      <c r="C2784" s="54"/>
      <c r="D2784" s="55"/>
      <c r="I2784" s="55"/>
      <c r="J2784" s="56"/>
      <c r="K2784" s="56"/>
      <c r="M2784" s="55"/>
      <c r="N2784" s="55"/>
    </row>
    <row r="2785" ht="14.25" customHeight="1" spans="2:14">
      <c r="B2785" s="57"/>
      <c r="C2785" s="54"/>
      <c r="D2785" s="55"/>
      <c r="I2785" s="55"/>
      <c r="J2785" s="56"/>
      <c r="K2785" s="56"/>
      <c r="M2785" s="55"/>
      <c r="N2785" s="55"/>
    </row>
    <row r="2786" ht="14.25" customHeight="1" spans="2:14">
      <c r="B2786" s="57"/>
      <c r="C2786" s="54"/>
      <c r="D2786" s="55"/>
      <c r="I2786" s="55"/>
      <c r="J2786" s="56"/>
      <c r="K2786" s="56"/>
      <c r="M2786" s="55"/>
      <c r="N2786" s="55"/>
    </row>
    <row r="2787" ht="14.25" customHeight="1" spans="2:14">
      <c r="B2787" s="57"/>
      <c r="C2787" s="54"/>
      <c r="D2787" s="55"/>
      <c r="I2787" s="55"/>
      <c r="J2787" s="56"/>
      <c r="K2787" s="56"/>
      <c r="M2787" s="55"/>
      <c r="N2787" s="55"/>
    </row>
    <row r="2788" ht="14.25" customHeight="1" spans="2:14">
      <c r="B2788" s="57"/>
      <c r="C2788" s="54"/>
      <c r="D2788" s="55"/>
      <c r="I2788" s="55"/>
      <c r="J2788" s="56"/>
      <c r="K2788" s="56"/>
      <c r="M2788" s="55"/>
      <c r="N2788" s="55"/>
    </row>
    <row r="2789" ht="14.25" customHeight="1" spans="2:14">
      <c r="B2789" s="57"/>
      <c r="C2789" s="54"/>
      <c r="D2789" s="55"/>
      <c r="I2789" s="55"/>
      <c r="J2789" s="56"/>
      <c r="K2789" s="56"/>
      <c r="M2789" s="55"/>
      <c r="N2789" s="55"/>
    </row>
    <row r="2790" ht="14.25" customHeight="1" spans="2:14">
      <c r="B2790" s="57"/>
      <c r="C2790" s="54"/>
      <c r="D2790" s="55"/>
      <c r="I2790" s="55"/>
      <c r="J2790" s="56"/>
      <c r="K2790" s="56"/>
      <c r="M2790" s="55"/>
      <c r="N2790" s="55"/>
    </row>
    <row r="2791" ht="14.25" customHeight="1" spans="2:14">
      <c r="B2791" s="57"/>
      <c r="C2791" s="54"/>
      <c r="D2791" s="55"/>
      <c r="I2791" s="55"/>
      <c r="J2791" s="56"/>
      <c r="K2791" s="56"/>
      <c r="M2791" s="55"/>
      <c r="N2791" s="55"/>
    </row>
    <row r="2792" ht="14.25" customHeight="1" spans="2:14">
      <c r="B2792" s="57"/>
      <c r="C2792" s="54"/>
      <c r="D2792" s="55"/>
      <c r="I2792" s="55"/>
      <c r="J2792" s="56"/>
      <c r="K2792" s="56"/>
      <c r="M2792" s="55"/>
      <c r="N2792" s="55"/>
    </row>
    <row r="2793" ht="14.25" customHeight="1" spans="2:14">
      <c r="B2793" s="57"/>
      <c r="C2793" s="54"/>
      <c r="D2793" s="55"/>
      <c r="I2793" s="55"/>
      <c r="J2793" s="56"/>
      <c r="K2793" s="56"/>
      <c r="M2793" s="55"/>
      <c r="N2793" s="55"/>
    </row>
    <row r="2794" ht="14.25" customHeight="1" spans="2:14">
      <c r="B2794" s="57"/>
      <c r="C2794" s="54"/>
      <c r="D2794" s="55"/>
      <c r="I2794" s="55"/>
      <c r="J2794" s="56"/>
      <c r="K2794" s="56"/>
      <c r="M2794" s="55"/>
      <c r="N2794" s="55"/>
    </row>
    <row r="2795" ht="14.25" customHeight="1" spans="2:14">
      <c r="B2795" s="57"/>
      <c r="C2795" s="54"/>
      <c r="D2795" s="55"/>
      <c r="I2795" s="55"/>
      <c r="J2795" s="56"/>
      <c r="K2795" s="56"/>
      <c r="M2795" s="55"/>
      <c r="N2795" s="55"/>
    </row>
    <row r="2796" ht="14.25" customHeight="1" spans="2:14">
      <c r="B2796" s="57"/>
      <c r="C2796" s="54"/>
      <c r="D2796" s="55"/>
      <c r="I2796" s="55"/>
      <c r="J2796" s="56"/>
      <c r="K2796" s="56"/>
      <c r="M2796" s="55"/>
      <c r="N2796" s="55"/>
    </row>
    <row r="2797" ht="14.25" customHeight="1" spans="2:14">
      <c r="B2797" s="57"/>
      <c r="C2797" s="54"/>
      <c r="D2797" s="55"/>
      <c r="I2797" s="55"/>
      <c r="J2797" s="56"/>
      <c r="K2797" s="56"/>
      <c r="M2797" s="55"/>
      <c r="N2797" s="55"/>
    </row>
    <row r="2798" ht="14.25" customHeight="1" spans="2:14">
      <c r="B2798" s="57"/>
      <c r="C2798" s="54"/>
      <c r="D2798" s="55"/>
      <c r="I2798" s="55"/>
      <c r="J2798" s="56"/>
      <c r="K2798" s="56"/>
      <c r="M2798" s="55"/>
      <c r="N2798" s="55"/>
    </row>
    <row r="2799" ht="14.25" customHeight="1" spans="2:14">
      <c r="B2799" s="57"/>
      <c r="C2799" s="54"/>
      <c r="D2799" s="55"/>
      <c r="I2799" s="55"/>
      <c r="J2799" s="56"/>
      <c r="K2799" s="56"/>
      <c r="M2799" s="55"/>
      <c r="N2799" s="55"/>
    </row>
    <row r="2800" ht="14.25" customHeight="1" spans="2:14">
      <c r="B2800" s="57"/>
      <c r="C2800" s="54"/>
      <c r="D2800" s="55"/>
      <c r="I2800" s="55"/>
      <c r="J2800" s="56"/>
      <c r="K2800" s="56"/>
      <c r="M2800" s="55"/>
      <c r="N2800" s="55"/>
    </row>
    <row r="2801" ht="14.25" customHeight="1" spans="2:14">
      <c r="B2801" s="57"/>
      <c r="C2801" s="54"/>
      <c r="D2801" s="55"/>
      <c r="I2801" s="55"/>
      <c r="J2801" s="56"/>
      <c r="K2801" s="56"/>
      <c r="M2801" s="55"/>
      <c r="N2801" s="55"/>
    </row>
    <row r="2802" ht="14.25" customHeight="1" spans="2:14">
      <c r="B2802" s="57"/>
      <c r="C2802" s="54"/>
      <c r="D2802" s="55"/>
      <c r="I2802" s="55"/>
      <c r="J2802" s="56"/>
      <c r="K2802" s="56"/>
      <c r="M2802" s="55"/>
      <c r="N2802" s="55"/>
    </row>
    <row r="2803" ht="14.25" customHeight="1" spans="2:14">
      <c r="B2803" s="57"/>
      <c r="C2803" s="54"/>
      <c r="D2803" s="55"/>
      <c r="I2803" s="55"/>
      <c r="J2803" s="56"/>
      <c r="K2803" s="56"/>
      <c r="M2803" s="55"/>
      <c r="N2803" s="55"/>
    </row>
    <row r="2804" ht="14.25" customHeight="1" spans="2:14">
      <c r="B2804" s="57"/>
      <c r="C2804" s="54"/>
      <c r="D2804" s="55"/>
      <c r="I2804" s="55"/>
      <c r="J2804" s="56"/>
      <c r="K2804" s="56"/>
      <c r="M2804" s="55"/>
      <c r="N2804" s="55"/>
    </row>
    <row r="2805" ht="14.25" customHeight="1" spans="2:14">
      <c r="B2805" s="57"/>
      <c r="C2805" s="54"/>
      <c r="D2805" s="55"/>
      <c r="I2805" s="55"/>
      <c r="J2805" s="56"/>
      <c r="K2805" s="56"/>
      <c r="M2805" s="55"/>
      <c r="N2805" s="55"/>
    </row>
    <row r="2806" ht="14.25" customHeight="1" spans="2:14">
      <c r="B2806" s="57"/>
      <c r="C2806" s="54"/>
      <c r="D2806" s="55"/>
      <c r="I2806" s="55"/>
      <c r="J2806" s="56"/>
      <c r="K2806" s="56"/>
      <c r="M2806" s="55"/>
      <c r="N2806" s="55"/>
    </row>
    <row r="2807" ht="14.25" customHeight="1" spans="2:14">
      <c r="B2807" s="57"/>
      <c r="C2807" s="54"/>
      <c r="D2807" s="55"/>
      <c r="I2807" s="55"/>
      <c r="J2807" s="56"/>
      <c r="K2807" s="56"/>
      <c r="M2807" s="55"/>
      <c r="N2807" s="55"/>
    </row>
    <row r="2808" ht="14.25" customHeight="1" spans="2:14">
      <c r="B2808" s="57"/>
      <c r="C2808" s="54"/>
      <c r="D2808" s="55"/>
      <c r="I2808" s="55"/>
      <c r="J2808" s="56"/>
      <c r="K2808" s="56"/>
      <c r="M2808" s="55"/>
      <c r="N2808" s="55"/>
    </row>
    <row r="2809" ht="14.25" customHeight="1" spans="2:14">
      <c r="B2809" s="57"/>
      <c r="C2809" s="54"/>
      <c r="D2809" s="55"/>
      <c r="I2809" s="55"/>
      <c r="J2809" s="56"/>
      <c r="K2809" s="56"/>
      <c r="M2809" s="55"/>
      <c r="N2809" s="55"/>
    </row>
    <row r="2810" ht="14.25" customHeight="1" spans="2:14">
      <c r="B2810" s="57"/>
      <c r="C2810" s="54"/>
      <c r="D2810" s="55"/>
      <c r="I2810" s="55"/>
      <c r="J2810" s="56"/>
      <c r="K2810" s="56"/>
      <c r="M2810" s="55"/>
      <c r="N2810" s="55"/>
    </row>
    <row r="2811" ht="14.25" customHeight="1" spans="2:14">
      <c r="B2811" s="57"/>
      <c r="C2811" s="54"/>
      <c r="D2811" s="55"/>
      <c r="I2811" s="55"/>
      <c r="J2811" s="56"/>
      <c r="K2811" s="56"/>
      <c r="M2811" s="55"/>
      <c r="N2811" s="55"/>
    </row>
    <row r="2812" ht="14.25" customHeight="1" spans="2:14">
      <c r="B2812" s="57"/>
      <c r="C2812" s="54"/>
      <c r="D2812" s="55"/>
      <c r="I2812" s="55"/>
      <c r="J2812" s="56"/>
      <c r="K2812" s="56"/>
      <c r="M2812" s="55"/>
      <c r="N2812" s="55"/>
    </row>
    <row r="2813" ht="14.25" customHeight="1" spans="2:14">
      <c r="B2813" s="57"/>
      <c r="C2813" s="54"/>
      <c r="D2813" s="55"/>
      <c r="I2813" s="55"/>
      <c r="J2813" s="56"/>
      <c r="K2813" s="56"/>
      <c r="M2813" s="55"/>
      <c r="N2813" s="55"/>
    </row>
    <row r="2814" ht="14.25" customHeight="1" spans="2:14">
      <c r="B2814" s="57"/>
      <c r="C2814" s="54"/>
      <c r="D2814" s="55"/>
      <c r="I2814" s="55"/>
      <c r="J2814" s="56"/>
      <c r="K2814" s="56"/>
      <c r="M2814" s="55"/>
      <c r="N2814" s="55"/>
    </row>
    <row r="2815" ht="14.25" customHeight="1" spans="2:14">
      <c r="B2815" s="57"/>
      <c r="C2815" s="54"/>
      <c r="D2815" s="55"/>
      <c r="I2815" s="55"/>
      <c r="J2815" s="56"/>
      <c r="K2815" s="56"/>
      <c r="M2815" s="55"/>
      <c r="N2815" s="55"/>
    </row>
    <row r="2816" ht="14.25" customHeight="1" spans="2:14">
      <c r="B2816" s="57"/>
      <c r="C2816" s="54"/>
      <c r="D2816" s="55"/>
      <c r="I2816" s="55"/>
      <c r="J2816" s="56"/>
      <c r="K2816" s="56"/>
      <c r="M2816" s="55"/>
      <c r="N2816" s="55"/>
    </row>
    <row r="2817" ht="14.25" customHeight="1" spans="2:14">
      <c r="B2817" s="57"/>
      <c r="C2817" s="54"/>
      <c r="D2817" s="55"/>
      <c r="I2817" s="55"/>
      <c r="J2817" s="56"/>
      <c r="K2817" s="56"/>
      <c r="M2817" s="55"/>
      <c r="N2817" s="55"/>
    </row>
    <row r="2818" ht="14.25" customHeight="1" spans="2:14">
      <c r="B2818" s="57"/>
      <c r="C2818" s="54"/>
      <c r="D2818" s="55"/>
      <c r="I2818" s="55"/>
      <c r="J2818" s="56"/>
      <c r="K2818" s="56"/>
      <c r="M2818" s="55"/>
      <c r="N2818" s="55"/>
    </row>
    <row r="2819" ht="14.25" customHeight="1" spans="2:14">
      <c r="B2819" s="57"/>
      <c r="C2819" s="54"/>
      <c r="D2819" s="55"/>
      <c r="I2819" s="55"/>
      <c r="J2819" s="56"/>
      <c r="K2819" s="56"/>
      <c r="M2819" s="55"/>
      <c r="N2819" s="55"/>
    </row>
    <row r="2820" ht="14.25" customHeight="1" spans="2:14">
      <c r="B2820" s="57"/>
      <c r="C2820" s="54"/>
      <c r="D2820" s="55"/>
      <c r="I2820" s="55"/>
      <c r="J2820" s="56"/>
      <c r="K2820" s="56"/>
      <c r="M2820" s="55"/>
      <c r="N2820" s="55"/>
    </row>
    <row r="2821" ht="14.25" customHeight="1" spans="2:14">
      <c r="B2821" s="57"/>
      <c r="C2821" s="54"/>
      <c r="D2821" s="55"/>
      <c r="I2821" s="55"/>
      <c r="J2821" s="56"/>
      <c r="K2821" s="56"/>
      <c r="M2821" s="55"/>
      <c r="N2821" s="55"/>
    </row>
    <row r="2822" ht="14.25" customHeight="1" spans="2:14">
      <c r="B2822" s="57"/>
      <c r="C2822" s="54"/>
      <c r="D2822" s="55"/>
      <c r="I2822" s="55"/>
      <c r="J2822" s="56"/>
      <c r="K2822" s="56"/>
      <c r="M2822" s="55"/>
      <c r="N2822" s="55"/>
    </row>
    <row r="2823" ht="14.25" customHeight="1" spans="2:14">
      <c r="B2823" s="57"/>
      <c r="C2823" s="54"/>
      <c r="D2823" s="55"/>
      <c r="I2823" s="55"/>
      <c r="J2823" s="56"/>
      <c r="K2823" s="56"/>
      <c r="M2823" s="55"/>
      <c r="N2823" s="55"/>
    </row>
    <row r="2824" ht="14.25" customHeight="1" spans="2:14">
      <c r="B2824" s="57"/>
      <c r="C2824" s="54"/>
      <c r="D2824" s="55"/>
      <c r="I2824" s="55"/>
      <c r="J2824" s="56"/>
      <c r="K2824" s="56"/>
      <c r="M2824" s="55"/>
      <c r="N2824" s="55"/>
    </row>
    <row r="2825" ht="14.25" customHeight="1" spans="2:14">
      <c r="B2825" s="57"/>
      <c r="C2825" s="54"/>
      <c r="D2825" s="55"/>
      <c r="I2825" s="55"/>
      <c r="J2825" s="56"/>
      <c r="K2825" s="56"/>
      <c r="M2825" s="55"/>
      <c r="N2825" s="55"/>
    </row>
    <row r="2826" ht="14.25" customHeight="1" spans="2:14">
      <c r="B2826" s="57"/>
      <c r="C2826" s="54"/>
      <c r="D2826" s="55"/>
      <c r="I2826" s="55"/>
      <c r="J2826" s="56"/>
      <c r="K2826" s="56"/>
      <c r="M2826" s="55"/>
      <c r="N2826" s="55"/>
    </row>
    <row r="2827" ht="14.25" customHeight="1" spans="2:14">
      <c r="B2827" s="57"/>
      <c r="C2827" s="54"/>
      <c r="D2827" s="55"/>
      <c r="I2827" s="55"/>
      <c r="J2827" s="56"/>
      <c r="K2827" s="56"/>
      <c r="M2827" s="55"/>
      <c r="N2827" s="55"/>
    </row>
    <row r="2828" ht="14.25" customHeight="1" spans="2:14">
      <c r="B2828" s="57"/>
      <c r="C2828" s="54"/>
      <c r="D2828" s="55"/>
      <c r="I2828" s="55"/>
      <c r="J2828" s="56"/>
      <c r="K2828" s="56"/>
      <c r="M2828" s="55"/>
      <c r="N2828" s="55"/>
    </row>
    <row r="2829" ht="14.25" customHeight="1" spans="2:14">
      <c r="B2829" s="57"/>
      <c r="C2829" s="54"/>
      <c r="D2829" s="55"/>
      <c r="I2829" s="55"/>
      <c r="J2829" s="56"/>
      <c r="K2829" s="56"/>
      <c r="M2829" s="55"/>
      <c r="N2829" s="55"/>
    </row>
    <row r="2830" ht="14.25" customHeight="1" spans="2:14">
      <c r="B2830" s="57"/>
      <c r="C2830" s="54"/>
      <c r="D2830" s="55"/>
      <c r="I2830" s="55"/>
      <c r="J2830" s="56"/>
      <c r="K2830" s="56"/>
      <c r="M2830" s="55"/>
      <c r="N2830" s="55"/>
    </row>
    <row r="2831" ht="14.25" customHeight="1" spans="2:14">
      <c r="B2831" s="57"/>
      <c r="C2831" s="54"/>
      <c r="D2831" s="55"/>
      <c r="I2831" s="55"/>
      <c r="J2831" s="56"/>
      <c r="K2831" s="56"/>
      <c r="M2831" s="55"/>
      <c r="N2831" s="55"/>
    </row>
    <row r="2832" ht="14.25" customHeight="1" spans="2:14">
      <c r="B2832" s="57"/>
      <c r="C2832" s="54"/>
      <c r="D2832" s="55"/>
      <c r="I2832" s="55"/>
      <c r="J2832" s="56"/>
      <c r="K2832" s="56"/>
      <c r="M2832" s="55"/>
      <c r="N2832" s="55"/>
    </row>
    <row r="2833" ht="14.25" customHeight="1" spans="2:14">
      <c r="B2833" s="57"/>
      <c r="C2833" s="54"/>
      <c r="D2833" s="55"/>
      <c r="I2833" s="55"/>
      <c r="J2833" s="56"/>
      <c r="K2833" s="56"/>
      <c r="M2833" s="55"/>
      <c r="N2833" s="55"/>
    </row>
    <row r="2834" ht="14.25" customHeight="1" spans="2:14">
      <c r="B2834" s="57"/>
      <c r="C2834" s="54"/>
      <c r="D2834" s="55"/>
      <c r="I2834" s="55"/>
      <c r="J2834" s="56"/>
      <c r="K2834" s="56"/>
      <c r="M2834" s="55"/>
      <c r="N2834" s="55"/>
    </row>
    <row r="2835" ht="14.25" customHeight="1" spans="2:14">
      <c r="B2835" s="57"/>
      <c r="C2835" s="54"/>
      <c r="D2835" s="55"/>
      <c r="I2835" s="55"/>
      <c r="J2835" s="56"/>
      <c r="K2835" s="56"/>
      <c r="M2835" s="55"/>
      <c r="N2835" s="55"/>
    </row>
    <row r="2836" ht="14.25" customHeight="1" spans="2:14">
      <c r="B2836" s="57"/>
      <c r="C2836" s="54"/>
      <c r="D2836" s="55"/>
      <c r="I2836" s="55"/>
      <c r="J2836" s="56"/>
      <c r="K2836" s="56"/>
      <c r="M2836" s="55"/>
      <c r="N2836" s="55"/>
    </row>
    <row r="2837" ht="14.25" customHeight="1" spans="2:14">
      <c r="B2837" s="57"/>
      <c r="C2837" s="54"/>
      <c r="D2837" s="55"/>
      <c r="I2837" s="55"/>
      <c r="J2837" s="56"/>
      <c r="K2837" s="56"/>
      <c r="M2837" s="55"/>
      <c r="N2837" s="55"/>
    </row>
    <row r="2838" ht="14.25" customHeight="1" spans="2:14">
      <c r="B2838" s="57"/>
      <c r="C2838" s="54"/>
      <c r="D2838" s="55"/>
      <c r="I2838" s="55"/>
      <c r="J2838" s="56"/>
      <c r="K2838" s="56"/>
      <c r="M2838" s="55"/>
      <c r="N2838" s="55"/>
    </row>
    <row r="2839" ht="14.25" customHeight="1" spans="2:14">
      <c r="B2839" s="57"/>
      <c r="C2839" s="54"/>
      <c r="D2839" s="55"/>
      <c r="I2839" s="55"/>
      <c r="J2839" s="56"/>
      <c r="K2839" s="56"/>
      <c r="M2839" s="55"/>
      <c r="N2839" s="55"/>
    </row>
    <row r="2840" ht="14.25" customHeight="1" spans="2:14">
      <c r="B2840" s="57"/>
      <c r="C2840" s="54"/>
      <c r="D2840" s="55"/>
      <c r="I2840" s="55"/>
      <c r="J2840" s="56"/>
      <c r="K2840" s="56"/>
      <c r="M2840" s="55"/>
      <c r="N2840" s="55"/>
    </row>
    <row r="2841" ht="14.25" customHeight="1" spans="2:14">
      <c r="B2841" s="57"/>
      <c r="C2841" s="54"/>
      <c r="D2841" s="55"/>
      <c r="I2841" s="55"/>
      <c r="J2841" s="56"/>
      <c r="K2841" s="56"/>
      <c r="M2841" s="55"/>
      <c r="N2841" s="55"/>
    </row>
    <row r="2842" ht="14.25" customHeight="1" spans="2:14">
      <c r="B2842" s="57"/>
      <c r="C2842" s="54"/>
      <c r="D2842" s="55"/>
      <c r="I2842" s="55"/>
      <c r="J2842" s="56"/>
      <c r="K2842" s="56"/>
      <c r="M2842" s="55"/>
      <c r="N2842" s="55"/>
    </row>
    <row r="2843" ht="14.25" customHeight="1" spans="2:14">
      <c r="B2843" s="57"/>
      <c r="C2843" s="54"/>
      <c r="D2843" s="55"/>
      <c r="I2843" s="55"/>
      <c r="J2843" s="56"/>
      <c r="K2843" s="56"/>
      <c r="M2843" s="55"/>
      <c r="N2843" s="55"/>
    </row>
    <row r="2844" ht="14.25" customHeight="1" spans="2:14">
      <c r="B2844" s="57"/>
      <c r="C2844" s="54"/>
      <c r="D2844" s="55"/>
      <c r="I2844" s="55"/>
      <c r="J2844" s="56"/>
      <c r="K2844" s="56"/>
      <c r="M2844" s="55"/>
      <c r="N2844" s="55"/>
    </row>
    <row r="2845" ht="14.25" customHeight="1" spans="2:14">
      <c r="B2845" s="57"/>
      <c r="C2845" s="54"/>
      <c r="D2845" s="55"/>
      <c r="I2845" s="55"/>
      <c r="J2845" s="56"/>
      <c r="K2845" s="56"/>
      <c r="M2845" s="55"/>
      <c r="N2845" s="55"/>
    </row>
    <row r="2846" ht="14.25" customHeight="1" spans="2:14">
      <c r="B2846" s="57"/>
      <c r="C2846" s="54"/>
      <c r="D2846" s="55"/>
      <c r="I2846" s="55"/>
      <c r="J2846" s="56"/>
      <c r="K2846" s="56"/>
      <c r="M2846" s="55"/>
      <c r="N2846" s="55"/>
    </row>
    <row r="2847" ht="14.25" customHeight="1" spans="2:14">
      <c r="B2847" s="57"/>
      <c r="C2847" s="54"/>
      <c r="D2847" s="55"/>
      <c r="I2847" s="55"/>
      <c r="J2847" s="56"/>
      <c r="K2847" s="56"/>
      <c r="M2847" s="55"/>
      <c r="N2847" s="55"/>
    </row>
    <row r="2848" ht="14.25" customHeight="1" spans="2:14">
      <c r="B2848" s="57"/>
      <c r="C2848" s="54"/>
      <c r="D2848" s="55"/>
      <c r="I2848" s="55"/>
      <c r="J2848" s="56"/>
      <c r="K2848" s="56"/>
      <c r="M2848" s="55"/>
      <c r="N2848" s="55"/>
    </row>
    <row r="2849" ht="14.25" customHeight="1" spans="2:14">
      <c r="B2849" s="57"/>
      <c r="C2849" s="54"/>
      <c r="D2849" s="55"/>
      <c r="I2849" s="55"/>
      <c r="J2849" s="56"/>
      <c r="K2849" s="56"/>
      <c r="M2849" s="55"/>
      <c r="N2849" s="55"/>
    </row>
    <row r="2850" ht="14.25" customHeight="1" spans="2:14">
      <c r="B2850" s="57"/>
      <c r="C2850" s="54"/>
      <c r="D2850" s="55"/>
      <c r="I2850" s="55"/>
      <c r="J2850" s="56"/>
      <c r="K2850" s="56"/>
      <c r="M2850" s="55"/>
      <c r="N2850" s="55"/>
    </row>
    <row r="2851" ht="14.25" customHeight="1" spans="2:14">
      <c r="B2851" s="57"/>
      <c r="C2851" s="54"/>
      <c r="D2851" s="55"/>
      <c r="I2851" s="55"/>
      <c r="J2851" s="56"/>
      <c r="K2851" s="56"/>
      <c r="M2851" s="55"/>
      <c r="N2851" s="55"/>
    </row>
    <row r="2852" ht="14.25" customHeight="1" spans="2:14">
      <c r="B2852" s="57"/>
      <c r="C2852" s="54"/>
      <c r="D2852" s="55"/>
      <c r="I2852" s="55"/>
      <c r="J2852" s="56"/>
      <c r="K2852" s="56"/>
      <c r="M2852" s="55"/>
      <c r="N2852" s="55"/>
    </row>
    <row r="2853" ht="14.25" customHeight="1" spans="2:14">
      <c r="B2853" s="57"/>
      <c r="C2853" s="54"/>
      <c r="D2853" s="55"/>
      <c r="I2853" s="55"/>
      <c r="J2853" s="56"/>
      <c r="K2853" s="56"/>
      <c r="M2853" s="55"/>
      <c r="N2853" s="55"/>
    </row>
    <row r="2854" ht="14.25" customHeight="1" spans="2:14">
      <c r="B2854" s="57"/>
      <c r="C2854" s="54"/>
      <c r="D2854" s="55"/>
      <c r="I2854" s="55"/>
      <c r="J2854" s="56"/>
      <c r="K2854" s="56"/>
      <c r="M2854" s="55"/>
      <c r="N2854" s="55"/>
    </row>
    <row r="2855" ht="14.25" customHeight="1" spans="2:14">
      <c r="B2855" s="57"/>
      <c r="C2855" s="54"/>
      <c r="D2855" s="55"/>
      <c r="I2855" s="55"/>
      <c r="J2855" s="56"/>
      <c r="K2855" s="56"/>
      <c r="M2855" s="55"/>
      <c r="N2855" s="55"/>
    </row>
    <row r="2856" ht="14.25" customHeight="1" spans="2:14">
      <c r="B2856" s="57"/>
      <c r="C2856" s="54"/>
      <c r="D2856" s="55"/>
      <c r="I2856" s="55"/>
      <c r="J2856" s="56"/>
      <c r="K2856" s="56"/>
      <c r="M2856" s="55"/>
      <c r="N2856" s="55"/>
    </row>
    <row r="2857" ht="14.25" customHeight="1" spans="2:14">
      <c r="B2857" s="57"/>
      <c r="C2857" s="54"/>
      <c r="D2857" s="55"/>
      <c r="I2857" s="55"/>
      <c r="J2857" s="56"/>
      <c r="K2857" s="56"/>
      <c r="M2857" s="55"/>
      <c r="N2857" s="55"/>
    </row>
    <row r="2858" ht="14.25" customHeight="1" spans="2:14">
      <c r="B2858" s="57"/>
      <c r="C2858" s="54"/>
      <c r="D2858" s="55"/>
      <c r="I2858" s="55"/>
      <c r="J2858" s="56"/>
      <c r="K2858" s="56"/>
      <c r="M2858" s="55"/>
      <c r="N2858" s="55"/>
    </row>
    <row r="2859" ht="14.25" customHeight="1" spans="2:14">
      <c r="B2859" s="57"/>
      <c r="C2859" s="54"/>
      <c r="D2859" s="55"/>
      <c r="I2859" s="55"/>
      <c r="J2859" s="56"/>
      <c r="K2859" s="56"/>
      <c r="M2859" s="55"/>
      <c r="N2859" s="55"/>
    </row>
    <row r="2860" ht="14.25" customHeight="1" spans="2:14">
      <c r="B2860" s="57"/>
      <c r="C2860" s="54"/>
      <c r="D2860" s="55"/>
      <c r="I2860" s="55"/>
      <c r="J2860" s="56"/>
      <c r="K2860" s="56"/>
      <c r="M2860" s="55"/>
      <c r="N2860" s="55"/>
    </row>
    <row r="2861" ht="14.25" customHeight="1" spans="2:14">
      <c r="B2861" s="57"/>
      <c r="C2861" s="54"/>
      <c r="D2861" s="55"/>
      <c r="I2861" s="55"/>
      <c r="J2861" s="56"/>
      <c r="K2861" s="56"/>
      <c r="M2861" s="55"/>
      <c r="N2861" s="55"/>
    </row>
    <row r="2862" ht="14.25" customHeight="1" spans="2:14">
      <c r="B2862" s="57"/>
      <c r="C2862" s="54"/>
      <c r="D2862" s="55"/>
      <c r="I2862" s="55"/>
      <c r="J2862" s="56"/>
      <c r="K2862" s="56"/>
      <c r="M2862" s="55"/>
      <c r="N2862" s="55"/>
    </row>
    <row r="2863" ht="14.25" customHeight="1" spans="2:14">
      <c r="B2863" s="57"/>
      <c r="C2863" s="54"/>
      <c r="D2863" s="55"/>
      <c r="I2863" s="55"/>
      <c r="J2863" s="56"/>
      <c r="K2863" s="56"/>
      <c r="M2863" s="55"/>
      <c r="N2863" s="55"/>
    </row>
    <row r="2864" ht="14.25" customHeight="1" spans="2:14">
      <c r="B2864" s="57"/>
      <c r="C2864" s="54"/>
      <c r="D2864" s="55"/>
      <c r="I2864" s="55"/>
      <c r="J2864" s="56"/>
      <c r="K2864" s="56"/>
      <c r="M2864" s="55"/>
      <c r="N2864" s="55"/>
    </row>
    <row r="2865" ht="14.25" customHeight="1" spans="2:14">
      <c r="B2865" s="57"/>
      <c r="C2865" s="54"/>
      <c r="D2865" s="55"/>
      <c r="I2865" s="55"/>
      <c r="J2865" s="56"/>
      <c r="K2865" s="56"/>
      <c r="M2865" s="55"/>
      <c r="N2865" s="55"/>
    </row>
    <row r="2866" ht="14.25" customHeight="1" spans="2:14">
      <c r="B2866" s="57"/>
      <c r="C2866" s="54"/>
      <c r="D2866" s="55"/>
      <c r="I2866" s="55"/>
      <c r="J2866" s="56"/>
      <c r="K2866" s="56"/>
      <c r="M2866" s="55"/>
      <c r="N2866" s="55"/>
    </row>
    <row r="2867" ht="14.25" customHeight="1" spans="2:14">
      <c r="B2867" s="57"/>
      <c r="C2867" s="54"/>
      <c r="D2867" s="55"/>
      <c r="I2867" s="55"/>
      <c r="J2867" s="56"/>
      <c r="K2867" s="56"/>
      <c r="M2867" s="55"/>
      <c r="N2867" s="55"/>
    </row>
    <row r="2868" ht="14.25" customHeight="1" spans="2:14">
      <c r="B2868" s="57"/>
      <c r="C2868" s="54"/>
      <c r="D2868" s="55"/>
      <c r="I2868" s="55"/>
      <c r="J2868" s="56"/>
      <c r="K2868" s="56"/>
      <c r="M2868" s="55"/>
      <c r="N2868" s="55"/>
    </row>
    <row r="2869" ht="14.25" customHeight="1" spans="2:14">
      <c r="B2869" s="57"/>
      <c r="C2869" s="54"/>
      <c r="D2869" s="55"/>
      <c r="I2869" s="55"/>
      <c r="J2869" s="56"/>
      <c r="K2869" s="56"/>
      <c r="M2869" s="55"/>
      <c r="N2869" s="55"/>
    </row>
    <row r="2870" ht="14.25" customHeight="1" spans="2:14">
      <c r="B2870" s="57"/>
      <c r="C2870" s="54"/>
      <c r="D2870" s="55"/>
      <c r="I2870" s="55"/>
      <c r="J2870" s="56"/>
      <c r="K2870" s="56"/>
      <c r="M2870" s="55"/>
      <c r="N2870" s="55"/>
    </row>
    <row r="2871" ht="14.25" customHeight="1" spans="2:14">
      <c r="B2871" s="57"/>
      <c r="C2871" s="54"/>
      <c r="D2871" s="55"/>
      <c r="I2871" s="55"/>
      <c r="J2871" s="56"/>
      <c r="K2871" s="56"/>
      <c r="M2871" s="55"/>
      <c r="N2871" s="55"/>
    </row>
    <row r="2872" ht="14.25" customHeight="1" spans="2:14">
      <c r="B2872" s="57"/>
      <c r="C2872" s="54"/>
      <c r="D2872" s="55"/>
      <c r="I2872" s="55"/>
      <c r="J2872" s="56"/>
      <c r="K2872" s="56"/>
      <c r="M2872" s="55"/>
      <c r="N2872" s="55"/>
    </row>
    <row r="2873" ht="14.25" customHeight="1" spans="2:14">
      <c r="B2873" s="57"/>
      <c r="C2873" s="54"/>
      <c r="D2873" s="55"/>
      <c r="I2873" s="55"/>
      <c r="J2873" s="56"/>
      <c r="K2873" s="56"/>
      <c r="M2873" s="55"/>
      <c r="N2873" s="55"/>
    </row>
    <row r="2874" ht="14.25" customHeight="1" spans="2:14">
      <c r="B2874" s="57"/>
      <c r="C2874" s="54"/>
      <c r="D2874" s="55"/>
      <c r="I2874" s="55"/>
      <c r="J2874" s="56"/>
      <c r="K2874" s="56"/>
      <c r="M2874" s="55"/>
      <c r="N2874" s="55"/>
    </row>
    <row r="2875" ht="14.25" customHeight="1" spans="2:14">
      <c r="B2875" s="57"/>
      <c r="C2875" s="54"/>
      <c r="D2875" s="55"/>
      <c r="I2875" s="55"/>
      <c r="J2875" s="56"/>
      <c r="K2875" s="56"/>
      <c r="M2875" s="55"/>
      <c r="N2875" s="55"/>
    </row>
    <row r="2876" ht="14.25" customHeight="1" spans="2:14">
      <c r="B2876" s="57"/>
      <c r="C2876" s="54"/>
      <c r="D2876" s="55"/>
      <c r="I2876" s="55"/>
      <c r="J2876" s="56"/>
      <c r="K2876" s="56"/>
      <c r="M2876" s="55"/>
      <c r="N2876" s="55"/>
    </row>
    <row r="2877" ht="14.25" customHeight="1" spans="2:14">
      <c r="B2877" s="57"/>
      <c r="C2877" s="54"/>
      <c r="D2877" s="55"/>
      <c r="I2877" s="55"/>
      <c r="J2877" s="56"/>
      <c r="K2877" s="56"/>
      <c r="M2877" s="55"/>
      <c r="N2877" s="55"/>
    </row>
    <row r="2878" ht="14.25" customHeight="1" spans="2:14">
      <c r="B2878" s="57"/>
      <c r="C2878" s="54"/>
      <c r="D2878" s="55"/>
      <c r="I2878" s="55"/>
      <c r="J2878" s="56"/>
      <c r="K2878" s="56"/>
      <c r="M2878" s="55"/>
      <c r="N2878" s="55"/>
    </row>
    <row r="2879" ht="14.25" customHeight="1" spans="2:14">
      <c r="B2879" s="57"/>
      <c r="C2879" s="54"/>
      <c r="D2879" s="55"/>
      <c r="I2879" s="55"/>
      <c r="J2879" s="56"/>
      <c r="K2879" s="56"/>
      <c r="M2879" s="55"/>
      <c r="N2879" s="55"/>
    </row>
    <row r="2880" ht="14.25" customHeight="1" spans="2:14">
      <c r="B2880" s="57"/>
      <c r="C2880" s="54"/>
      <c r="D2880" s="55"/>
      <c r="I2880" s="55"/>
      <c r="J2880" s="56"/>
      <c r="K2880" s="56"/>
      <c r="M2880" s="55"/>
      <c r="N2880" s="55"/>
    </row>
    <row r="2881" ht="14.25" customHeight="1" spans="2:14">
      <c r="B2881" s="57"/>
      <c r="C2881" s="54"/>
      <c r="D2881" s="55"/>
      <c r="I2881" s="55"/>
      <c r="J2881" s="56"/>
      <c r="K2881" s="56"/>
      <c r="M2881" s="55"/>
      <c r="N2881" s="55"/>
    </row>
    <row r="2882" ht="14.25" customHeight="1" spans="2:14">
      <c r="B2882" s="57"/>
      <c r="C2882" s="54"/>
      <c r="D2882" s="55"/>
      <c r="I2882" s="55"/>
      <c r="J2882" s="56"/>
      <c r="K2882" s="56"/>
      <c r="M2882" s="55"/>
      <c r="N2882" s="55"/>
    </row>
    <row r="2883" ht="14.25" customHeight="1" spans="2:14">
      <c r="B2883" s="57"/>
      <c r="C2883" s="54"/>
      <c r="D2883" s="55"/>
      <c r="I2883" s="55"/>
      <c r="J2883" s="56"/>
      <c r="K2883" s="56"/>
      <c r="M2883" s="55"/>
      <c r="N2883" s="55"/>
    </row>
    <row r="2884" ht="14.25" customHeight="1" spans="2:14">
      <c r="B2884" s="57"/>
      <c r="C2884" s="54"/>
      <c r="D2884" s="55"/>
      <c r="I2884" s="55"/>
      <c r="J2884" s="56"/>
      <c r="K2884" s="56"/>
      <c r="M2884" s="55"/>
      <c r="N2884" s="55"/>
    </row>
    <row r="2885" ht="14.25" customHeight="1" spans="2:14">
      <c r="B2885" s="57"/>
      <c r="C2885" s="54"/>
      <c r="D2885" s="55"/>
      <c r="I2885" s="55"/>
      <c r="J2885" s="56"/>
      <c r="K2885" s="56"/>
      <c r="M2885" s="55"/>
      <c r="N2885" s="55"/>
    </row>
    <row r="2886" ht="14.25" customHeight="1" spans="2:14">
      <c r="B2886" s="57"/>
      <c r="C2886" s="54"/>
      <c r="D2886" s="55"/>
      <c r="I2886" s="55"/>
      <c r="J2886" s="56"/>
      <c r="K2886" s="56"/>
      <c r="M2886" s="55"/>
      <c r="N2886" s="55"/>
    </row>
    <row r="2887" ht="14.25" customHeight="1" spans="2:14">
      <c r="B2887" s="57"/>
      <c r="C2887" s="54"/>
      <c r="D2887" s="55"/>
      <c r="I2887" s="55"/>
      <c r="J2887" s="56"/>
      <c r="K2887" s="56"/>
      <c r="M2887" s="55"/>
      <c r="N2887" s="55"/>
    </row>
    <row r="2888" ht="14.25" customHeight="1" spans="2:14">
      <c r="B2888" s="57"/>
      <c r="C2888" s="54"/>
      <c r="D2888" s="55"/>
      <c r="I2888" s="55"/>
      <c r="J2888" s="56"/>
      <c r="K2888" s="56"/>
      <c r="M2888" s="55"/>
      <c r="N2888" s="55"/>
    </row>
    <row r="2889" ht="14.25" customHeight="1" spans="2:14">
      <c r="B2889" s="57"/>
      <c r="C2889" s="54"/>
      <c r="D2889" s="55"/>
      <c r="I2889" s="55"/>
      <c r="J2889" s="56"/>
      <c r="K2889" s="56"/>
      <c r="M2889" s="55"/>
      <c r="N2889" s="55"/>
    </row>
    <row r="2890" ht="14.25" customHeight="1" spans="2:14">
      <c r="B2890" s="57"/>
      <c r="C2890" s="54"/>
      <c r="D2890" s="55"/>
      <c r="I2890" s="55"/>
      <c r="J2890" s="56"/>
      <c r="K2890" s="56"/>
      <c r="M2890" s="55"/>
      <c r="N2890" s="55"/>
    </row>
    <row r="2891" ht="14.25" customHeight="1" spans="2:14">
      <c r="B2891" s="57"/>
      <c r="C2891" s="54"/>
      <c r="D2891" s="55"/>
      <c r="I2891" s="55"/>
      <c r="J2891" s="56"/>
      <c r="K2891" s="56"/>
      <c r="M2891" s="55"/>
      <c r="N2891" s="55"/>
    </row>
    <row r="2892" ht="14.25" customHeight="1" spans="2:14">
      <c r="B2892" s="57"/>
      <c r="C2892" s="54"/>
      <c r="D2892" s="55"/>
      <c r="I2892" s="55"/>
      <c r="J2892" s="56"/>
      <c r="K2892" s="56"/>
      <c r="M2892" s="55"/>
      <c r="N2892" s="55"/>
    </row>
    <row r="2893" ht="14.25" customHeight="1" spans="2:14">
      <c r="B2893" s="57"/>
      <c r="C2893" s="54"/>
      <c r="D2893" s="55"/>
      <c r="I2893" s="55"/>
      <c r="J2893" s="56"/>
      <c r="K2893" s="56"/>
      <c r="M2893" s="55"/>
      <c r="N2893" s="55"/>
    </row>
    <row r="2894" ht="14.25" customHeight="1" spans="2:14">
      <c r="B2894" s="57"/>
      <c r="C2894" s="54"/>
      <c r="D2894" s="55"/>
      <c r="I2894" s="55"/>
      <c r="J2894" s="56"/>
      <c r="K2894" s="56"/>
      <c r="M2894" s="55"/>
      <c r="N2894" s="55"/>
    </row>
    <row r="2895" ht="14.25" customHeight="1" spans="2:14">
      <c r="B2895" s="57"/>
      <c r="C2895" s="54"/>
      <c r="D2895" s="55"/>
      <c r="I2895" s="55"/>
      <c r="J2895" s="56"/>
      <c r="K2895" s="56"/>
      <c r="M2895" s="55"/>
      <c r="N2895" s="55"/>
    </row>
    <row r="2896" ht="14.25" customHeight="1" spans="2:14">
      <c r="B2896" s="57"/>
      <c r="C2896" s="54"/>
      <c r="D2896" s="55"/>
      <c r="I2896" s="55"/>
      <c r="J2896" s="56"/>
      <c r="K2896" s="56"/>
      <c r="M2896" s="55"/>
      <c r="N2896" s="55"/>
    </row>
    <row r="2897" ht="14.25" customHeight="1" spans="2:14">
      <c r="B2897" s="57"/>
      <c r="C2897" s="54"/>
      <c r="D2897" s="55"/>
      <c r="I2897" s="55"/>
      <c r="J2897" s="56"/>
      <c r="K2897" s="56"/>
      <c r="M2897" s="55"/>
      <c r="N2897" s="55"/>
    </row>
    <row r="2898" ht="14.25" customHeight="1" spans="2:14">
      <c r="B2898" s="57"/>
      <c r="C2898" s="54"/>
      <c r="D2898" s="55"/>
      <c r="I2898" s="55"/>
      <c r="J2898" s="56"/>
      <c r="K2898" s="56"/>
      <c r="M2898" s="55"/>
      <c r="N2898" s="55"/>
    </row>
    <row r="2899" ht="14.25" customHeight="1" spans="2:14">
      <c r="B2899" s="57"/>
      <c r="C2899" s="54"/>
      <c r="D2899" s="55"/>
      <c r="I2899" s="55"/>
      <c r="J2899" s="56"/>
      <c r="K2899" s="56"/>
      <c r="M2899" s="55"/>
      <c r="N2899" s="55"/>
    </row>
    <row r="2900" ht="14.25" customHeight="1" spans="2:14">
      <c r="B2900" s="57"/>
      <c r="C2900" s="54"/>
      <c r="D2900" s="55"/>
      <c r="I2900" s="55"/>
      <c r="J2900" s="56"/>
      <c r="K2900" s="56"/>
      <c r="M2900" s="55"/>
      <c r="N2900" s="55"/>
    </row>
    <row r="2901" ht="14.25" customHeight="1" spans="2:14">
      <c r="B2901" s="57"/>
      <c r="C2901" s="54"/>
      <c r="D2901" s="55"/>
      <c r="I2901" s="55"/>
      <c r="J2901" s="56"/>
      <c r="K2901" s="56"/>
      <c r="M2901" s="55"/>
      <c r="N2901" s="55"/>
    </row>
    <row r="2902" ht="14.25" customHeight="1" spans="2:14">
      <c r="B2902" s="57"/>
      <c r="C2902" s="54"/>
      <c r="D2902" s="55"/>
      <c r="I2902" s="55"/>
      <c r="J2902" s="56"/>
      <c r="K2902" s="56"/>
      <c r="M2902" s="55"/>
      <c r="N2902" s="55"/>
    </row>
    <row r="2903" ht="14.25" customHeight="1" spans="2:14">
      <c r="B2903" s="57"/>
      <c r="C2903" s="54"/>
      <c r="D2903" s="55"/>
      <c r="I2903" s="55"/>
      <c r="J2903" s="56"/>
      <c r="K2903" s="56"/>
      <c r="M2903" s="55"/>
      <c r="N2903" s="55"/>
    </row>
    <row r="2904" ht="14.25" customHeight="1" spans="2:14">
      <c r="B2904" s="57"/>
      <c r="C2904" s="54"/>
      <c r="D2904" s="55"/>
      <c r="I2904" s="55"/>
      <c r="J2904" s="56"/>
      <c r="K2904" s="56"/>
      <c r="M2904" s="55"/>
      <c r="N2904" s="55"/>
    </row>
    <row r="2905" ht="14.25" customHeight="1" spans="2:14">
      <c r="B2905" s="57"/>
      <c r="C2905" s="54"/>
      <c r="D2905" s="55"/>
      <c r="I2905" s="55"/>
      <c r="J2905" s="56"/>
      <c r="K2905" s="56"/>
      <c r="M2905" s="55"/>
      <c r="N2905" s="55"/>
    </row>
    <row r="2906" ht="14.25" customHeight="1" spans="2:14">
      <c r="B2906" s="57"/>
      <c r="C2906" s="54"/>
      <c r="D2906" s="55"/>
      <c r="I2906" s="55"/>
      <c r="J2906" s="56"/>
      <c r="K2906" s="56"/>
      <c r="M2906" s="55"/>
      <c r="N2906" s="55"/>
    </row>
    <row r="2907" ht="14.25" customHeight="1" spans="2:14">
      <c r="B2907" s="57"/>
      <c r="C2907" s="54"/>
      <c r="D2907" s="55"/>
      <c r="I2907" s="55"/>
      <c r="J2907" s="56"/>
      <c r="K2907" s="56"/>
      <c r="M2907" s="55"/>
      <c r="N2907" s="55"/>
    </row>
    <row r="2908" ht="14.25" customHeight="1" spans="2:14">
      <c r="B2908" s="57"/>
      <c r="C2908" s="54"/>
      <c r="D2908" s="55"/>
      <c r="I2908" s="55"/>
      <c r="J2908" s="56"/>
      <c r="K2908" s="56"/>
      <c r="M2908" s="55"/>
      <c r="N2908" s="55"/>
    </row>
    <row r="2909" ht="14.25" customHeight="1" spans="2:14">
      <c r="B2909" s="57"/>
      <c r="C2909" s="54"/>
      <c r="D2909" s="55"/>
      <c r="I2909" s="55"/>
      <c r="J2909" s="56"/>
      <c r="K2909" s="56"/>
      <c r="M2909" s="55"/>
      <c r="N2909" s="55"/>
    </row>
    <row r="2910" ht="14.25" customHeight="1" spans="2:14">
      <c r="B2910" s="57"/>
      <c r="C2910" s="54"/>
      <c r="D2910" s="55"/>
      <c r="I2910" s="55"/>
      <c r="J2910" s="56"/>
      <c r="K2910" s="56"/>
      <c r="M2910" s="55"/>
      <c r="N2910" s="55"/>
    </row>
    <row r="2911" ht="14.25" customHeight="1" spans="2:14">
      <c r="B2911" s="57"/>
      <c r="C2911" s="54"/>
      <c r="D2911" s="55"/>
      <c r="I2911" s="55"/>
      <c r="J2911" s="56"/>
      <c r="K2911" s="56"/>
      <c r="M2911" s="55"/>
      <c r="N2911" s="55"/>
    </row>
    <row r="2912" ht="14.25" customHeight="1" spans="2:14">
      <c r="B2912" s="57"/>
      <c r="C2912" s="54"/>
      <c r="D2912" s="55"/>
      <c r="I2912" s="55"/>
      <c r="J2912" s="56"/>
      <c r="K2912" s="56"/>
      <c r="M2912" s="55"/>
      <c r="N2912" s="55"/>
    </row>
    <row r="2913" ht="14.25" customHeight="1" spans="2:14">
      <c r="B2913" s="57"/>
      <c r="C2913" s="54"/>
      <c r="D2913" s="55"/>
      <c r="I2913" s="55"/>
      <c r="J2913" s="56"/>
      <c r="K2913" s="56"/>
      <c r="M2913" s="55"/>
      <c r="N2913" s="55"/>
    </row>
    <row r="2914" ht="14.25" customHeight="1" spans="2:14">
      <c r="B2914" s="57"/>
      <c r="C2914" s="54"/>
      <c r="D2914" s="55"/>
      <c r="I2914" s="55"/>
      <c r="J2914" s="56"/>
      <c r="K2914" s="56"/>
      <c r="M2914" s="55"/>
      <c r="N2914" s="55"/>
    </row>
    <row r="2915" ht="14.25" customHeight="1" spans="2:14">
      <c r="B2915" s="57"/>
      <c r="C2915" s="54"/>
      <c r="D2915" s="55"/>
      <c r="I2915" s="55"/>
      <c r="J2915" s="56"/>
      <c r="K2915" s="56"/>
      <c r="M2915" s="55"/>
      <c r="N2915" s="55"/>
    </row>
    <row r="2916" ht="14.25" customHeight="1" spans="2:14">
      <c r="B2916" s="57"/>
      <c r="C2916" s="54"/>
      <c r="D2916" s="55"/>
      <c r="I2916" s="55"/>
      <c r="J2916" s="56"/>
      <c r="K2916" s="56"/>
      <c r="M2916" s="55"/>
      <c r="N2916" s="55"/>
    </row>
    <row r="2917" ht="14.25" customHeight="1" spans="2:14">
      <c r="B2917" s="57"/>
      <c r="C2917" s="54"/>
      <c r="D2917" s="55"/>
      <c r="I2917" s="55"/>
      <c r="J2917" s="56"/>
      <c r="K2917" s="56"/>
      <c r="M2917" s="55"/>
      <c r="N2917" s="55"/>
    </row>
    <row r="2918" ht="14.25" customHeight="1" spans="2:14">
      <c r="B2918" s="57"/>
      <c r="C2918" s="54"/>
      <c r="D2918" s="55"/>
      <c r="I2918" s="55"/>
      <c r="J2918" s="56"/>
      <c r="K2918" s="56"/>
      <c r="M2918" s="55"/>
      <c r="N2918" s="55"/>
    </row>
    <row r="2919" ht="14.25" customHeight="1" spans="2:14">
      <c r="B2919" s="57"/>
      <c r="C2919" s="54"/>
      <c r="D2919" s="55"/>
      <c r="I2919" s="55"/>
      <c r="J2919" s="56"/>
      <c r="K2919" s="56"/>
      <c r="M2919" s="55"/>
      <c r="N2919" s="55"/>
    </row>
    <row r="2920" ht="14.25" customHeight="1" spans="2:14">
      <c r="B2920" s="57"/>
      <c r="C2920" s="54"/>
      <c r="D2920" s="55"/>
      <c r="I2920" s="55"/>
      <c r="J2920" s="56"/>
      <c r="K2920" s="56"/>
      <c r="M2920" s="55"/>
      <c r="N2920" s="55"/>
    </row>
    <row r="2921" ht="14.25" customHeight="1" spans="2:14">
      <c r="B2921" s="57"/>
      <c r="C2921" s="54"/>
      <c r="D2921" s="55"/>
      <c r="I2921" s="55"/>
      <c r="J2921" s="56"/>
      <c r="K2921" s="56"/>
      <c r="M2921" s="55"/>
      <c r="N2921" s="55"/>
    </row>
    <row r="2922" ht="14.25" customHeight="1" spans="2:14">
      <c r="B2922" s="57"/>
      <c r="C2922" s="54"/>
      <c r="D2922" s="55"/>
      <c r="I2922" s="55"/>
      <c r="J2922" s="56"/>
      <c r="K2922" s="56"/>
      <c r="M2922" s="55"/>
      <c r="N2922" s="55"/>
    </row>
    <row r="2923" ht="14.25" customHeight="1" spans="2:14">
      <c r="B2923" s="57"/>
      <c r="C2923" s="54"/>
      <c r="D2923" s="55"/>
      <c r="I2923" s="55"/>
      <c r="J2923" s="56"/>
      <c r="K2923" s="56"/>
      <c r="M2923" s="55"/>
      <c r="N2923" s="55"/>
    </row>
    <row r="2924" ht="14.25" customHeight="1" spans="2:14">
      <c r="B2924" s="57"/>
      <c r="C2924" s="54"/>
      <c r="D2924" s="55"/>
      <c r="I2924" s="55"/>
      <c r="J2924" s="56"/>
      <c r="K2924" s="56"/>
      <c r="M2924" s="55"/>
      <c r="N2924" s="55"/>
    </row>
    <row r="2925" ht="14.25" customHeight="1" spans="2:14">
      <c r="B2925" s="57"/>
      <c r="C2925" s="54"/>
      <c r="D2925" s="55"/>
      <c r="I2925" s="55"/>
      <c r="J2925" s="56"/>
      <c r="K2925" s="56"/>
      <c r="M2925" s="55"/>
      <c r="N2925" s="55"/>
    </row>
    <row r="2926" ht="14.25" customHeight="1" spans="2:14">
      <c r="B2926" s="57"/>
      <c r="C2926" s="54"/>
      <c r="D2926" s="55"/>
      <c r="I2926" s="55"/>
      <c r="J2926" s="56"/>
      <c r="K2926" s="56"/>
      <c r="M2926" s="55"/>
      <c r="N2926" s="55"/>
    </row>
    <row r="2927" ht="14.25" customHeight="1" spans="2:14">
      <c r="B2927" s="57"/>
      <c r="C2927" s="54"/>
      <c r="D2927" s="55"/>
      <c r="I2927" s="55"/>
      <c r="J2927" s="56"/>
      <c r="K2927" s="56"/>
      <c r="M2927" s="55"/>
      <c r="N2927" s="55"/>
    </row>
    <row r="2928" ht="14.25" customHeight="1" spans="2:14">
      <c r="B2928" s="57"/>
      <c r="C2928" s="54"/>
      <c r="D2928" s="55"/>
      <c r="I2928" s="55"/>
      <c r="J2928" s="56"/>
      <c r="K2928" s="56"/>
      <c r="M2928" s="55"/>
      <c r="N2928" s="55"/>
    </row>
    <row r="2929" ht="14.25" customHeight="1" spans="2:14">
      <c r="B2929" s="57"/>
      <c r="C2929" s="54"/>
      <c r="D2929" s="55"/>
      <c r="I2929" s="55"/>
      <c r="J2929" s="56"/>
      <c r="K2929" s="56"/>
      <c r="M2929" s="55"/>
      <c r="N2929" s="55"/>
    </row>
    <row r="2930" ht="14.25" customHeight="1" spans="2:14">
      <c r="B2930" s="57"/>
      <c r="C2930" s="54"/>
      <c r="D2930" s="55"/>
      <c r="I2930" s="55"/>
      <c r="J2930" s="56"/>
      <c r="K2930" s="56"/>
      <c r="M2930" s="55"/>
      <c r="N2930" s="55"/>
    </row>
    <row r="2931" ht="14.25" customHeight="1" spans="2:14">
      <c r="B2931" s="57"/>
      <c r="C2931" s="54"/>
      <c r="D2931" s="55"/>
      <c r="I2931" s="55"/>
      <c r="J2931" s="56"/>
      <c r="K2931" s="56"/>
      <c r="M2931" s="55"/>
      <c r="N2931" s="55"/>
    </row>
    <row r="2932" ht="14.25" customHeight="1" spans="2:14">
      <c r="B2932" s="57"/>
      <c r="C2932" s="54"/>
      <c r="D2932" s="55"/>
      <c r="I2932" s="55"/>
      <c r="J2932" s="56"/>
      <c r="K2932" s="56"/>
      <c r="M2932" s="55"/>
      <c r="N2932" s="55"/>
    </row>
    <row r="2933" ht="14.25" customHeight="1" spans="2:14">
      <c r="B2933" s="57"/>
      <c r="C2933" s="54"/>
      <c r="D2933" s="55"/>
      <c r="I2933" s="55"/>
      <c r="J2933" s="56"/>
      <c r="K2933" s="56"/>
      <c r="M2933" s="55"/>
      <c r="N2933" s="55"/>
    </row>
    <row r="2934" ht="14.25" customHeight="1" spans="2:14">
      <c r="B2934" s="57"/>
      <c r="C2934" s="54"/>
      <c r="D2934" s="55"/>
      <c r="I2934" s="55"/>
      <c r="J2934" s="56"/>
      <c r="K2934" s="56"/>
      <c r="M2934" s="55"/>
      <c r="N2934" s="55"/>
    </row>
    <row r="2935" ht="14.25" customHeight="1" spans="2:14">
      <c r="B2935" s="57"/>
      <c r="C2935" s="54"/>
      <c r="D2935" s="55"/>
      <c r="I2935" s="55"/>
      <c r="J2935" s="56"/>
      <c r="K2935" s="56"/>
      <c r="M2935" s="55"/>
      <c r="N2935" s="55"/>
    </row>
    <row r="2936" ht="14.25" customHeight="1" spans="2:14">
      <c r="B2936" s="57"/>
      <c r="C2936" s="54"/>
      <c r="D2936" s="55"/>
      <c r="I2936" s="55"/>
      <c r="J2936" s="56"/>
      <c r="K2936" s="56"/>
      <c r="M2936" s="55"/>
      <c r="N2936" s="55"/>
    </row>
    <row r="2937" ht="14.25" customHeight="1" spans="2:14">
      <c r="B2937" s="57"/>
      <c r="C2937" s="54"/>
      <c r="D2937" s="55"/>
      <c r="I2937" s="55"/>
      <c r="J2937" s="56"/>
      <c r="K2937" s="56"/>
      <c r="M2937" s="55"/>
      <c r="N2937" s="55"/>
    </row>
    <row r="2938" ht="14.25" customHeight="1" spans="2:14">
      <c r="B2938" s="57"/>
      <c r="C2938" s="54"/>
      <c r="D2938" s="55"/>
      <c r="I2938" s="55"/>
      <c r="J2938" s="56"/>
      <c r="K2938" s="56"/>
      <c r="M2938" s="55"/>
      <c r="N2938" s="55"/>
    </row>
    <row r="2939" ht="14.25" customHeight="1" spans="2:14">
      <c r="B2939" s="57"/>
      <c r="C2939" s="54"/>
      <c r="D2939" s="55"/>
      <c r="I2939" s="55"/>
      <c r="J2939" s="56"/>
      <c r="K2939" s="56"/>
      <c r="M2939" s="55"/>
      <c r="N2939" s="55"/>
    </row>
    <row r="2940" ht="14.25" customHeight="1" spans="2:14">
      <c r="B2940" s="57"/>
      <c r="C2940" s="54"/>
      <c r="D2940" s="55"/>
      <c r="I2940" s="55"/>
      <c r="J2940" s="56"/>
      <c r="K2940" s="56"/>
      <c r="M2940" s="55"/>
      <c r="N2940" s="55"/>
    </row>
    <row r="2941" ht="14.25" customHeight="1" spans="2:14">
      <c r="B2941" s="57"/>
      <c r="C2941" s="54"/>
      <c r="D2941" s="55"/>
      <c r="I2941" s="55"/>
      <c r="J2941" s="56"/>
      <c r="K2941" s="56"/>
      <c r="M2941" s="55"/>
      <c r="N2941" s="55"/>
    </row>
    <row r="2942" ht="14.25" customHeight="1" spans="2:14">
      <c r="B2942" s="57"/>
      <c r="C2942" s="54"/>
      <c r="D2942" s="55"/>
      <c r="I2942" s="55"/>
      <c r="J2942" s="56"/>
      <c r="K2942" s="56"/>
      <c r="M2942" s="55"/>
      <c r="N2942" s="55"/>
    </row>
    <row r="2943" ht="14.25" customHeight="1" spans="2:14">
      <c r="B2943" s="57"/>
      <c r="C2943" s="54"/>
      <c r="D2943" s="55"/>
      <c r="I2943" s="55"/>
      <c r="J2943" s="56"/>
      <c r="K2943" s="56"/>
      <c r="M2943" s="55"/>
      <c r="N2943" s="55"/>
    </row>
    <row r="2944" ht="14.25" customHeight="1" spans="2:14">
      <c r="B2944" s="57"/>
      <c r="C2944" s="54"/>
      <c r="D2944" s="55"/>
      <c r="I2944" s="55"/>
      <c r="J2944" s="56"/>
      <c r="K2944" s="56"/>
      <c r="M2944" s="55"/>
      <c r="N2944" s="55"/>
    </row>
    <row r="2945" ht="14.25" customHeight="1" spans="2:14">
      <c r="B2945" s="57"/>
      <c r="C2945" s="54"/>
      <c r="D2945" s="55"/>
      <c r="I2945" s="55"/>
      <c r="J2945" s="56"/>
      <c r="K2945" s="56"/>
      <c r="M2945" s="55"/>
      <c r="N2945" s="55"/>
    </row>
    <row r="2946" ht="14.25" customHeight="1" spans="2:14">
      <c r="B2946" s="57"/>
      <c r="C2946" s="54"/>
      <c r="D2946" s="55"/>
      <c r="I2946" s="55"/>
      <c r="J2946" s="56"/>
      <c r="K2946" s="56"/>
      <c r="M2946" s="55"/>
      <c r="N2946" s="55"/>
    </row>
    <row r="2947" ht="14.25" customHeight="1" spans="2:14">
      <c r="B2947" s="57"/>
      <c r="C2947" s="54"/>
      <c r="D2947" s="55"/>
      <c r="I2947" s="55"/>
      <c r="J2947" s="56"/>
      <c r="K2947" s="56"/>
      <c r="M2947" s="55"/>
      <c r="N2947" s="55"/>
    </row>
    <row r="2948" ht="14.25" customHeight="1" spans="2:14">
      <c r="B2948" s="57"/>
      <c r="C2948" s="54"/>
      <c r="D2948" s="55"/>
      <c r="I2948" s="55"/>
      <c r="J2948" s="56"/>
      <c r="K2948" s="56"/>
      <c r="M2948" s="55"/>
      <c r="N2948" s="55"/>
    </row>
    <row r="2949" ht="14.25" customHeight="1" spans="2:14">
      <c r="B2949" s="57"/>
      <c r="C2949" s="54"/>
      <c r="D2949" s="55"/>
      <c r="I2949" s="55"/>
      <c r="J2949" s="56"/>
      <c r="K2949" s="56"/>
      <c r="M2949" s="55"/>
      <c r="N2949" s="55"/>
    </row>
    <row r="2950" ht="14.25" customHeight="1" spans="2:14">
      <c r="B2950" s="57"/>
      <c r="C2950" s="54"/>
      <c r="D2950" s="55"/>
      <c r="I2950" s="55"/>
      <c r="J2950" s="56"/>
      <c r="K2950" s="56"/>
      <c r="M2950" s="55"/>
      <c r="N2950" s="55"/>
    </row>
    <row r="2951" ht="14.25" customHeight="1" spans="2:14">
      <c r="B2951" s="57"/>
      <c r="C2951" s="54"/>
      <c r="D2951" s="55"/>
      <c r="I2951" s="55"/>
      <c r="J2951" s="56"/>
      <c r="K2951" s="56"/>
      <c r="M2951" s="55"/>
      <c r="N2951" s="55"/>
    </row>
    <row r="2952" ht="14.25" customHeight="1" spans="2:14">
      <c r="B2952" s="57"/>
      <c r="C2952" s="54"/>
      <c r="D2952" s="55"/>
      <c r="I2952" s="55"/>
      <c r="J2952" s="56"/>
      <c r="K2952" s="56"/>
      <c r="M2952" s="55"/>
      <c r="N2952" s="55"/>
    </row>
    <row r="2953" ht="14.25" customHeight="1" spans="2:14">
      <c r="B2953" s="57"/>
      <c r="C2953" s="54"/>
      <c r="D2953" s="55"/>
      <c r="I2953" s="55"/>
      <c r="J2953" s="56"/>
      <c r="K2953" s="56"/>
      <c r="M2953" s="55"/>
      <c r="N2953" s="55"/>
    </row>
    <row r="2954" ht="14.25" customHeight="1" spans="2:14">
      <c r="B2954" s="57"/>
      <c r="C2954" s="54"/>
      <c r="D2954" s="55"/>
      <c r="I2954" s="55"/>
      <c r="J2954" s="56"/>
      <c r="K2954" s="56"/>
      <c r="M2954" s="55"/>
      <c r="N2954" s="55"/>
    </row>
    <row r="2955" ht="14.25" customHeight="1" spans="2:14">
      <c r="B2955" s="57"/>
      <c r="C2955" s="54"/>
      <c r="D2955" s="55"/>
      <c r="I2955" s="55"/>
      <c r="J2955" s="56"/>
      <c r="K2955" s="56"/>
      <c r="M2955" s="55"/>
      <c r="N2955" s="55"/>
    </row>
    <row r="2956" ht="14.25" customHeight="1" spans="2:14">
      <c r="B2956" s="57"/>
      <c r="C2956" s="54"/>
      <c r="D2956" s="55"/>
      <c r="I2956" s="55"/>
      <c r="J2956" s="56"/>
      <c r="K2956" s="56"/>
      <c r="M2956" s="55"/>
      <c r="N2956" s="55"/>
    </row>
    <row r="2957" ht="14.25" customHeight="1" spans="2:14">
      <c r="B2957" s="57"/>
      <c r="C2957" s="54"/>
      <c r="D2957" s="55"/>
      <c r="I2957" s="55"/>
      <c r="J2957" s="56"/>
      <c r="K2957" s="56"/>
      <c r="M2957" s="55"/>
      <c r="N2957" s="55"/>
    </row>
    <row r="2958" ht="14.25" customHeight="1" spans="2:14">
      <c r="B2958" s="57"/>
      <c r="C2958" s="54"/>
      <c r="D2958" s="55"/>
      <c r="I2958" s="55"/>
      <c r="J2958" s="56"/>
      <c r="K2958" s="56"/>
      <c r="M2958" s="55"/>
      <c r="N2958" s="55"/>
    </row>
    <row r="2959" ht="14.25" customHeight="1" spans="2:14">
      <c r="B2959" s="57"/>
      <c r="C2959" s="54"/>
      <c r="D2959" s="55"/>
      <c r="I2959" s="55"/>
      <c r="J2959" s="56"/>
      <c r="K2959" s="56"/>
      <c r="M2959" s="55"/>
      <c r="N2959" s="55"/>
    </row>
    <row r="2960" ht="14.25" customHeight="1" spans="2:14">
      <c r="B2960" s="57"/>
      <c r="C2960" s="54"/>
      <c r="D2960" s="55"/>
      <c r="I2960" s="55"/>
      <c r="J2960" s="56"/>
      <c r="K2960" s="56"/>
      <c r="M2960" s="55"/>
      <c r="N2960" s="55"/>
    </row>
    <row r="2961" ht="14.25" customHeight="1" spans="2:14">
      <c r="B2961" s="57"/>
      <c r="C2961" s="54"/>
      <c r="D2961" s="55"/>
      <c r="I2961" s="55"/>
      <c r="J2961" s="56"/>
      <c r="K2961" s="56"/>
      <c r="M2961" s="55"/>
      <c r="N2961" s="55"/>
    </row>
    <row r="2962" ht="14.25" customHeight="1" spans="2:14">
      <c r="B2962" s="57"/>
      <c r="C2962" s="54"/>
      <c r="D2962" s="55"/>
      <c r="I2962" s="55"/>
      <c r="J2962" s="56"/>
      <c r="K2962" s="56"/>
      <c r="M2962" s="55"/>
      <c r="N2962" s="55"/>
    </row>
    <row r="2963" ht="14.25" customHeight="1" spans="2:14">
      <c r="B2963" s="57"/>
      <c r="C2963" s="54"/>
      <c r="D2963" s="55"/>
      <c r="I2963" s="55"/>
      <c r="J2963" s="56"/>
      <c r="K2963" s="56"/>
      <c r="M2963" s="55"/>
      <c r="N2963" s="55"/>
    </row>
    <row r="2964" ht="14.25" customHeight="1" spans="2:14">
      <c r="B2964" s="57"/>
      <c r="C2964" s="54"/>
      <c r="D2964" s="55"/>
      <c r="I2964" s="55"/>
      <c r="J2964" s="56"/>
      <c r="K2964" s="56"/>
      <c r="M2964" s="55"/>
      <c r="N2964" s="55"/>
    </row>
    <row r="2965" ht="14.25" customHeight="1" spans="2:14">
      <c r="B2965" s="57"/>
      <c r="C2965" s="54"/>
      <c r="D2965" s="55"/>
      <c r="I2965" s="55"/>
      <c r="J2965" s="56"/>
      <c r="K2965" s="56"/>
      <c r="M2965" s="55"/>
      <c r="N2965" s="55"/>
    </row>
    <row r="2966" ht="14.25" customHeight="1" spans="2:14">
      <c r="B2966" s="57"/>
      <c r="C2966" s="54"/>
      <c r="D2966" s="55"/>
      <c r="I2966" s="55"/>
      <c r="J2966" s="56"/>
      <c r="K2966" s="56"/>
      <c r="M2966" s="55"/>
      <c r="N2966" s="55"/>
    </row>
    <row r="2967" ht="14.25" customHeight="1" spans="2:14">
      <c r="B2967" s="57"/>
      <c r="C2967" s="54"/>
      <c r="D2967" s="55"/>
      <c r="I2967" s="55"/>
      <c r="J2967" s="56"/>
      <c r="K2967" s="56"/>
      <c r="M2967" s="55"/>
      <c r="N2967" s="55"/>
    </row>
    <row r="2968" ht="14.25" customHeight="1" spans="2:14">
      <c r="B2968" s="57"/>
      <c r="C2968" s="54"/>
      <c r="D2968" s="55"/>
      <c r="I2968" s="55"/>
      <c r="J2968" s="56"/>
      <c r="K2968" s="56"/>
      <c r="M2968" s="55"/>
      <c r="N2968" s="55"/>
    </row>
    <row r="2969" ht="14.25" customHeight="1" spans="2:14">
      <c r="B2969" s="57"/>
      <c r="C2969" s="54"/>
      <c r="D2969" s="55"/>
      <c r="I2969" s="55"/>
      <c r="J2969" s="56"/>
      <c r="K2969" s="56"/>
      <c r="M2969" s="55"/>
      <c r="N2969" s="55"/>
    </row>
    <row r="2970" ht="14.25" customHeight="1" spans="2:14">
      <c r="B2970" s="57"/>
      <c r="C2970" s="54"/>
      <c r="D2970" s="55"/>
      <c r="I2970" s="55"/>
      <c r="J2970" s="56"/>
      <c r="K2970" s="56"/>
      <c r="M2970" s="55"/>
      <c r="N2970" s="55"/>
    </row>
    <row r="2971" ht="14.25" customHeight="1" spans="2:14">
      <c r="B2971" s="57"/>
      <c r="C2971" s="54"/>
      <c r="D2971" s="55"/>
      <c r="I2971" s="55"/>
      <c r="J2971" s="56"/>
      <c r="K2971" s="56"/>
      <c r="M2971" s="55"/>
      <c r="N2971" s="55"/>
    </row>
    <row r="2972" ht="14.25" customHeight="1" spans="2:14">
      <c r="B2972" s="57"/>
      <c r="C2972" s="54"/>
      <c r="D2972" s="55"/>
      <c r="I2972" s="55"/>
      <c r="J2972" s="56"/>
      <c r="K2972" s="56"/>
      <c r="M2972" s="55"/>
      <c r="N2972" s="55"/>
    </row>
    <row r="2973" ht="14.25" customHeight="1" spans="2:14">
      <c r="B2973" s="57"/>
      <c r="C2973" s="54"/>
      <c r="D2973" s="55"/>
      <c r="I2973" s="55"/>
      <c r="J2973" s="56"/>
      <c r="K2973" s="56"/>
      <c r="M2973" s="55"/>
      <c r="N2973" s="55"/>
    </row>
    <row r="2974" ht="14.25" customHeight="1" spans="2:14">
      <c r="B2974" s="57"/>
      <c r="C2974" s="54"/>
      <c r="D2974" s="55"/>
      <c r="I2974" s="55"/>
      <c r="J2974" s="56"/>
      <c r="K2974" s="56"/>
      <c r="M2974" s="55"/>
      <c r="N2974" s="55"/>
    </row>
    <row r="2975" ht="14.25" customHeight="1" spans="2:14">
      <c r="B2975" s="57"/>
      <c r="C2975" s="54"/>
      <c r="D2975" s="55"/>
      <c r="I2975" s="55"/>
      <c r="J2975" s="56"/>
      <c r="K2975" s="56"/>
      <c r="M2975" s="55"/>
      <c r="N2975" s="55"/>
    </row>
    <row r="2976" ht="14.25" customHeight="1" spans="2:14">
      <c r="B2976" s="57"/>
      <c r="C2976" s="54"/>
      <c r="D2976" s="55"/>
      <c r="I2976" s="55"/>
      <c r="J2976" s="56"/>
      <c r="K2976" s="56"/>
      <c r="M2976" s="55"/>
      <c r="N2976" s="55"/>
    </row>
    <row r="2977" ht="14.25" customHeight="1" spans="2:14">
      <c r="B2977" s="57"/>
      <c r="C2977" s="54"/>
      <c r="D2977" s="55"/>
      <c r="I2977" s="55"/>
      <c r="J2977" s="56"/>
      <c r="K2977" s="56"/>
      <c r="M2977" s="55"/>
      <c r="N2977" s="55"/>
    </row>
    <row r="2978" ht="14.25" customHeight="1" spans="2:14">
      <c r="B2978" s="57"/>
      <c r="C2978" s="54"/>
      <c r="D2978" s="55"/>
      <c r="I2978" s="55"/>
      <c r="J2978" s="56"/>
      <c r="K2978" s="56"/>
      <c r="M2978" s="55"/>
      <c r="N2978" s="55"/>
    </row>
    <row r="2979" ht="14.25" customHeight="1" spans="2:14">
      <c r="B2979" s="57"/>
      <c r="C2979" s="54"/>
      <c r="D2979" s="55"/>
      <c r="I2979" s="55"/>
      <c r="J2979" s="56"/>
      <c r="K2979" s="56"/>
      <c r="M2979" s="55"/>
      <c r="N2979" s="55"/>
    </row>
    <row r="2980" ht="14.25" customHeight="1" spans="2:14">
      <c r="B2980" s="57"/>
      <c r="C2980" s="54"/>
      <c r="D2980" s="55"/>
      <c r="I2980" s="55"/>
      <c r="J2980" s="56"/>
      <c r="K2980" s="56"/>
      <c r="M2980" s="55"/>
      <c r="N2980" s="55"/>
    </row>
    <row r="2981" ht="14.25" customHeight="1" spans="2:14">
      <c r="B2981" s="57"/>
      <c r="C2981" s="54"/>
      <c r="D2981" s="55"/>
      <c r="I2981" s="55"/>
      <c r="J2981" s="56"/>
      <c r="K2981" s="56"/>
      <c r="M2981" s="55"/>
      <c r="N2981" s="55"/>
    </row>
    <row r="2982" ht="14.25" customHeight="1" spans="2:14">
      <c r="B2982" s="57"/>
      <c r="C2982" s="54"/>
      <c r="D2982" s="55"/>
      <c r="I2982" s="55"/>
      <c r="J2982" s="56"/>
      <c r="K2982" s="56"/>
      <c r="M2982" s="55"/>
      <c r="N2982" s="55"/>
    </row>
    <row r="2983" ht="14.25" customHeight="1" spans="2:14">
      <c r="B2983" s="57"/>
      <c r="C2983" s="54"/>
      <c r="D2983" s="55"/>
      <c r="I2983" s="55"/>
      <c r="J2983" s="56"/>
      <c r="K2983" s="56"/>
      <c r="M2983" s="55"/>
      <c r="N2983" s="55"/>
    </row>
    <row r="2984" ht="14.25" customHeight="1" spans="2:14">
      <c r="B2984" s="57"/>
      <c r="C2984" s="54"/>
      <c r="D2984" s="55"/>
      <c r="I2984" s="55"/>
      <c r="J2984" s="56"/>
      <c r="K2984" s="56"/>
      <c r="M2984" s="55"/>
      <c r="N2984" s="55"/>
    </row>
    <row r="2985" ht="14.25" customHeight="1" spans="2:14">
      <c r="B2985" s="57"/>
      <c r="C2985" s="54"/>
      <c r="D2985" s="55"/>
      <c r="I2985" s="55"/>
      <c r="J2985" s="56"/>
      <c r="K2985" s="56"/>
      <c r="M2985" s="55"/>
      <c r="N2985" s="55"/>
    </row>
    <row r="2986" ht="14.25" customHeight="1" spans="2:14">
      <c r="B2986" s="57"/>
      <c r="C2986" s="54"/>
      <c r="D2986" s="55"/>
      <c r="I2986" s="55"/>
      <c r="J2986" s="56"/>
      <c r="K2986" s="56"/>
      <c r="M2986" s="55"/>
      <c r="N2986" s="55"/>
    </row>
    <row r="2987" ht="14.25" customHeight="1" spans="2:14">
      <c r="B2987" s="57"/>
      <c r="C2987" s="54"/>
      <c r="D2987" s="55"/>
      <c r="I2987" s="55"/>
      <c r="J2987" s="56"/>
      <c r="K2987" s="56"/>
      <c r="M2987" s="55"/>
      <c r="N2987" s="55"/>
    </row>
    <row r="2988" ht="14.25" customHeight="1" spans="2:14">
      <c r="B2988" s="57"/>
      <c r="C2988" s="54"/>
      <c r="D2988" s="55"/>
      <c r="I2988" s="55"/>
      <c r="J2988" s="56"/>
      <c r="K2988" s="56"/>
      <c r="M2988" s="55"/>
      <c r="N2988" s="55"/>
    </row>
    <row r="2989" ht="14.25" customHeight="1" spans="2:14">
      <c r="B2989" s="57"/>
      <c r="C2989" s="54"/>
      <c r="D2989" s="55"/>
      <c r="I2989" s="55"/>
      <c r="J2989" s="56"/>
      <c r="K2989" s="56"/>
      <c r="M2989" s="55"/>
      <c r="N2989" s="55"/>
    </row>
    <row r="2990" ht="14.25" customHeight="1" spans="2:14">
      <c r="B2990" s="57"/>
      <c r="C2990" s="54"/>
      <c r="D2990" s="55"/>
      <c r="I2990" s="55"/>
      <c r="J2990" s="56"/>
      <c r="K2990" s="56"/>
      <c r="M2990" s="55"/>
      <c r="N2990" s="55"/>
    </row>
    <row r="2991" ht="14.25" customHeight="1" spans="2:14">
      <c r="B2991" s="57"/>
      <c r="C2991" s="54"/>
      <c r="D2991" s="55"/>
      <c r="I2991" s="55"/>
      <c r="J2991" s="56"/>
      <c r="K2991" s="56"/>
      <c r="M2991" s="55"/>
      <c r="N2991" s="55"/>
    </row>
    <row r="2992" ht="14.25" customHeight="1" spans="2:14">
      <c r="B2992" s="57"/>
      <c r="C2992" s="54"/>
      <c r="D2992" s="55"/>
      <c r="I2992" s="55"/>
      <c r="J2992" s="56"/>
      <c r="K2992" s="56"/>
      <c r="M2992" s="55"/>
      <c r="N2992" s="55"/>
    </row>
    <row r="2993" ht="14.25" customHeight="1" spans="2:14">
      <c r="B2993" s="57"/>
      <c r="C2993" s="54"/>
      <c r="D2993" s="55"/>
      <c r="I2993" s="55"/>
      <c r="J2993" s="56"/>
      <c r="K2993" s="56"/>
      <c r="M2993" s="55"/>
      <c r="N2993" s="55"/>
    </row>
    <row r="2994" ht="14.25" customHeight="1" spans="2:14">
      <c r="B2994" s="57"/>
      <c r="C2994" s="54"/>
      <c r="D2994" s="55"/>
      <c r="I2994" s="55"/>
      <c r="J2994" s="56"/>
      <c r="K2994" s="56"/>
      <c r="M2994" s="55"/>
      <c r="N2994" s="55"/>
    </row>
    <row r="2995" ht="14.25" customHeight="1" spans="2:14">
      <c r="B2995" s="57"/>
      <c r="C2995" s="54"/>
      <c r="D2995" s="55"/>
      <c r="I2995" s="55"/>
      <c r="J2995" s="56"/>
      <c r="K2995" s="56"/>
      <c r="M2995" s="55"/>
      <c r="N2995" s="55"/>
    </row>
    <row r="2996" ht="14.25" customHeight="1" spans="2:14">
      <c r="B2996" s="57"/>
      <c r="C2996" s="54"/>
      <c r="D2996" s="55"/>
      <c r="I2996" s="55"/>
      <c r="J2996" s="56"/>
      <c r="K2996" s="56"/>
      <c r="M2996" s="55"/>
      <c r="N2996" s="55"/>
    </row>
    <row r="2997" ht="14.25" customHeight="1" spans="2:14">
      <c r="B2997" s="57"/>
      <c r="C2997" s="54"/>
      <c r="D2997" s="55"/>
      <c r="I2997" s="55"/>
      <c r="J2997" s="56"/>
      <c r="K2997" s="56"/>
      <c r="M2997" s="55"/>
      <c r="N2997" s="55"/>
    </row>
    <row r="2998" ht="14.25" customHeight="1" spans="2:14">
      <c r="B2998" s="57"/>
      <c r="C2998" s="54"/>
      <c r="D2998" s="55"/>
      <c r="I2998" s="55"/>
      <c r="J2998" s="56"/>
      <c r="K2998" s="56"/>
      <c r="M2998" s="55"/>
      <c r="N2998" s="55"/>
    </row>
    <row r="2999" ht="14.25" customHeight="1" spans="2:14">
      <c r="B2999" s="57"/>
      <c r="C2999" s="54"/>
      <c r="D2999" s="55"/>
      <c r="I2999" s="55"/>
      <c r="J2999" s="56"/>
      <c r="K2999" s="56"/>
      <c r="M2999" s="55"/>
      <c r="N2999" s="55"/>
    </row>
    <row r="3000" ht="14.25" customHeight="1" spans="2:14">
      <c r="B3000" s="57"/>
      <c r="C3000" s="54"/>
      <c r="D3000" s="55"/>
      <c r="I3000" s="55"/>
      <c r="J3000" s="56"/>
      <c r="K3000" s="56"/>
      <c r="M3000" s="55"/>
      <c r="N3000" s="55"/>
    </row>
    <row r="3001" ht="14.25" customHeight="1" spans="2:14">
      <c r="B3001" s="57"/>
      <c r="C3001" s="54"/>
      <c r="D3001" s="55"/>
      <c r="I3001" s="55"/>
      <c r="J3001" s="56"/>
      <c r="K3001" s="56"/>
      <c r="M3001" s="55"/>
      <c r="N3001" s="55"/>
    </row>
    <row r="3002" ht="14.25" customHeight="1" spans="2:14">
      <c r="B3002" s="57"/>
      <c r="C3002" s="54"/>
      <c r="D3002" s="55"/>
      <c r="I3002" s="55"/>
      <c r="J3002" s="56"/>
      <c r="K3002" s="56"/>
      <c r="M3002" s="55"/>
      <c r="N3002" s="55"/>
    </row>
    <row r="3003" ht="14.25" customHeight="1" spans="2:14">
      <c r="B3003" s="57"/>
      <c r="C3003" s="54"/>
      <c r="D3003" s="55"/>
      <c r="I3003" s="55"/>
      <c r="J3003" s="56"/>
      <c r="K3003" s="56"/>
      <c r="M3003" s="55"/>
      <c r="N3003" s="55"/>
    </row>
    <row r="3004" ht="14.25" customHeight="1" spans="2:14">
      <c r="B3004" s="57"/>
      <c r="C3004" s="54"/>
      <c r="D3004" s="55"/>
      <c r="I3004" s="55"/>
      <c r="J3004" s="56"/>
      <c r="K3004" s="56"/>
      <c r="M3004" s="55"/>
      <c r="N3004" s="55"/>
    </row>
    <row r="3005" ht="14.25" customHeight="1" spans="2:14">
      <c r="B3005" s="57"/>
      <c r="C3005" s="54"/>
      <c r="D3005" s="55"/>
      <c r="I3005" s="55"/>
      <c r="J3005" s="56"/>
      <c r="K3005" s="56"/>
      <c r="M3005" s="55"/>
      <c r="N3005" s="55"/>
    </row>
    <row r="3006" ht="14.25" customHeight="1" spans="2:14">
      <c r="B3006" s="57"/>
      <c r="C3006" s="54"/>
      <c r="D3006" s="55"/>
      <c r="I3006" s="55"/>
      <c r="J3006" s="56"/>
      <c r="K3006" s="56"/>
      <c r="M3006" s="55"/>
      <c r="N3006" s="55"/>
    </row>
    <row r="3007" ht="14.25" customHeight="1" spans="2:14">
      <c r="B3007" s="57"/>
      <c r="C3007" s="54"/>
      <c r="D3007" s="55"/>
      <c r="I3007" s="55"/>
      <c r="J3007" s="56"/>
      <c r="K3007" s="56"/>
      <c r="M3007" s="55"/>
      <c r="N3007" s="55"/>
    </row>
    <row r="3008" ht="14.25" customHeight="1" spans="2:14">
      <c r="B3008" s="57"/>
      <c r="C3008" s="54"/>
      <c r="D3008" s="55"/>
      <c r="I3008" s="55"/>
      <c r="J3008" s="56"/>
      <c r="K3008" s="56"/>
      <c r="M3008" s="55"/>
      <c r="N3008" s="55"/>
    </row>
    <row r="3009" ht="14.25" customHeight="1" spans="2:14">
      <c r="B3009" s="57"/>
      <c r="C3009" s="54"/>
      <c r="D3009" s="55"/>
      <c r="I3009" s="55"/>
      <c r="J3009" s="56"/>
      <c r="K3009" s="56"/>
      <c r="M3009" s="55"/>
      <c r="N3009" s="55"/>
    </row>
    <row r="3010" ht="14.25" customHeight="1" spans="2:14">
      <c r="B3010" s="57"/>
      <c r="C3010" s="54"/>
      <c r="D3010" s="55"/>
      <c r="I3010" s="55"/>
      <c r="J3010" s="56"/>
      <c r="K3010" s="56"/>
      <c r="M3010" s="55"/>
      <c r="N3010" s="55"/>
    </row>
    <row r="3011" ht="14.25" customHeight="1" spans="2:14">
      <c r="B3011" s="57"/>
      <c r="C3011" s="54"/>
      <c r="D3011" s="55"/>
      <c r="I3011" s="55"/>
      <c r="J3011" s="56"/>
      <c r="K3011" s="56"/>
      <c r="M3011" s="55"/>
      <c r="N3011" s="55"/>
    </row>
    <row r="3012" ht="14.25" customHeight="1" spans="2:14">
      <c r="B3012" s="57"/>
      <c r="C3012" s="54"/>
      <c r="D3012" s="55"/>
      <c r="I3012" s="55"/>
      <c r="J3012" s="56"/>
      <c r="K3012" s="56"/>
      <c r="M3012" s="55"/>
      <c r="N3012" s="55"/>
    </row>
    <row r="3013" ht="14.25" customHeight="1" spans="2:14">
      <c r="B3013" s="57"/>
      <c r="C3013" s="54"/>
      <c r="D3013" s="55"/>
      <c r="I3013" s="55"/>
      <c r="J3013" s="56"/>
      <c r="K3013" s="56"/>
      <c r="M3013" s="55"/>
      <c r="N3013" s="55"/>
    </row>
    <row r="3014" ht="14.25" customHeight="1" spans="2:14">
      <c r="B3014" s="57"/>
      <c r="C3014" s="54"/>
      <c r="D3014" s="55"/>
      <c r="I3014" s="55"/>
      <c r="J3014" s="56"/>
      <c r="K3014" s="56"/>
      <c r="M3014" s="55"/>
      <c r="N3014" s="55"/>
    </row>
    <row r="3015" ht="14.25" customHeight="1" spans="2:14">
      <c r="B3015" s="57"/>
      <c r="C3015" s="54"/>
      <c r="D3015" s="55"/>
      <c r="I3015" s="55"/>
      <c r="J3015" s="56"/>
      <c r="K3015" s="56"/>
      <c r="M3015" s="55"/>
      <c r="N3015" s="55"/>
    </row>
    <row r="3016" ht="14.25" customHeight="1" spans="2:14">
      <c r="B3016" s="57"/>
      <c r="C3016" s="54"/>
      <c r="D3016" s="55"/>
      <c r="I3016" s="55"/>
      <c r="J3016" s="56"/>
      <c r="K3016" s="56"/>
      <c r="M3016" s="55"/>
      <c r="N3016" s="55"/>
    </row>
    <row r="3017" ht="14.25" customHeight="1" spans="2:14">
      <c r="B3017" s="57"/>
      <c r="C3017" s="54"/>
      <c r="D3017" s="55"/>
      <c r="I3017" s="55"/>
      <c r="J3017" s="56"/>
      <c r="K3017" s="56"/>
      <c r="M3017" s="55"/>
      <c r="N3017" s="55"/>
    </row>
    <row r="3018" ht="14.25" customHeight="1" spans="2:14">
      <c r="B3018" s="57"/>
      <c r="C3018" s="54"/>
      <c r="D3018" s="55"/>
      <c r="I3018" s="55"/>
      <c r="J3018" s="56"/>
      <c r="K3018" s="56"/>
      <c r="M3018" s="55"/>
      <c r="N3018" s="55"/>
    </row>
    <row r="3019" ht="14.25" customHeight="1" spans="2:14">
      <c r="B3019" s="57"/>
      <c r="C3019" s="54"/>
      <c r="D3019" s="55"/>
      <c r="I3019" s="55"/>
      <c r="J3019" s="56"/>
      <c r="K3019" s="56"/>
      <c r="M3019" s="55"/>
      <c r="N3019" s="55"/>
    </row>
    <row r="3020" ht="14.25" customHeight="1" spans="2:14">
      <c r="B3020" s="57"/>
      <c r="C3020" s="54"/>
      <c r="D3020" s="55"/>
      <c r="I3020" s="55"/>
      <c r="J3020" s="56"/>
      <c r="K3020" s="56"/>
      <c r="M3020" s="55"/>
      <c r="N3020" s="55"/>
    </row>
    <row r="3021" ht="14.25" customHeight="1" spans="2:14">
      <c r="B3021" s="57"/>
      <c r="C3021" s="54"/>
      <c r="D3021" s="55"/>
      <c r="I3021" s="55"/>
      <c r="J3021" s="56"/>
      <c r="K3021" s="56"/>
      <c r="M3021" s="55"/>
      <c r="N3021" s="55"/>
    </row>
    <row r="3022" ht="14.25" customHeight="1" spans="2:14">
      <c r="B3022" s="57"/>
      <c r="C3022" s="54"/>
      <c r="D3022" s="55"/>
      <c r="I3022" s="55"/>
      <c r="J3022" s="56"/>
      <c r="K3022" s="56"/>
      <c r="M3022" s="55"/>
      <c r="N3022" s="55"/>
    </row>
    <row r="3023" ht="14.25" customHeight="1" spans="2:14">
      <c r="B3023" s="57"/>
      <c r="C3023" s="54"/>
      <c r="D3023" s="55"/>
      <c r="I3023" s="55"/>
      <c r="J3023" s="56"/>
      <c r="K3023" s="56"/>
      <c r="M3023" s="55"/>
      <c r="N3023" s="55"/>
    </row>
    <row r="3024" ht="14.25" customHeight="1" spans="2:14">
      <c r="B3024" s="57"/>
      <c r="C3024" s="54"/>
      <c r="D3024" s="55"/>
      <c r="I3024" s="55"/>
      <c r="J3024" s="56"/>
      <c r="K3024" s="56"/>
      <c r="M3024" s="55"/>
      <c r="N3024" s="55"/>
    </row>
    <row r="3025" ht="14.25" customHeight="1" spans="2:14">
      <c r="B3025" s="57"/>
      <c r="C3025" s="54"/>
      <c r="D3025" s="55"/>
      <c r="I3025" s="55"/>
      <c r="J3025" s="56"/>
      <c r="K3025" s="56"/>
      <c r="M3025" s="55"/>
      <c r="N3025" s="55"/>
    </row>
    <row r="3026" ht="14.25" customHeight="1" spans="2:14">
      <c r="B3026" s="57"/>
      <c r="C3026" s="54"/>
      <c r="D3026" s="55"/>
      <c r="I3026" s="55"/>
      <c r="J3026" s="56"/>
      <c r="K3026" s="56"/>
      <c r="M3026" s="55"/>
      <c r="N3026" s="55"/>
    </row>
    <row r="3027" ht="14.25" customHeight="1" spans="2:14">
      <c r="B3027" s="57"/>
      <c r="C3027" s="54"/>
      <c r="D3027" s="55"/>
      <c r="I3027" s="55"/>
      <c r="J3027" s="56"/>
      <c r="K3027" s="56"/>
      <c r="M3027" s="55"/>
      <c r="N3027" s="55"/>
    </row>
    <row r="3028" ht="14.25" customHeight="1" spans="2:14">
      <c r="B3028" s="57"/>
      <c r="C3028" s="54"/>
      <c r="D3028" s="55"/>
      <c r="I3028" s="55"/>
      <c r="J3028" s="56"/>
      <c r="K3028" s="56"/>
      <c r="M3028" s="55"/>
      <c r="N3028" s="55"/>
    </row>
    <row r="3029" ht="14.25" customHeight="1" spans="2:14">
      <c r="B3029" s="57"/>
      <c r="C3029" s="54"/>
      <c r="D3029" s="55"/>
      <c r="I3029" s="55"/>
      <c r="J3029" s="56"/>
      <c r="K3029" s="56"/>
      <c r="M3029" s="55"/>
      <c r="N3029" s="55"/>
    </row>
    <row r="3030" ht="14.25" customHeight="1" spans="2:14">
      <c r="B3030" s="57"/>
      <c r="C3030" s="54"/>
      <c r="D3030" s="55"/>
      <c r="I3030" s="55"/>
      <c r="J3030" s="56"/>
      <c r="K3030" s="56"/>
      <c r="M3030" s="55"/>
      <c r="N3030" s="55"/>
    </row>
    <row r="3031" ht="14.25" customHeight="1" spans="2:14">
      <c r="B3031" s="57"/>
      <c r="C3031" s="54"/>
      <c r="D3031" s="55"/>
      <c r="I3031" s="55"/>
      <c r="J3031" s="56"/>
      <c r="K3031" s="56"/>
      <c r="M3031" s="55"/>
      <c r="N3031" s="55"/>
    </row>
    <row r="3032" ht="14.25" customHeight="1" spans="2:14">
      <c r="B3032" s="57"/>
      <c r="C3032" s="54"/>
      <c r="D3032" s="55"/>
      <c r="I3032" s="55"/>
      <c r="J3032" s="56"/>
      <c r="K3032" s="56"/>
      <c r="M3032" s="55"/>
      <c r="N3032" s="55"/>
    </row>
    <row r="3033" ht="14.25" customHeight="1" spans="2:14">
      <c r="B3033" s="57"/>
      <c r="C3033" s="54"/>
      <c r="D3033" s="55"/>
      <c r="I3033" s="55"/>
      <c r="J3033" s="56"/>
      <c r="K3033" s="56"/>
      <c r="M3033" s="55"/>
      <c r="N3033" s="55"/>
    </row>
    <row r="3034" ht="14.25" customHeight="1" spans="2:14">
      <c r="B3034" s="57"/>
      <c r="C3034" s="54"/>
      <c r="D3034" s="55"/>
      <c r="I3034" s="55"/>
      <c r="J3034" s="56"/>
      <c r="K3034" s="56"/>
      <c r="M3034" s="55"/>
      <c r="N3034" s="55"/>
    </row>
    <row r="3035" ht="14.25" customHeight="1" spans="2:14">
      <c r="B3035" s="57"/>
      <c r="C3035" s="54"/>
      <c r="D3035" s="55"/>
      <c r="I3035" s="55"/>
      <c r="J3035" s="56"/>
      <c r="K3035" s="56"/>
      <c r="M3035" s="55"/>
      <c r="N3035" s="55"/>
    </row>
    <row r="3036" ht="14.25" customHeight="1" spans="2:14">
      <c r="B3036" s="57"/>
      <c r="C3036" s="54"/>
      <c r="D3036" s="55"/>
      <c r="I3036" s="55"/>
      <c r="J3036" s="56"/>
      <c r="K3036" s="56"/>
      <c r="M3036" s="55"/>
      <c r="N3036" s="55"/>
    </row>
    <row r="3037" ht="14.25" customHeight="1" spans="2:14">
      <c r="B3037" s="57"/>
      <c r="C3037" s="54"/>
      <c r="D3037" s="55"/>
      <c r="I3037" s="55"/>
      <c r="J3037" s="56"/>
      <c r="K3037" s="56"/>
      <c r="M3037" s="55"/>
      <c r="N3037" s="55"/>
    </row>
    <row r="3038" ht="14.25" customHeight="1" spans="2:14">
      <c r="B3038" s="57"/>
      <c r="C3038" s="54"/>
      <c r="D3038" s="55"/>
      <c r="I3038" s="55"/>
      <c r="J3038" s="56"/>
      <c r="K3038" s="56"/>
      <c r="M3038" s="55"/>
      <c r="N3038" s="55"/>
    </row>
    <row r="3039" ht="14.25" customHeight="1" spans="2:14">
      <c r="B3039" s="57"/>
      <c r="C3039" s="54"/>
      <c r="D3039" s="55"/>
      <c r="I3039" s="55"/>
      <c r="J3039" s="56"/>
      <c r="K3039" s="56"/>
      <c r="M3039" s="55"/>
      <c r="N3039" s="55"/>
    </row>
    <row r="3040" ht="14.25" customHeight="1" spans="2:14">
      <c r="B3040" s="57"/>
      <c r="C3040" s="54"/>
      <c r="D3040" s="55"/>
      <c r="I3040" s="55"/>
      <c r="J3040" s="56"/>
      <c r="K3040" s="56"/>
      <c r="M3040" s="55"/>
      <c r="N3040" s="55"/>
    </row>
    <row r="3041" ht="14.25" customHeight="1" spans="2:14">
      <c r="B3041" s="57"/>
      <c r="C3041" s="54"/>
      <c r="D3041" s="55"/>
      <c r="I3041" s="55"/>
      <c r="J3041" s="56"/>
      <c r="K3041" s="56"/>
      <c r="M3041" s="55"/>
      <c r="N3041" s="55"/>
    </row>
    <row r="3042" ht="14.25" customHeight="1" spans="2:14">
      <c r="B3042" s="57"/>
      <c r="C3042" s="54"/>
      <c r="D3042" s="55"/>
      <c r="I3042" s="55"/>
      <c r="J3042" s="56"/>
      <c r="K3042" s="56"/>
      <c r="M3042" s="55"/>
      <c r="N3042" s="55"/>
    </row>
    <row r="3043" ht="14.25" customHeight="1" spans="2:14">
      <c r="B3043" s="57"/>
      <c r="C3043" s="54"/>
      <c r="D3043" s="55"/>
      <c r="I3043" s="55"/>
      <c r="J3043" s="56"/>
      <c r="K3043" s="56"/>
      <c r="M3043" s="55"/>
      <c r="N3043" s="55"/>
    </row>
    <row r="3044" ht="14.25" customHeight="1" spans="2:14">
      <c r="B3044" s="57"/>
      <c r="C3044" s="54"/>
      <c r="D3044" s="55"/>
      <c r="I3044" s="55"/>
      <c r="J3044" s="56"/>
      <c r="K3044" s="56"/>
      <c r="M3044" s="55"/>
      <c r="N3044" s="55"/>
    </row>
    <row r="3045" ht="14.25" customHeight="1" spans="2:14">
      <c r="B3045" s="57"/>
      <c r="C3045" s="54"/>
      <c r="D3045" s="55"/>
      <c r="I3045" s="55"/>
      <c r="J3045" s="56"/>
      <c r="K3045" s="56"/>
      <c r="M3045" s="55"/>
      <c r="N3045" s="55"/>
    </row>
    <row r="3046" ht="14.25" customHeight="1" spans="2:14">
      <c r="B3046" s="57"/>
      <c r="C3046" s="54"/>
      <c r="D3046" s="55"/>
      <c r="I3046" s="55"/>
      <c r="J3046" s="56"/>
      <c r="K3046" s="56"/>
      <c r="M3046" s="55"/>
      <c r="N3046" s="55"/>
    </row>
    <row r="3047" ht="14.25" customHeight="1" spans="2:14">
      <c r="B3047" s="57"/>
      <c r="C3047" s="54"/>
      <c r="D3047" s="55"/>
      <c r="I3047" s="55"/>
      <c r="J3047" s="56"/>
      <c r="K3047" s="56"/>
      <c r="M3047" s="55"/>
      <c r="N3047" s="55"/>
    </row>
    <row r="3048" ht="14.25" customHeight="1" spans="2:14">
      <c r="B3048" s="57"/>
      <c r="C3048" s="54"/>
      <c r="D3048" s="55"/>
      <c r="I3048" s="55"/>
      <c r="J3048" s="56"/>
      <c r="K3048" s="56"/>
      <c r="M3048" s="55"/>
      <c r="N3048" s="55"/>
    </row>
    <row r="3049" ht="14.25" customHeight="1" spans="2:14">
      <c r="B3049" s="57"/>
      <c r="C3049" s="54"/>
      <c r="D3049" s="55"/>
      <c r="I3049" s="55"/>
      <c r="J3049" s="56"/>
      <c r="K3049" s="56"/>
      <c r="M3049" s="55"/>
      <c r="N3049" s="55"/>
    </row>
    <row r="3050" ht="14.25" customHeight="1" spans="2:14">
      <c r="B3050" s="57"/>
      <c r="C3050" s="54"/>
      <c r="D3050" s="55"/>
      <c r="I3050" s="55"/>
      <c r="J3050" s="56"/>
      <c r="K3050" s="56"/>
      <c r="M3050" s="55"/>
      <c r="N3050" s="55"/>
    </row>
    <row r="3051" ht="14.25" customHeight="1" spans="2:14">
      <c r="B3051" s="57"/>
      <c r="C3051" s="54"/>
      <c r="D3051" s="55"/>
      <c r="I3051" s="55"/>
      <c r="J3051" s="56"/>
      <c r="K3051" s="56"/>
      <c r="M3051" s="55"/>
      <c r="N3051" s="55"/>
    </row>
    <row r="3052" ht="14.25" customHeight="1" spans="2:14">
      <c r="B3052" s="57"/>
      <c r="C3052" s="54"/>
      <c r="D3052" s="55"/>
      <c r="I3052" s="55"/>
      <c r="J3052" s="56"/>
      <c r="K3052" s="56"/>
      <c r="M3052" s="55"/>
      <c r="N3052" s="55"/>
    </row>
    <row r="3053" ht="14.25" customHeight="1" spans="2:14">
      <c r="B3053" s="57"/>
      <c r="C3053" s="54"/>
      <c r="D3053" s="55"/>
      <c r="I3053" s="55"/>
      <c r="J3053" s="56"/>
      <c r="K3053" s="56"/>
      <c r="M3053" s="55"/>
      <c r="N3053" s="55"/>
    </row>
    <row r="3054" ht="14.25" customHeight="1" spans="2:14">
      <c r="B3054" s="57"/>
      <c r="C3054" s="54"/>
      <c r="D3054" s="55"/>
      <c r="I3054" s="55"/>
      <c r="J3054" s="56"/>
      <c r="K3054" s="56"/>
      <c r="M3054" s="55"/>
      <c r="N3054" s="55"/>
    </row>
    <row r="3055" ht="14.25" customHeight="1" spans="2:14">
      <c r="B3055" s="57"/>
      <c r="C3055" s="54"/>
      <c r="D3055" s="55"/>
      <c r="I3055" s="55"/>
      <c r="J3055" s="56"/>
      <c r="K3055" s="56"/>
      <c r="M3055" s="55"/>
      <c r="N3055" s="55"/>
    </row>
    <row r="3056" ht="14.25" customHeight="1" spans="2:14">
      <c r="B3056" s="57"/>
      <c r="C3056" s="54"/>
      <c r="D3056" s="55"/>
      <c r="I3056" s="55"/>
      <c r="J3056" s="56"/>
      <c r="K3056" s="56"/>
      <c r="M3056" s="55"/>
      <c r="N3056" s="55"/>
    </row>
    <row r="3057" ht="14.25" customHeight="1" spans="2:14">
      <c r="B3057" s="57"/>
      <c r="C3057" s="54"/>
      <c r="D3057" s="55"/>
      <c r="I3057" s="55"/>
      <c r="J3057" s="56"/>
      <c r="K3057" s="56"/>
      <c r="M3057" s="55"/>
      <c r="N3057" s="55"/>
    </row>
    <row r="3058" ht="14.25" customHeight="1" spans="2:14">
      <c r="B3058" s="57"/>
      <c r="C3058" s="54"/>
      <c r="D3058" s="55"/>
      <c r="I3058" s="55"/>
      <c r="J3058" s="56"/>
      <c r="K3058" s="56"/>
      <c r="M3058" s="55"/>
      <c r="N3058" s="55"/>
    </row>
    <row r="3059" ht="14.25" customHeight="1" spans="2:14">
      <c r="B3059" s="57"/>
      <c r="C3059" s="54"/>
      <c r="D3059" s="55"/>
      <c r="I3059" s="55"/>
      <c r="J3059" s="56"/>
      <c r="K3059" s="56"/>
      <c r="M3059" s="55"/>
      <c r="N3059" s="55"/>
    </row>
    <row r="3060" ht="14.25" customHeight="1" spans="2:14">
      <c r="B3060" s="57"/>
      <c r="C3060" s="54"/>
      <c r="D3060" s="55"/>
      <c r="I3060" s="55"/>
      <c r="J3060" s="56"/>
      <c r="K3060" s="56"/>
      <c r="M3060" s="55"/>
      <c r="N3060" s="55"/>
    </row>
    <row r="3061" ht="14.25" customHeight="1" spans="2:14">
      <c r="B3061" s="57"/>
      <c r="C3061" s="54"/>
      <c r="D3061" s="55"/>
      <c r="I3061" s="55"/>
      <c r="J3061" s="56"/>
      <c r="K3061" s="56"/>
      <c r="M3061" s="55"/>
      <c r="N3061" s="55"/>
    </row>
    <row r="3062" ht="14.25" customHeight="1" spans="2:14">
      <c r="B3062" s="57"/>
      <c r="C3062" s="54"/>
      <c r="D3062" s="55"/>
      <c r="I3062" s="55"/>
      <c r="J3062" s="56"/>
      <c r="K3062" s="56"/>
      <c r="M3062" s="55"/>
      <c r="N3062" s="55"/>
    </row>
    <row r="3063" ht="14.25" customHeight="1" spans="2:14">
      <c r="B3063" s="57"/>
      <c r="C3063" s="54"/>
      <c r="D3063" s="55"/>
      <c r="I3063" s="55"/>
      <c r="J3063" s="56"/>
      <c r="K3063" s="56"/>
      <c r="M3063" s="55"/>
      <c r="N3063" s="55"/>
    </row>
    <row r="3064" ht="14.25" customHeight="1" spans="2:14">
      <c r="B3064" s="57"/>
      <c r="C3064" s="54"/>
      <c r="D3064" s="55"/>
      <c r="I3064" s="55"/>
      <c r="J3064" s="56"/>
      <c r="K3064" s="56"/>
      <c r="M3064" s="55"/>
      <c r="N3064" s="55"/>
    </row>
    <row r="3065" ht="14.25" customHeight="1" spans="2:14">
      <c r="B3065" s="57"/>
      <c r="C3065" s="54"/>
      <c r="D3065" s="55"/>
      <c r="I3065" s="55"/>
      <c r="J3065" s="56"/>
      <c r="K3065" s="56"/>
      <c r="M3065" s="55"/>
      <c r="N3065" s="55"/>
    </row>
    <row r="3066" ht="14.25" customHeight="1" spans="2:14">
      <c r="B3066" s="57"/>
      <c r="C3066" s="54"/>
      <c r="D3066" s="55"/>
      <c r="I3066" s="55"/>
      <c r="J3066" s="56"/>
      <c r="K3066" s="56"/>
      <c r="M3066" s="55"/>
      <c r="N3066" s="55"/>
    </row>
    <row r="3067" ht="14.25" customHeight="1" spans="2:14">
      <c r="B3067" s="57"/>
      <c r="C3067" s="54"/>
      <c r="D3067" s="55"/>
      <c r="I3067" s="55"/>
      <c r="J3067" s="56"/>
      <c r="K3067" s="56"/>
      <c r="M3067" s="55"/>
      <c r="N3067" s="55"/>
    </row>
    <row r="3068" ht="14.25" customHeight="1" spans="2:14">
      <c r="B3068" s="57"/>
      <c r="C3068" s="54"/>
      <c r="D3068" s="55"/>
      <c r="I3068" s="55"/>
      <c r="J3068" s="56"/>
      <c r="K3068" s="56"/>
      <c r="M3068" s="55"/>
      <c r="N3068" s="55"/>
    </row>
    <row r="3069" ht="14.25" customHeight="1" spans="2:14">
      <c r="B3069" s="57"/>
      <c r="C3069" s="54"/>
      <c r="D3069" s="55"/>
      <c r="I3069" s="55"/>
      <c r="J3069" s="56"/>
      <c r="K3069" s="56"/>
      <c r="M3069" s="55"/>
      <c r="N3069" s="55"/>
    </row>
    <row r="3070" ht="14.25" customHeight="1" spans="2:14">
      <c r="B3070" s="57"/>
      <c r="C3070" s="54"/>
      <c r="D3070" s="55"/>
      <c r="I3070" s="55"/>
      <c r="J3070" s="56"/>
      <c r="K3070" s="56"/>
      <c r="M3070" s="55"/>
      <c r="N3070" s="55"/>
    </row>
    <row r="3071" ht="14.25" customHeight="1" spans="2:14">
      <c r="B3071" s="57"/>
      <c r="C3071" s="54"/>
      <c r="D3071" s="55"/>
      <c r="I3071" s="55"/>
      <c r="J3071" s="56"/>
      <c r="K3071" s="56"/>
      <c r="M3071" s="55"/>
      <c r="N3071" s="55"/>
    </row>
    <row r="3072" ht="14.25" customHeight="1" spans="2:14">
      <c r="B3072" s="57"/>
      <c r="C3072" s="54"/>
      <c r="D3072" s="55"/>
      <c r="I3072" s="55"/>
      <c r="J3072" s="56"/>
      <c r="K3072" s="56"/>
      <c r="M3072" s="55"/>
      <c r="N3072" s="55"/>
    </row>
    <row r="3073" ht="14.25" customHeight="1" spans="2:14">
      <c r="B3073" s="57"/>
      <c r="C3073" s="54"/>
      <c r="D3073" s="55"/>
      <c r="I3073" s="55"/>
      <c r="J3073" s="56"/>
      <c r="K3073" s="56"/>
      <c r="M3073" s="55"/>
      <c r="N3073" s="55"/>
    </row>
    <row r="3074" ht="14.25" customHeight="1" spans="2:14">
      <c r="B3074" s="57"/>
      <c r="C3074" s="54"/>
      <c r="D3074" s="55"/>
      <c r="I3074" s="55"/>
      <c r="J3074" s="56"/>
      <c r="K3074" s="56"/>
      <c r="M3074" s="55"/>
      <c r="N3074" s="55"/>
    </row>
    <row r="3075" ht="14.25" customHeight="1" spans="2:14">
      <c r="B3075" s="57"/>
      <c r="C3075" s="54"/>
      <c r="D3075" s="55"/>
      <c r="I3075" s="55"/>
      <c r="J3075" s="56"/>
      <c r="K3075" s="56"/>
      <c r="M3075" s="55"/>
      <c r="N3075" s="55"/>
    </row>
    <row r="3076" ht="14.25" customHeight="1" spans="2:14">
      <c r="B3076" s="57"/>
      <c r="C3076" s="54"/>
      <c r="D3076" s="55"/>
      <c r="I3076" s="55"/>
      <c r="J3076" s="56"/>
      <c r="K3076" s="56"/>
      <c r="M3076" s="55"/>
      <c r="N3076" s="55"/>
    </row>
    <row r="3077" ht="14.25" customHeight="1" spans="2:14">
      <c r="B3077" s="57"/>
      <c r="C3077" s="54"/>
      <c r="D3077" s="55"/>
      <c r="I3077" s="55"/>
      <c r="J3077" s="56"/>
      <c r="K3077" s="56"/>
      <c r="M3077" s="55"/>
      <c r="N3077" s="55"/>
    </row>
    <row r="3078" ht="14.25" customHeight="1" spans="2:14">
      <c r="B3078" s="57"/>
      <c r="C3078" s="54"/>
      <c r="D3078" s="55"/>
      <c r="I3078" s="55"/>
      <c r="J3078" s="56"/>
      <c r="K3078" s="56"/>
      <c r="M3078" s="55"/>
      <c r="N3078" s="55"/>
    </row>
    <row r="3079" ht="14.25" customHeight="1" spans="2:14">
      <c r="B3079" s="57"/>
      <c r="C3079" s="54"/>
      <c r="D3079" s="55"/>
      <c r="I3079" s="55"/>
      <c r="J3079" s="56"/>
      <c r="K3079" s="56"/>
      <c r="M3079" s="55"/>
      <c r="N3079" s="55"/>
    </row>
    <row r="3080" ht="14.25" customHeight="1" spans="2:14">
      <c r="B3080" s="57"/>
      <c r="C3080" s="54"/>
      <c r="D3080" s="55"/>
      <c r="I3080" s="55"/>
      <c r="J3080" s="56"/>
      <c r="K3080" s="56"/>
      <c r="M3080" s="55"/>
      <c r="N3080" s="55"/>
    </row>
    <row r="3081" ht="14.25" customHeight="1" spans="2:14">
      <c r="B3081" s="57"/>
      <c r="C3081" s="54"/>
      <c r="D3081" s="55"/>
      <c r="I3081" s="55"/>
      <c r="J3081" s="56"/>
      <c r="K3081" s="56"/>
      <c r="M3081" s="55"/>
      <c r="N3081" s="55"/>
    </row>
    <row r="3082" ht="14.25" customHeight="1" spans="2:14">
      <c r="B3082" s="57"/>
      <c r="C3082" s="54"/>
      <c r="D3082" s="55"/>
      <c r="I3082" s="55"/>
      <c r="J3082" s="56"/>
      <c r="K3082" s="56"/>
      <c r="M3082" s="55"/>
      <c r="N3082" s="55"/>
    </row>
    <row r="3083" ht="14.25" customHeight="1" spans="2:14">
      <c r="B3083" s="57"/>
      <c r="C3083" s="54"/>
      <c r="D3083" s="55"/>
      <c r="I3083" s="55"/>
      <c r="J3083" s="56"/>
      <c r="K3083" s="56"/>
      <c r="M3083" s="55"/>
      <c r="N3083" s="55"/>
    </row>
    <row r="3084" ht="14.25" customHeight="1" spans="2:14">
      <c r="B3084" s="57"/>
      <c r="C3084" s="54"/>
      <c r="D3084" s="55"/>
      <c r="I3084" s="55"/>
      <c r="J3084" s="56"/>
      <c r="K3084" s="56"/>
      <c r="M3084" s="55"/>
      <c r="N3084" s="55"/>
    </row>
    <row r="3085" ht="14.25" customHeight="1" spans="2:14">
      <c r="B3085" s="57"/>
      <c r="C3085" s="54"/>
      <c r="D3085" s="55"/>
      <c r="I3085" s="55"/>
      <c r="J3085" s="56"/>
      <c r="K3085" s="56"/>
      <c r="M3085" s="55"/>
      <c r="N3085" s="55"/>
    </row>
    <row r="3086" ht="14.25" customHeight="1" spans="2:14">
      <c r="B3086" s="57"/>
      <c r="C3086" s="54"/>
      <c r="D3086" s="55"/>
      <c r="I3086" s="55"/>
      <c r="J3086" s="56"/>
      <c r="K3086" s="56"/>
      <c r="M3086" s="55"/>
      <c r="N3086" s="55"/>
    </row>
    <row r="3087" ht="14.25" customHeight="1" spans="2:14">
      <c r="B3087" s="57"/>
      <c r="C3087" s="54"/>
      <c r="D3087" s="55"/>
      <c r="I3087" s="55"/>
      <c r="J3087" s="56"/>
      <c r="K3087" s="56"/>
      <c r="M3087" s="55"/>
      <c r="N3087" s="55"/>
    </row>
    <row r="3088" ht="14.25" customHeight="1" spans="2:14">
      <c r="B3088" s="57"/>
      <c r="C3088" s="54"/>
      <c r="D3088" s="55"/>
      <c r="I3088" s="55"/>
      <c r="J3088" s="56"/>
      <c r="K3088" s="56"/>
      <c r="M3088" s="55"/>
      <c r="N3088" s="55"/>
    </row>
    <row r="3089" ht="14.25" customHeight="1" spans="2:14">
      <c r="B3089" s="57"/>
      <c r="C3089" s="54"/>
      <c r="D3089" s="55"/>
      <c r="I3089" s="55"/>
      <c r="J3089" s="56"/>
      <c r="K3089" s="56"/>
      <c r="M3089" s="55"/>
      <c r="N3089" s="55"/>
    </row>
    <row r="3090" ht="14.25" customHeight="1" spans="2:14">
      <c r="B3090" s="57"/>
      <c r="C3090" s="54"/>
      <c r="D3090" s="55"/>
      <c r="I3090" s="55"/>
      <c r="J3090" s="56"/>
      <c r="K3090" s="56"/>
      <c r="M3090" s="55"/>
      <c r="N3090" s="55"/>
    </row>
    <row r="3091" ht="14.25" customHeight="1" spans="2:14">
      <c r="B3091" s="57"/>
      <c r="C3091" s="54"/>
      <c r="D3091" s="55"/>
      <c r="I3091" s="55"/>
      <c r="J3091" s="56"/>
      <c r="K3091" s="56"/>
      <c r="M3091" s="55"/>
      <c r="N3091" s="55"/>
    </row>
    <row r="3092" ht="14.25" customHeight="1" spans="2:14">
      <c r="B3092" s="57"/>
      <c r="C3092" s="54"/>
      <c r="D3092" s="55"/>
      <c r="I3092" s="55"/>
      <c r="J3092" s="56"/>
      <c r="K3092" s="56"/>
      <c r="M3092" s="55"/>
      <c r="N3092" s="55"/>
    </row>
    <row r="3093" ht="14.25" customHeight="1" spans="2:14">
      <c r="B3093" s="57"/>
      <c r="C3093" s="54"/>
      <c r="D3093" s="55"/>
      <c r="I3093" s="55"/>
      <c r="J3093" s="56"/>
      <c r="K3093" s="56"/>
      <c r="M3093" s="55"/>
      <c r="N3093" s="55"/>
    </row>
    <row r="3094" ht="14.25" customHeight="1" spans="2:14">
      <c r="B3094" s="57"/>
      <c r="C3094" s="54"/>
      <c r="D3094" s="55"/>
      <c r="I3094" s="55"/>
      <c r="J3094" s="56"/>
      <c r="K3094" s="56"/>
      <c r="M3094" s="55"/>
      <c r="N3094" s="55"/>
    </row>
    <row r="3095" ht="14.25" customHeight="1" spans="2:14">
      <c r="B3095" s="57"/>
      <c r="C3095" s="54"/>
      <c r="D3095" s="55"/>
      <c r="I3095" s="55"/>
      <c r="J3095" s="56"/>
      <c r="K3095" s="56"/>
      <c r="M3095" s="55"/>
      <c r="N3095" s="55"/>
    </row>
    <row r="3096" ht="14.25" customHeight="1" spans="2:14">
      <c r="B3096" s="57"/>
      <c r="C3096" s="54"/>
      <c r="D3096" s="55"/>
      <c r="I3096" s="55"/>
      <c r="J3096" s="56"/>
      <c r="K3096" s="56"/>
      <c r="M3096" s="55"/>
      <c r="N3096" s="55"/>
    </row>
    <row r="3097" ht="14.25" customHeight="1" spans="2:14">
      <c r="B3097" s="57"/>
      <c r="C3097" s="54"/>
      <c r="D3097" s="55"/>
      <c r="I3097" s="55"/>
      <c r="J3097" s="56"/>
      <c r="K3097" s="56"/>
      <c r="M3097" s="55"/>
      <c r="N3097" s="55"/>
    </row>
    <row r="3098" ht="14.25" customHeight="1" spans="2:14">
      <c r="B3098" s="57"/>
      <c r="C3098" s="54"/>
      <c r="D3098" s="55"/>
      <c r="I3098" s="55"/>
      <c r="J3098" s="56"/>
      <c r="K3098" s="56"/>
      <c r="M3098" s="55"/>
      <c r="N3098" s="55"/>
    </row>
    <row r="3099" ht="14.25" customHeight="1" spans="2:14">
      <c r="B3099" s="57"/>
      <c r="C3099" s="54"/>
      <c r="D3099" s="55"/>
      <c r="I3099" s="55"/>
      <c r="J3099" s="56"/>
      <c r="K3099" s="56"/>
      <c r="M3099" s="55"/>
      <c r="N3099" s="55"/>
    </row>
    <row r="3100" ht="14.25" customHeight="1" spans="2:14">
      <c r="B3100" s="57"/>
      <c r="C3100" s="54"/>
      <c r="D3100" s="55"/>
      <c r="I3100" s="55"/>
      <c r="J3100" s="56"/>
      <c r="K3100" s="56"/>
      <c r="M3100" s="55"/>
      <c r="N3100" s="55"/>
    </row>
    <row r="3101" ht="14.25" customHeight="1" spans="2:14">
      <c r="B3101" s="57"/>
      <c r="C3101" s="54"/>
      <c r="D3101" s="55"/>
      <c r="I3101" s="55"/>
      <c r="J3101" s="56"/>
      <c r="K3101" s="56"/>
      <c r="M3101" s="55"/>
      <c r="N3101" s="55"/>
    </row>
    <row r="3102" ht="14.25" customHeight="1" spans="2:14">
      <c r="B3102" s="57"/>
      <c r="C3102" s="54"/>
      <c r="D3102" s="55"/>
      <c r="I3102" s="55"/>
      <c r="J3102" s="56"/>
      <c r="K3102" s="56"/>
      <c r="M3102" s="55"/>
      <c r="N3102" s="55"/>
    </row>
    <row r="3103" ht="14.25" customHeight="1" spans="2:14">
      <c r="B3103" s="57"/>
      <c r="C3103" s="54"/>
      <c r="D3103" s="55"/>
      <c r="I3103" s="55"/>
      <c r="J3103" s="56"/>
      <c r="K3103" s="56"/>
      <c r="M3103" s="55"/>
      <c r="N3103" s="55"/>
    </row>
    <row r="3104" ht="14.25" customHeight="1" spans="2:14">
      <c r="B3104" s="57"/>
      <c r="C3104" s="54"/>
      <c r="D3104" s="55"/>
      <c r="I3104" s="55"/>
      <c r="J3104" s="56"/>
      <c r="K3104" s="56"/>
      <c r="M3104" s="55"/>
      <c r="N3104" s="55"/>
    </row>
    <row r="3105" ht="14.25" customHeight="1" spans="2:14">
      <c r="B3105" s="57"/>
      <c r="C3105" s="54"/>
      <c r="D3105" s="55"/>
      <c r="I3105" s="55"/>
      <c r="J3105" s="56"/>
      <c r="K3105" s="56"/>
      <c r="M3105" s="55"/>
      <c r="N3105" s="55"/>
    </row>
    <row r="3106" ht="14.25" customHeight="1" spans="2:14">
      <c r="B3106" s="57"/>
      <c r="C3106" s="54"/>
      <c r="D3106" s="55"/>
      <c r="I3106" s="55"/>
      <c r="J3106" s="56"/>
      <c r="K3106" s="56"/>
      <c r="M3106" s="55"/>
      <c r="N3106" s="55"/>
    </row>
    <row r="3107" ht="14.25" customHeight="1" spans="2:14">
      <c r="B3107" s="57"/>
      <c r="C3107" s="54"/>
      <c r="D3107" s="55"/>
      <c r="I3107" s="55"/>
      <c r="J3107" s="56"/>
      <c r="K3107" s="56"/>
      <c r="M3107" s="55"/>
      <c r="N3107" s="55"/>
    </row>
    <row r="3108" ht="14.25" customHeight="1" spans="2:14">
      <c r="B3108" s="57"/>
      <c r="C3108" s="54"/>
      <c r="D3108" s="55"/>
      <c r="I3108" s="55"/>
      <c r="J3108" s="56"/>
      <c r="K3108" s="56"/>
      <c r="M3108" s="55"/>
      <c r="N3108" s="55"/>
    </row>
    <row r="3109" ht="14.25" customHeight="1" spans="2:14">
      <c r="B3109" s="57"/>
      <c r="C3109" s="54"/>
      <c r="D3109" s="55"/>
      <c r="I3109" s="55"/>
      <c r="J3109" s="56"/>
      <c r="K3109" s="56"/>
      <c r="M3109" s="55"/>
      <c r="N3109" s="55"/>
    </row>
    <row r="3110" ht="14.25" customHeight="1" spans="2:14">
      <c r="B3110" s="57"/>
      <c r="C3110" s="54"/>
      <c r="D3110" s="55"/>
      <c r="I3110" s="55"/>
      <c r="J3110" s="56"/>
      <c r="K3110" s="56"/>
      <c r="M3110" s="55"/>
      <c r="N3110" s="55"/>
    </row>
    <row r="3111" ht="14.25" customHeight="1" spans="2:14">
      <c r="B3111" s="57"/>
      <c r="C3111" s="54"/>
      <c r="D3111" s="55"/>
      <c r="I3111" s="55"/>
      <c r="J3111" s="56"/>
      <c r="K3111" s="56"/>
      <c r="M3111" s="55"/>
      <c r="N3111" s="55"/>
    </row>
    <row r="3112" ht="14.25" customHeight="1" spans="2:14">
      <c r="B3112" s="57"/>
      <c r="C3112" s="54"/>
      <c r="D3112" s="55"/>
      <c r="I3112" s="55"/>
      <c r="J3112" s="56"/>
      <c r="K3112" s="56"/>
      <c r="M3112" s="55"/>
      <c r="N3112" s="55"/>
    </row>
    <row r="3113" ht="14.25" customHeight="1" spans="2:14">
      <c r="B3113" s="57"/>
      <c r="C3113" s="54"/>
      <c r="D3113" s="55"/>
      <c r="I3113" s="55"/>
      <c r="J3113" s="56"/>
      <c r="K3113" s="56"/>
      <c r="M3113" s="55"/>
      <c r="N3113" s="55"/>
    </row>
    <row r="3114" ht="14.25" customHeight="1" spans="2:14">
      <c r="B3114" s="57"/>
      <c r="C3114" s="54"/>
      <c r="D3114" s="55"/>
      <c r="I3114" s="55"/>
      <c r="J3114" s="56"/>
      <c r="K3114" s="56"/>
      <c r="M3114" s="55"/>
      <c r="N3114" s="55"/>
    </row>
    <row r="3115" ht="14.25" customHeight="1" spans="2:14">
      <c r="B3115" s="57"/>
      <c r="C3115" s="54"/>
      <c r="D3115" s="55"/>
      <c r="I3115" s="55"/>
      <c r="J3115" s="56"/>
      <c r="K3115" s="56"/>
      <c r="M3115" s="55"/>
      <c r="N3115" s="55"/>
    </row>
    <row r="3116" ht="14.25" customHeight="1" spans="2:14">
      <c r="B3116" s="57"/>
      <c r="C3116" s="54"/>
      <c r="D3116" s="55"/>
      <c r="I3116" s="55"/>
      <c r="J3116" s="56"/>
      <c r="K3116" s="56"/>
      <c r="M3116" s="55"/>
      <c r="N3116" s="55"/>
    </row>
    <row r="3117" ht="14.25" customHeight="1" spans="2:14">
      <c r="B3117" s="57"/>
      <c r="C3117" s="54"/>
      <c r="D3117" s="55"/>
      <c r="I3117" s="55"/>
      <c r="J3117" s="56"/>
      <c r="K3117" s="56"/>
      <c r="M3117" s="55"/>
      <c r="N3117" s="55"/>
    </row>
    <row r="3118" ht="14.25" customHeight="1" spans="2:14">
      <c r="B3118" s="57"/>
      <c r="C3118" s="54"/>
      <c r="D3118" s="55"/>
      <c r="I3118" s="55"/>
      <c r="J3118" s="56"/>
      <c r="K3118" s="56"/>
      <c r="M3118" s="55"/>
      <c r="N3118" s="55"/>
    </row>
    <row r="3119" ht="14.25" customHeight="1" spans="2:14">
      <c r="B3119" s="57"/>
      <c r="C3119" s="54"/>
      <c r="D3119" s="55"/>
      <c r="I3119" s="55"/>
      <c r="J3119" s="56"/>
      <c r="K3119" s="56"/>
      <c r="M3119" s="55"/>
      <c r="N3119" s="55"/>
    </row>
    <row r="3120" ht="14.25" customHeight="1" spans="2:14">
      <c r="B3120" s="57"/>
      <c r="C3120" s="54"/>
      <c r="D3120" s="55"/>
      <c r="I3120" s="55"/>
      <c r="J3120" s="56"/>
      <c r="K3120" s="56"/>
      <c r="M3120" s="55"/>
      <c r="N3120" s="55"/>
    </row>
    <row r="3121" ht="14.25" customHeight="1" spans="2:14">
      <c r="B3121" s="57"/>
      <c r="C3121" s="54"/>
      <c r="D3121" s="55"/>
      <c r="I3121" s="55"/>
      <c r="J3121" s="56"/>
      <c r="K3121" s="56"/>
      <c r="M3121" s="55"/>
      <c r="N3121" s="55"/>
    </row>
    <row r="3122" ht="14.25" customHeight="1" spans="2:14">
      <c r="B3122" s="57"/>
      <c r="C3122" s="54"/>
      <c r="D3122" s="55"/>
      <c r="I3122" s="55"/>
      <c r="J3122" s="56"/>
      <c r="K3122" s="56"/>
      <c r="M3122" s="55"/>
      <c r="N3122" s="55"/>
    </row>
    <row r="3123" ht="14.25" customHeight="1" spans="2:14">
      <c r="B3123" s="57"/>
      <c r="C3123" s="54"/>
      <c r="D3123" s="55"/>
      <c r="I3123" s="55"/>
      <c r="J3123" s="56"/>
      <c r="K3123" s="56"/>
      <c r="M3123" s="55"/>
      <c r="N3123" s="55"/>
    </row>
    <row r="3124" ht="14.25" customHeight="1" spans="2:14">
      <c r="B3124" s="57"/>
      <c r="C3124" s="54"/>
      <c r="D3124" s="55"/>
      <c r="I3124" s="55"/>
      <c r="J3124" s="56"/>
      <c r="K3124" s="56"/>
      <c r="M3124" s="55"/>
      <c r="N3124" s="55"/>
    </row>
    <row r="3125" ht="14.25" customHeight="1" spans="2:14">
      <c r="B3125" s="57"/>
      <c r="C3125" s="54"/>
      <c r="D3125" s="55"/>
      <c r="I3125" s="55"/>
      <c r="J3125" s="56"/>
      <c r="K3125" s="56"/>
      <c r="M3125" s="55"/>
      <c r="N3125" s="55"/>
    </row>
    <row r="3126" ht="14.25" customHeight="1" spans="2:14">
      <c r="B3126" s="57"/>
      <c r="C3126" s="54"/>
      <c r="D3126" s="55"/>
      <c r="I3126" s="55"/>
      <c r="J3126" s="56"/>
      <c r="K3126" s="56"/>
      <c r="M3126" s="55"/>
      <c r="N3126" s="55"/>
    </row>
    <row r="3127" ht="14.25" customHeight="1" spans="2:14">
      <c r="B3127" s="57"/>
      <c r="C3127" s="54"/>
      <c r="D3127" s="55"/>
      <c r="I3127" s="55"/>
      <c r="J3127" s="56"/>
      <c r="K3127" s="56"/>
      <c r="M3127" s="55"/>
      <c r="N3127" s="55"/>
    </row>
    <row r="3128" ht="14.25" customHeight="1" spans="2:14">
      <c r="B3128" s="57"/>
      <c r="C3128" s="54"/>
      <c r="D3128" s="55"/>
      <c r="I3128" s="55"/>
      <c r="J3128" s="56"/>
      <c r="K3128" s="56"/>
      <c r="M3128" s="55"/>
      <c r="N3128" s="55"/>
    </row>
    <row r="3129" ht="14.25" customHeight="1" spans="2:14">
      <c r="B3129" s="57"/>
      <c r="C3129" s="54"/>
      <c r="D3129" s="55"/>
      <c r="I3129" s="55"/>
      <c r="J3129" s="56"/>
      <c r="K3129" s="56"/>
      <c r="M3129" s="55"/>
      <c r="N3129" s="55"/>
    </row>
    <row r="3130" ht="14.25" customHeight="1" spans="2:14">
      <c r="B3130" s="57"/>
      <c r="C3130" s="54"/>
      <c r="D3130" s="55"/>
      <c r="I3130" s="55"/>
      <c r="J3130" s="56"/>
      <c r="K3130" s="56"/>
      <c r="M3130" s="55"/>
      <c r="N3130" s="55"/>
    </row>
    <row r="3131" ht="14.25" customHeight="1" spans="2:14">
      <c r="B3131" s="57"/>
      <c r="C3131" s="54"/>
      <c r="D3131" s="55"/>
      <c r="I3131" s="55"/>
      <c r="J3131" s="56"/>
      <c r="K3131" s="56"/>
      <c r="M3131" s="55"/>
      <c r="N3131" s="55"/>
    </row>
    <row r="3132" ht="14.25" customHeight="1" spans="2:14">
      <c r="B3132" s="57"/>
      <c r="C3132" s="54"/>
      <c r="D3132" s="55"/>
      <c r="I3132" s="55"/>
      <c r="J3132" s="56"/>
      <c r="K3132" s="56"/>
      <c r="M3132" s="55"/>
      <c r="N3132" s="55"/>
    </row>
    <row r="3133" ht="14.25" customHeight="1" spans="2:14">
      <c r="B3133" s="57"/>
      <c r="C3133" s="54"/>
      <c r="D3133" s="55"/>
      <c r="I3133" s="55"/>
      <c r="J3133" s="56"/>
      <c r="K3133" s="56"/>
      <c r="M3133" s="55"/>
      <c r="N3133" s="55"/>
    </row>
    <row r="3134" ht="14.25" customHeight="1" spans="2:14">
      <c r="B3134" s="57"/>
      <c r="C3134" s="54"/>
      <c r="D3134" s="55"/>
      <c r="I3134" s="55"/>
      <c r="J3134" s="56"/>
      <c r="K3134" s="56"/>
      <c r="M3134" s="55"/>
      <c r="N3134" s="55"/>
    </row>
    <row r="3135" ht="14.25" customHeight="1" spans="2:14">
      <c r="B3135" s="57"/>
      <c r="C3135" s="54"/>
      <c r="D3135" s="55"/>
      <c r="I3135" s="55"/>
      <c r="J3135" s="56"/>
      <c r="K3135" s="56"/>
      <c r="M3135" s="55"/>
      <c r="N3135" s="55"/>
    </row>
    <row r="3136" ht="14.25" customHeight="1" spans="2:14">
      <c r="B3136" s="57"/>
      <c r="C3136" s="54"/>
      <c r="D3136" s="55"/>
      <c r="I3136" s="55"/>
      <c r="J3136" s="56"/>
      <c r="K3136" s="56"/>
      <c r="M3136" s="55"/>
      <c r="N3136" s="55"/>
    </row>
    <row r="3137" ht="14.25" customHeight="1" spans="2:14">
      <c r="B3137" s="57"/>
      <c r="C3137" s="54"/>
      <c r="D3137" s="55"/>
      <c r="I3137" s="55"/>
      <c r="J3137" s="56"/>
      <c r="K3137" s="56"/>
      <c r="M3137" s="55"/>
      <c r="N3137" s="55"/>
    </row>
    <row r="3138" ht="14.25" customHeight="1" spans="2:14">
      <c r="B3138" s="57"/>
      <c r="C3138" s="54"/>
      <c r="D3138" s="55"/>
      <c r="I3138" s="55"/>
      <c r="J3138" s="56"/>
      <c r="K3138" s="56"/>
      <c r="M3138" s="55"/>
      <c r="N3138" s="55"/>
    </row>
    <row r="3139" ht="14.25" customHeight="1" spans="2:14">
      <c r="B3139" s="57"/>
      <c r="C3139" s="54"/>
      <c r="D3139" s="55"/>
      <c r="I3139" s="55"/>
      <c r="J3139" s="56"/>
      <c r="K3139" s="56"/>
      <c r="M3139" s="55"/>
      <c r="N3139" s="55"/>
    </row>
    <row r="3140" ht="14.25" customHeight="1" spans="2:14">
      <c r="B3140" s="57"/>
      <c r="C3140" s="54"/>
      <c r="D3140" s="55"/>
      <c r="I3140" s="55"/>
      <c r="J3140" s="56"/>
      <c r="K3140" s="56"/>
      <c r="M3140" s="55"/>
      <c r="N3140" s="55"/>
    </row>
    <row r="3141" ht="14.25" customHeight="1" spans="2:14">
      <c r="B3141" s="57"/>
      <c r="C3141" s="54"/>
      <c r="D3141" s="55"/>
      <c r="I3141" s="55"/>
      <c r="J3141" s="56"/>
      <c r="K3141" s="56"/>
      <c r="M3141" s="55"/>
      <c r="N3141" s="55"/>
    </row>
    <row r="3142" ht="14.25" customHeight="1" spans="2:14">
      <c r="B3142" s="57"/>
      <c r="C3142" s="54"/>
      <c r="D3142" s="55"/>
      <c r="I3142" s="55"/>
      <c r="J3142" s="56"/>
      <c r="K3142" s="56"/>
      <c r="M3142" s="55"/>
      <c r="N3142" s="55"/>
    </row>
    <row r="3143" ht="14.25" customHeight="1" spans="2:14">
      <c r="B3143" s="57"/>
      <c r="C3143" s="54"/>
      <c r="D3143" s="55"/>
      <c r="I3143" s="55"/>
      <c r="J3143" s="56"/>
      <c r="K3143" s="56"/>
      <c r="M3143" s="55"/>
      <c r="N3143" s="55"/>
    </row>
    <row r="3144" ht="14.25" customHeight="1" spans="2:14">
      <c r="B3144" s="57"/>
      <c r="C3144" s="54"/>
      <c r="D3144" s="55"/>
      <c r="I3144" s="55"/>
      <c r="J3144" s="56"/>
      <c r="K3144" s="56"/>
      <c r="M3144" s="55"/>
      <c r="N3144" s="55"/>
    </row>
    <row r="3145" ht="14.25" customHeight="1" spans="2:14">
      <c r="B3145" s="57"/>
      <c r="C3145" s="54"/>
      <c r="D3145" s="55"/>
      <c r="I3145" s="55"/>
      <c r="J3145" s="56"/>
      <c r="K3145" s="56"/>
      <c r="M3145" s="55"/>
      <c r="N3145" s="55"/>
    </row>
    <row r="3146" ht="14.25" customHeight="1" spans="2:14">
      <c r="B3146" s="57"/>
      <c r="C3146" s="54"/>
      <c r="D3146" s="55"/>
      <c r="I3146" s="55"/>
      <c r="J3146" s="56"/>
      <c r="K3146" s="56"/>
      <c r="M3146" s="55"/>
      <c r="N3146" s="55"/>
    </row>
    <row r="3147" ht="14.25" customHeight="1" spans="2:14">
      <c r="B3147" s="57"/>
      <c r="C3147" s="54"/>
      <c r="D3147" s="55"/>
      <c r="I3147" s="55"/>
      <c r="J3147" s="56"/>
      <c r="K3147" s="56"/>
      <c r="M3147" s="55"/>
      <c r="N3147" s="55"/>
    </row>
    <row r="3148" ht="14.25" customHeight="1" spans="2:14">
      <c r="B3148" s="57"/>
      <c r="C3148" s="54"/>
      <c r="D3148" s="55"/>
      <c r="I3148" s="55"/>
      <c r="J3148" s="56"/>
      <c r="K3148" s="56"/>
      <c r="M3148" s="55"/>
      <c r="N3148" s="55"/>
    </row>
    <row r="3149" ht="14.25" customHeight="1" spans="2:14">
      <c r="B3149" s="57"/>
      <c r="C3149" s="54"/>
      <c r="D3149" s="55"/>
      <c r="I3149" s="55"/>
      <c r="J3149" s="56"/>
      <c r="K3149" s="56"/>
      <c r="M3149" s="55"/>
      <c r="N3149" s="55"/>
    </row>
    <row r="3150" ht="14.25" customHeight="1" spans="2:14">
      <c r="B3150" s="57"/>
      <c r="C3150" s="54"/>
      <c r="D3150" s="55"/>
      <c r="I3150" s="55"/>
      <c r="J3150" s="56"/>
      <c r="K3150" s="56"/>
      <c r="M3150" s="55"/>
      <c r="N3150" s="55"/>
    </row>
    <row r="3151" ht="14.25" customHeight="1" spans="2:14">
      <c r="B3151" s="57"/>
      <c r="C3151" s="54"/>
      <c r="D3151" s="55"/>
      <c r="I3151" s="55"/>
      <c r="J3151" s="56"/>
      <c r="K3151" s="56"/>
      <c r="M3151" s="55"/>
      <c r="N3151" s="55"/>
    </row>
    <row r="3152" ht="14.25" customHeight="1" spans="2:14">
      <c r="B3152" s="57"/>
      <c r="C3152" s="54"/>
      <c r="D3152" s="55"/>
      <c r="I3152" s="55"/>
      <c r="J3152" s="56"/>
      <c r="K3152" s="56"/>
      <c r="M3152" s="55"/>
      <c r="N3152" s="55"/>
    </row>
    <row r="3153" ht="14.25" customHeight="1" spans="2:14">
      <c r="B3153" s="57"/>
      <c r="C3153" s="54"/>
      <c r="D3153" s="55"/>
      <c r="I3153" s="55"/>
      <c r="J3153" s="56"/>
      <c r="K3153" s="56"/>
      <c r="M3153" s="55"/>
      <c r="N3153" s="55"/>
    </row>
    <row r="3154" ht="14.25" customHeight="1" spans="2:14">
      <c r="B3154" s="57"/>
      <c r="C3154" s="54"/>
      <c r="D3154" s="55"/>
      <c r="I3154" s="55"/>
      <c r="J3154" s="56"/>
      <c r="K3154" s="56"/>
      <c r="M3154" s="55"/>
      <c r="N3154" s="55"/>
    </row>
    <row r="3155" ht="14.25" customHeight="1" spans="2:14">
      <c r="B3155" s="57"/>
      <c r="C3155" s="54"/>
      <c r="D3155" s="55"/>
      <c r="I3155" s="55"/>
      <c r="J3155" s="56"/>
      <c r="K3155" s="56"/>
      <c r="M3155" s="55"/>
      <c r="N3155" s="55"/>
    </row>
    <row r="3156" ht="14.25" customHeight="1" spans="2:14">
      <c r="B3156" s="57"/>
      <c r="C3156" s="54"/>
      <c r="D3156" s="55"/>
      <c r="I3156" s="55"/>
      <c r="J3156" s="56"/>
      <c r="K3156" s="56"/>
      <c r="M3156" s="55"/>
      <c r="N3156" s="55"/>
    </row>
    <row r="3157" ht="14.25" customHeight="1" spans="2:14">
      <c r="B3157" s="57"/>
      <c r="C3157" s="54"/>
      <c r="D3157" s="55"/>
      <c r="I3157" s="55"/>
      <c r="J3157" s="56"/>
      <c r="K3157" s="56"/>
      <c r="M3157" s="55"/>
      <c r="N3157" s="55"/>
    </row>
    <row r="3158" ht="14.25" customHeight="1" spans="2:14">
      <c r="B3158" s="57"/>
      <c r="C3158" s="54"/>
      <c r="D3158" s="55"/>
      <c r="I3158" s="55"/>
      <c r="J3158" s="56"/>
      <c r="K3158" s="56"/>
      <c r="M3158" s="55"/>
      <c r="N3158" s="55"/>
    </row>
    <row r="3159" ht="14.25" customHeight="1" spans="2:14">
      <c r="B3159" s="57"/>
      <c r="C3159" s="54"/>
      <c r="D3159" s="55"/>
      <c r="I3159" s="55"/>
      <c r="J3159" s="56"/>
      <c r="K3159" s="56"/>
      <c r="M3159" s="55"/>
      <c r="N3159" s="55"/>
    </row>
    <row r="3160" ht="14.25" customHeight="1" spans="2:14">
      <c r="B3160" s="57"/>
      <c r="C3160" s="54"/>
      <c r="D3160" s="55"/>
      <c r="I3160" s="55"/>
      <c r="J3160" s="56"/>
      <c r="K3160" s="56"/>
      <c r="M3160" s="55"/>
      <c r="N3160" s="55"/>
    </row>
    <row r="3161" ht="14.25" customHeight="1" spans="2:14">
      <c r="B3161" s="57"/>
      <c r="C3161" s="54"/>
      <c r="D3161" s="55"/>
      <c r="I3161" s="55"/>
      <c r="J3161" s="56"/>
      <c r="K3161" s="56"/>
      <c r="M3161" s="55"/>
      <c r="N3161" s="55"/>
    </row>
    <row r="3162" ht="14.25" customHeight="1" spans="2:14">
      <c r="B3162" s="57"/>
      <c r="C3162" s="54"/>
      <c r="D3162" s="55"/>
      <c r="I3162" s="55"/>
      <c r="J3162" s="56"/>
      <c r="K3162" s="56"/>
      <c r="M3162" s="55"/>
      <c r="N3162" s="55"/>
    </row>
    <row r="3163" ht="14.25" customHeight="1" spans="2:14">
      <c r="B3163" s="57"/>
      <c r="C3163" s="54"/>
      <c r="D3163" s="55"/>
      <c r="I3163" s="55"/>
      <c r="J3163" s="56"/>
      <c r="K3163" s="56"/>
      <c r="M3163" s="55"/>
      <c r="N3163" s="55"/>
    </row>
    <row r="3164" ht="14.25" customHeight="1" spans="2:14">
      <c r="B3164" s="57"/>
      <c r="C3164" s="54"/>
      <c r="D3164" s="55"/>
      <c r="I3164" s="55"/>
      <c r="J3164" s="56"/>
      <c r="K3164" s="56"/>
      <c r="M3164" s="55"/>
      <c r="N3164" s="55"/>
    </row>
    <row r="3165" ht="14.25" customHeight="1" spans="2:14">
      <c r="B3165" s="57"/>
      <c r="C3165" s="54"/>
      <c r="D3165" s="55"/>
      <c r="I3165" s="55"/>
      <c r="J3165" s="56"/>
      <c r="K3165" s="56"/>
      <c r="M3165" s="55"/>
      <c r="N3165" s="55"/>
    </row>
    <row r="3166" ht="14.25" customHeight="1" spans="2:14">
      <c r="B3166" s="57"/>
      <c r="C3166" s="54"/>
      <c r="D3166" s="55"/>
      <c r="I3166" s="55"/>
      <c r="J3166" s="56"/>
      <c r="K3166" s="56"/>
      <c r="M3166" s="55"/>
      <c r="N3166" s="55"/>
    </row>
    <row r="3167" ht="14.25" customHeight="1" spans="2:14">
      <c r="B3167" s="57"/>
      <c r="C3167" s="54"/>
      <c r="D3167" s="55"/>
      <c r="I3167" s="55"/>
      <c r="J3167" s="56"/>
      <c r="K3167" s="56"/>
      <c r="M3167" s="55"/>
      <c r="N3167" s="55"/>
    </row>
    <row r="3168" ht="14.25" customHeight="1" spans="2:14">
      <c r="B3168" s="57"/>
      <c r="C3168" s="54"/>
      <c r="D3168" s="55"/>
      <c r="I3168" s="55"/>
      <c r="J3168" s="56"/>
      <c r="K3168" s="56"/>
      <c r="M3168" s="55"/>
      <c r="N3168" s="55"/>
    </row>
    <row r="3169" ht="14.25" customHeight="1" spans="2:14">
      <c r="B3169" s="57"/>
      <c r="C3169" s="54"/>
      <c r="D3169" s="55"/>
      <c r="I3169" s="55"/>
      <c r="J3169" s="56"/>
      <c r="K3169" s="56"/>
      <c r="M3169" s="55"/>
      <c r="N3169" s="55"/>
    </row>
    <row r="3170" ht="14.25" customHeight="1" spans="2:14">
      <c r="B3170" s="57"/>
      <c r="C3170" s="54"/>
      <c r="D3170" s="55"/>
      <c r="I3170" s="55"/>
      <c r="J3170" s="56"/>
      <c r="K3170" s="56"/>
      <c r="M3170" s="55"/>
      <c r="N3170" s="55"/>
    </row>
    <row r="3171" ht="14.25" customHeight="1" spans="2:14">
      <c r="B3171" s="57"/>
      <c r="C3171" s="54"/>
      <c r="D3171" s="55"/>
      <c r="I3171" s="55"/>
      <c r="J3171" s="56"/>
      <c r="K3171" s="56"/>
      <c r="M3171" s="55"/>
      <c r="N3171" s="55"/>
    </row>
    <row r="3172" ht="14.25" customHeight="1" spans="2:14">
      <c r="B3172" s="57"/>
      <c r="C3172" s="54"/>
      <c r="D3172" s="55"/>
      <c r="I3172" s="55"/>
      <c r="J3172" s="56"/>
      <c r="K3172" s="56"/>
      <c r="M3172" s="55"/>
      <c r="N3172" s="55"/>
    </row>
    <row r="3173" ht="14.25" customHeight="1" spans="2:14">
      <c r="B3173" s="57"/>
      <c r="C3173" s="54"/>
      <c r="D3173" s="55"/>
      <c r="I3173" s="55"/>
      <c r="J3173" s="56"/>
      <c r="K3173" s="56"/>
      <c r="M3173" s="55"/>
      <c r="N3173" s="55"/>
    </row>
    <row r="3174" ht="14.25" customHeight="1" spans="2:14">
      <c r="B3174" s="57"/>
      <c r="C3174" s="54"/>
      <c r="D3174" s="55"/>
      <c r="I3174" s="55"/>
      <c r="J3174" s="56"/>
      <c r="K3174" s="56"/>
      <c r="M3174" s="55"/>
      <c r="N3174" s="55"/>
    </row>
    <row r="3175" ht="14.25" customHeight="1" spans="2:14">
      <c r="B3175" s="57"/>
      <c r="C3175" s="54"/>
      <c r="D3175" s="55"/>
      <c r="I3175" s="55"/>
      <c r="J3175" s="56"/>
      <c r="K3175" s="56"/>
      <c r="M3175" s="55"/>
      <c r="N3175" s="55"/>
    </row>
    <row r="3176" ht="14.25" customHeight="1" spans="2:14">
      <c r="B3176" s="57"/>
      <c r="C3176" s="54"/>
      <c r="D3176" s="55"/>
      <c r="I3176" s="55"/>
      <c r="J3176" s="56"/>
      <c r="K3176" s="56"/>
      <c r="M3176" s="55"/>
      <c r="N3176" s="55"/>
    </row>
    <row r="3177" ht="14.25" customHeight="1" spans="2:14">
      <c r="B3177" s="57"/>
      <c r="C3177" s="54"/>
      <c r="D3177" s="55"/>
      <c r="I3177" s="55"/>
      <c r="J3177" s="56"/>
      <c r="K3177" s="56"/>
      <c r="M3177" s="55"/>
      <c r="N3177" s="55"/>
    </row>
    <row r="3178" ht="14.25" customHeight="1" spans="2:14">
      <c r="B3178" s="57"/>
      <c r="C3178" s="54"/>
      <c r="D3178" s="55"/>
      <c r="I3178" s="55"/>
      <c r="J3178" s="56"/>
      <c r="K3178" s="56"/>
      <c r="M3178" s="55"/>
      <c r="N3178" s="55"/>
    </row>
    <row r="3179" ht="14.25" customHeight="1" spans="2:14">
      <c r="B3179" s="57"/>
      <c r="C3179" s="54"/>
      <c r="D3179" s="55"/>
      <c r="I3179" s="55"/>
      <c r="J3179" s="56"/>
      <c r="K3179" s="56"/>
      <c r="M3179" s="55"/>
      <c r="N3179" s="55"/>
    </row>
    <row r="3180" ht="14.25" customHeight="1" spans="2:14">
      <c r="B3180" s="57"/>
      <c r="C3180" s="54"/>
      <c r="D3180" s="55"/>
      <c r="I3180" s="55"/>
      <c r="J3180" s="56"/>
      <c r="K3180" s="56"/>
      <c r="M3180" s="55"/>
      <c r="N3180" s="55"/>
    </row>
    <row r="3181" ht="14.25" customHeight="1" spans="2:14">
      <c r="B3181" s="57"/>
      <c r="C3181" s="54"/>
      <c r="D3181" s="55"/>
      <c r="I3181" s="55"/>
      <c r="J3181" s="56"/>
      <c r="K3181" s="56"/>
      <c r="M3181" s="55"/>
      <c r="N3181" s="55"/>
    </row>
    <row r="3182" ht="14.25" customHeight="1" spans="2:14">
      <c r="B3182" s="57"/>
      <c r="C3182" s="54"/>
      <c r="D3182" s="55"/>
      <c r="I3182" s="55"/>
      <c r="J3182" s="56"/>
      <c r="K3182" s="56"/>
      <c r="M3182" s="55"/>
      <c r="N3182" s="55"/>
    </row>
    <row r="3183" ht="14.25" customHeight="1" spans="2:14">
      <c r="B3183" s="57"/>
      <c r="C3183" s="54"/>
      <c r="D3183" s="55"/>
      <c r="I3183" s="55"/>
      <c r="J3183" s="56"/>
      <c r="K3183" s="56"/>
      <c r="M3183" s="55"/>
      <c r="N3183" s="55"/>
    </row>
    <row r="3184" ht="14.25" customHeight="1" spans="2:14">
      <c r="B3184" s="57"/>
      <c r="C3184" s="54"/>
      <c r="D3184" s="55"/>
      <c r="I3184" s="55"/>
      <c r="J3184" s="56"/>
      <c r="K3184" s="56"/>
      <c r="M3184" s="55"/>
      <c r="N3184" s="55"/>
    </row>
    <row r="3185" ht="14.25" customHeight="1" spans="2:14">
      <c r="B3185" s="57"/>
      <c r="C3185" s="54"/>
      <c r="D3185" s="55"/>
      <c r="I3185" s="55"/>
      <c r="J3185" s="56"/>
      <c r="K3185" s="56"/>
      <c r="M3185" s="55"/>
      <c r="N3185" s="55"/>
    </row>
    <row r="3186" ht="14.25" customHeight="1" spans="2:14">
      <c r="B3186" s="57"/>
      <c r="C3186" s="54"/>
      <c r="D3186" s="55"/>
      <c r="I3186" s="55"/>
      <c r="J3186" s="56"/>
      <c r="K3186" s="56"/>
      <c r="M3186" s="55"/>
      <c r="N3186" s="55"/>
    </row>
    <row r="3187" ht="14.25" customHeight="1" spans="2:14">
      <c r="B3187" s="57"/>
      <c r="C3187" s="54"/>
      <c r="D3187" s="55"/>
      <c r="I3187" s="55"/>
      <c r="J3187" s="56"/>
      <c r="K3187" s="56"/>
      <c r="M3187" s="55"/>
      <c r="N3187" s="55"/>
    </row>
    <row r="3188" ht="14.25" customHeight="1" spans="2:14">
      <c r="B3188" s="57"/>
      <c r="C3188" s="54"/>
      <c r="D3188" s="55"/>
      <c r="I3188" s="55"/>
      <c r="J3188" s="56"/>
      <c r="K3188" s="56"/>
      <c r="M3188" s="55"/>
      <c r="N3188" s="55"/>
    </row>
    <row r="3189" ht="14.25" customHeight="1" spans="2:14">
      <c r="B3189" s="57"/>
      <c r="C3189" s="54"/>
      <c r="D3189" s="55"/>
      <c r="I3189" s="55"/>
      <c r="J3189" s="56"/>
      <c r="K3189" s="56"/>
      <c r="M3189" s="55"/>
      <c r="N3189" s="55"/>
    </row>
    <row r="3190" ht="14.25" customHeight="1" spans="2:14">
      <c r="B3190" s="57"/>
      <c r="C3190" s="54"/>
      <c r="D3190" s="55"/>
      <c r="I3190" s="55"/>
      <c r="J3190" s="56"/>
      <c r="K3190" s="56"/>
      <c r="M3190" s="55"/>
      <c r="N3190" s="55"/>
    </row>
    <row r="3191" ht="14.25" customHeight="1" spans="2:14">
      <c r="B3191" s="57"/>
      <c r="C3191" s="54"/>
      <c r="D3191" s="55"/>
      <c r="I3191" s="55"/>
      <c r="J3191" s="56"/>
      <c r="K3191" s="56"/>
      <c r="M3191" s="55"/>
      <c r="N3191" s="55"/>
    </row>
    <row r="3192" ht="14.25" customHeight="1" spans="2:14">
      <c r="B3192" s="57"/>
      <c r="C3192" s="54"/>
      <c r="D3192" s="55"/>
      <c r="I3192" s="55"/>
      <c r="J3192" s="56"/>
      <c r="K3192" s="56"/>
      <c r="M3192" s="55"/>
      <c r="N3192" s="55"/>
    </row>
    <row r="3193" ht="14.25" customHeight="1" spans="2:14">
      <c r="B3193" s="57"/>
      <c r="C3193" s="54"/>
      <c r="D3193" s="55"/>
      <c r="I3193" s="55"/>
      <c r="J3193" s="56"/>
      <c r="K3193" s="56"/>
      <c r="M3193" s="55"/>
      <c r="N3193" s="55"/>
    </row>
    <row r="3194" ht="14.25" customHeight="1" spans="2:14">
      <c r="B3194" s="57"/>
      <c r="C3194" s="54"/>
      <c r="D3194" s="55"/>
      <c r="I3194" s="55"/>
      <c r="J3194" s="56"/>
      <c r="K3194" s="56"/>
      <c r="M3194" s="55"/>
      <c r="N3194" s="55"/>
    </row>
    <row r="3195" ht="14.25" customHeight="1" spans="2:14">
      <c r="B3195" s="57"/>
      <c r="C3195" s="54"/>
      <c r="D3195" s="55"/>
      <c r="I3195" s="55"/>
      <c r="J3195" s="56"/>
      <c r="K3195" s="56"/>
      <c r="M3195" s="55"/>
      <c r="N3195" s="55"/>
    </row>
    <row r="3196" ht="14.25" customHeight="1" spans="2:14">
      <c r="B3196" s="57"/>
      <c r="C3196" s="54"/>
      <c r="D3196" s="55"/>
      <c r="I3196" s="55"/>
      <c r="J3196" s="56"/>
      <c r="K3196" s="56"/>
      <c r="M3196" s="55"/>
      <c r="N3196" s="55"/>
    </row>
    <row r="3197" ht="14.25" customHeight="1" spans="2:14">
      <c r="B3197" s="57"/>
      <c r="C3197" s="54"/>
      <c r="D3197" s="55"/>
      <c r="I3197" s="55"/>
      <c r="J3197" s="56"/>
      <c r="K3197" s="56"/>
      <c r="M3197" s="55"/>
      <c r="N3197" s="55"/>
    </row>
    <row r="3198" ht="14.25" customHeight="1" spans="2:14">
      <c r="B3198" s="57"/>
      <c r="C3198" s="54"/>
      <c r="D3198" s="55"/>
      <c r="I3198" s="55"/>
      <c r="J3198" s="56"/>
      <c r="K3198" s="56"/>
      <c r="M3198" s="55"/>
      <c r="N3198" s="55"/>
    </row>
    <row r="3199" ht="14.25" customHeight="1" spans="2:14">
      <c r="B3199" s="57"/>
      <c r="C3199" s="54"/>
      <c r="D3199" s="55"/>
      <c r="I3199" s="55"/>
      <c r="J3199" s="56"/>
      <c r="K3199" s="56"/>
      <c r="M3199" s="55"/>
      <c r="N3199" s="55"/>
    </row>
    <row r="3200" ht="14.25" customHeight="1" spans="2:14">
      <c r="B3200" s="57"/>
      <c r="C3200" s="54"/>
      <c r="D3200" s="55"/>
      <c r="I3200" s="55"/>
      <c r="J3200" s="56"/>
      <c r="K3200" s="56"/>
      <c r="M3200" s="55"/>
      <c r="N3200" s="55"/>
    </row>
    <row r="3201" ht="14.25" customHeight="1" spans="2:14">
      <c r="B3201" s="57"/>
      <c r="C3201" s="54"/>
      <c r="D3201" s="55"/>
      <c r="I3201" s="55"/>
      <c r="J3201" s="56"/>
      <c r="K3201" s="56"/>
      <c r="M3201" s="55"/>
      <c r="N3201" s="55"/>
    </row>
    <row r="3202" ht="14.25" customHeight="1" spans="2:14">
      <c r="B3202" s="57"/>
      <c r="C3202" s="54"/>
      <c r="D3202" s="55"/>
      <c r="I3202" s="55"/>
      <c r="J3202" s="56"/>
      <c r="K3202" s="56"/>
      <c r="M3202" s="55"/>
      <c r="N3202" s="55"/>
    </row>
    <row r="3203" ht="14.25" customHeight="1" spans="2:14">
      <c r="B3203" s="57"/>
      <c r="C3203" s="54"/>
      <c r="D3203" s="55"/>
      <c r="I3203" s="55"/>
      <c r="J3203" s="56"/>
      <c r="K3203" s="56"/>
      <c r="M3203" s="55"/>
      <c r="N3203" s="55"/>
    </row>
    <row r="3204" ht="14.25" customHeight="1" spans="2:14">
      <c r="B3204" s="57"/>
      <c r="C3204" s="54"/>
      <c r="D3204" s="55"/>
      <c r="I3204" s="55"/>
      <c r="J3204" s="56"/>
      <c r="K3204" s="56"/>
      <c r="M3204" s="55"/>
      <c r="N3204" s="55"/>
    </row>
    <row r="3205" ht="14.25" customHeight="1" spans="2:14">
      <c r="B3205" s="57"/>
      <c r="C3205" s="54"/>
      <c r="D3205" s="55"/>
      <c r="I3205" s="55"/>
      <c r="J3205" s="56"/>
      <c r="K3205" s="56"/>
      <c r="M3205" s="55"/>
      <c r="N3205" s="55"/>
    </row>
    <row r="3206" ht="14.25" customHeight="1" spans="2:14">
      <c r="B3206" s="57"/>
      <c r="C3206" s="54"/>
      <c r="D3206" s="55"/>
      <c r="I3206" s="55"/>
      <c r="J3206" s="56"/>
      <c r="K3206" s="56"/>
      <c r="M3206" s="55"/>
      <c r="N3206" s="55"/>
    </row>
    <row r="3207" ht="14.25" customHeight="1" spans="2:14">
      <c r="B3207" s="57"/>
      <c r="C3207" s="54"/>
      <c r="D3207" s="55"/>
      <c r="I3207" s="55"/>
      <c r="J3207" s="56"/>
      <c r="K3207" s="56"/>
      <c r="M3207" s="55"/>
      <c r="N3207" s="55"/>
    </row>
    <row r="3208" ht="14.25" customHeight="1" spans="2:14">
      <c r="B3208" s="57"/>
      <c r="C3208" s="54"/>
      <c r="D3208" s="55"/>
      <c r="I3208" s="55"/>
      <c r="J3208" s="56"/>
      <c r="K3208" s="56"/>
      <c r="M3208" s="55"/>
      <c r="N3208" s="55"/>
    </row>
    <row r="3209" ht="14.25" customHeight="1" spans="2:14">
      <c r="B3209" s="57"/>
      <c r="C3209" s="54"/>
      <c r="D3209" s="55"/>
      <c r="I3209" s="55"/>
      <c r="J3209" s="56"/>
      <c r="K3209" s="56"/>
      <c r="M3209" s="55"/>
      <c r="N3209" s="55"/>
    </row>
    <row r="3210" ht="14.25" customHeight="1" spans="2:14">
      <c r="B3210" s="57"/>
      <c r="C3210" s="54"/>
      <c r="D3210" s="55"/>
      <c r="I3210" s="55"/>
      <c r="J3210" s="56"/>
      <c r="K3210" s="56"/>
      <c r="M3210" s="55"/>
      <c r="N3210" s="55"/>
    </row>
    <row r="3211" ht="14.25" customHeight="1" spans="2:14">
      <c r="B3211" s="57"/>
      <c r="C3211" s="54"/>
      <c r="D3211" s="55"/>
      <c r="I3211" s="55"/>
      <c r="J3211" s="56"/>
      <c r="K3211" s="56"/>
      <c r="M3211" s="55"/>
      <c r="N3211" s="55"/>
    </row>
    <row r="3212" ht="14.25" customHeight="1" spans="2:14">
      <c r="B3212" s="57"/>
      <c r="C3212" s="54"/>
      <c r="D3212" s="55"/>
      <c r="I3212" s="55"/>
      <c r="J3212" s="56"/>
      <c r="K3212" s="56"/>
      <c r="M3212" s="55"/>
      <c r="N3212" s="55"/>
    </row>
    <row r="3213" ht="14.25" customHeight="1" spans="2:14">
      <c r="B3213" s="57"/>
      <c r="C3213" s="54"/>
      <c r="D3213" s="55"/>
      <c r="I3213" s="55"/>
      <c r="J3213" s="56"/>
      <c r="K3213" s="56"/>
      <c r="M3213" s="55"/>
      <c r="N3213" s="55"/>
    </row>
    <row r="3214" ht="14.25" customHeight="1" spans="2:14">
      <c r="B3214" s="57"/>
      <c r="C3214" s="54"/>
      <c r="D3214" s="55"/>
      <c r="I3214" s="55"/>
      <c r="J3214" s="56"/>
      <c r="K3214" s="56"/>
      <c r="M3214" s="55"/>
      <c r="N3214" s="55"/>
    </row>
    <row r="3215" ht="14.25" customHeight="1" spans="2:14">
      <c r="B3215" s="57"/>
      <c r="C3215" s="54"/>
      <c r="D3215" s="55"/>
      <c r="I3215" s="55"/>
      <c r="J3215" s="56"/>
      <c r="K3215" s="56"/>
      <c r="M3215" s="55"/>
      <c r="N3215" s="55"/>
    </row>
    <row r="3216" ht="14.25" customHeight="1" spans="2:14">
      <c r="B3216" s="57"/>
      <c r="C3216" s="54"/>
      <c r="D3216" s="55"/>
      <c r="I3216" s="55"/>
      <c r="J3216" s="56"/>
      <c r="K3216" s="56"/>
      <c r="M3216" s="55"/>
      <c r="N3216" s="55"/>
    </row>
    <row r="3217" ht="14.25" customHeight="1" spans="2:14">
      <c r="B3217" s="57"/>
      <c r="C3217" s="54"/>
      <c r="D3217" s="55"/>
      <c r="I3217" s="55"/>
      <c r="J3217" s="56"/>
      <c r="K3217" s="56"/>
      <c r="M3217" s="55"/>
      <c r="N3217" s="55"/>
    </row>
    <row r="3218" ht="14.25" customHeight="1" spans="2:14">
      <c r="B3218" s="57"/>
      <c r="C3218" s="54"/>
      <c r="D3218" s="55"/>
      <c r="I3218" s="55"/>
      <c r="J3218" s="56"/>
      <c r="K3218" s="56"/>
      <c r="M3218" s="55"/>
      <c r="N3218" s="55"/>
    </row>
    <row r="3219" ht="14.25" customHeight="1" spans="2:14">
      <c r="B3219" s="57"/>
      <c r="C3219" s="54"/>
      <c r="D3219" s="55"/>
      <c r="I3219" s="55"/>
      <c r="J3219" s="56"/>
      <c r="K3219" s="56"/>
      <c r="M3219" s="55"/>
      <c r="N3219" s="55"/>
    </row>
    <row r="3220" ht="14.25" customHeight="1" spans="2:14">
      <c r="B3220" s="57"/>
      <c r="C3220" s="54"/>
      <c r="D3220" s="55"/>
      <c r="I3220" s="55"/>
      <c r="J3220" s="56"/>
      <c r="K3220" s="56"/>
      <c r="M3220" s="55"/>
      <c r="N3220" s="55"/>
    </row>
    <row r="3221" ht="14.25" customHeight="1" spans="2:14">
      <c r="B3221" s="57"/>
      <c r="C3221" s="54"/>
      <c r="D3221" s="55"/>
      <c r="I3221" s="55"/>
      <c r="J3221" s="56"/>
      <c r="K3221" s="56"/>
      <c r="M3221" s="55"/>
      <c r="N3221" s="55"/>
    </row>
    <row r="3222" ht="14.25" customHeight="1" spans="2:14">
      <c r="B3222" s="57"/>
      <c r="C3222" s="54"/>
      <c r="D3222" s="55"/>
      <c r="I3222" s="55"/>
      <c r="J3222" s="56"/>
      <c r="K3222" s="56"/>
      <c r="M3222" s="55"/>
      <c r="N3222" s="55"/>
    </row>
    <row r="3223" ht="14.25" customHeight="1" spans="2:14">
      <c r="B3223" s="57"/>
      <c r="C3223" s="54"/>
      <c r="D3223" s="55"/>
      <c r="I3223" s="55"/>
      <c r="J3223" s="56"/>
      <c r="K3223" s="56"/>
      <c r="M3223" s="55"/>
      <c r="N3223" s="55"/>
    </row>
    <row r="3224" ht="14.25" customHeight="1" spans="2:14">
      <c r="B3224" s="57"/>
      <c r="C3224" s="54"/>
      <c r="D3224" s="55"/>
      <c r="I3224" s="55"/>
      <c r="J3224" s="56"/>
      <c r="K3224" s="56"/>
      <c r="M3224" s="55"/>
      <c r="N3224" s="55"/>
    </row>
    <row r="3225" ht="14.25" customHeight="1" spans="2:14">
      <c r="B3225" s="57"/>
      <c r="C3225" s="54"/>
      <c r="D3225" s="55"/>
      <c r="I3225" s="55"/>
      <c r="J3225" s="56"/>
      <c r="K3225" s="56"/>
      <c r="M3225" s="55"/>
      <c r="N3225" s="55"/>
    </row>
    <row r="3226" ht="14.25" customHeight="1" spans="2:14">
      <c r="B3226" s="57"/>
      <c r="C3226" s="54"/>
      <c r="D3226" s="55"/>
      <c r="I3226" s="55"/>
      <c r="J3226" s="56"/>
      <c r="K3226" s="56"/>
      <c r="M3226" s="55"/>
      <c r="N3226" s="55"/>
    </row>
    <row r="3227" ht="14.25" customHeight="1" spans="2:14">
      <c r="B3227" s="57"/>
      <c r="C3227" s="54"/>
      <c r="D3227" s="55"/>
      <c r="I3227" s="55"/>
      <c r="J3227" s="56"/>
      <c r="K3227" s="56"/>
      <c r="M3227" s="55"/>
      <c r="N3227" s="55"/>
    </row>
    <row r="3228" ht="14.25" customHeight="1" spans="2:14">
      <c r="B3228" s="57"/>
      <c r="C3228" s="54"/>
      <c r="D3228" s="55"/>
      <c r="I3228" s="55"/>
      <c r="J3228" s="56"/>
      <c r="K3228" s="56"/>
      <c r="M3228" s="55"/>
      <c r="N3228" s="55"/>
    </row>
    <row r="3229" ht="14.25" customHeight="1" spans="2:14">
      <c r="B3229" s="57"/>
      <c r="C3229" s="54"/>
      <c r="D3229" s="55"/>
      <c r="I3229" s="55"/>
      <c r="J3229" s="56"/>
      <c r="K3229" s="56"/>
      <c r="M3229" s="55"/>
      <c r="N3229" s="55"/>
    </row>
    <row r="3230" ht="14.25" customHeight="1" spans="2:14">
      <c r="B3230" s="57"/>
      <c r="C3230" s="54"/>
      <c r="D3230" s="55"/>
      <c r="I3230" s="55"/>
      <c r="J3230" s="56"/>
      <c r="K3230" s="56"/>
      <c r="M3230" s="55"/>
      <c r="N3230" s="55"/>
    </row>
    <row r="3231" ht="14.25" customHeight="1" spans="2:14">
      <c r="B3231" s="57"/>
      <c r="C3231" s="54"/>
      <c r="D3231" s="55"/>
      <c r="I3231" s="55"/>
      <c r="J3231" s="56"/>
      <c r="K3231" s="56"/>
      <c r="M3231" s="55"/>
      <c r="N3231" s="55"/>
    </row>
    <row r="3232" ht="14.25" customHeight="1" spans="2:14">
      <c r="B3232" s="57"/>
      <c r="C3232" s="54"/>
      <c r="D3232" s="55"/>
      <c r="I3232" s="55"/>
      <c r="J3232" s="56"/>
      <c r="K3232" s="56"/>
      <c r="M3232" s="55"/>
      <c r="N3232" s="55"/>
    </row>
    <row r="3233" ht="14.25" customHeight="1" spans="2:14">
      <c r="B3233" s="57"/>
      <c r="C3233" s="54"/>
      <c r="D3233" s="55"/>
      <c r="I3233" s="55"/>
      <c r="J3233" s="56"/>
      <c r="K3233" s="56"/>
      <c r="M3233" s="55"/>
      <c r="N3233" s="55"/>
    </row>
    <row r="3234" ht="14.25" customHeight="1" spans="2:14">
      <c r="B3234" s="57"/>
      <c r="C3234" s="54"/>
      <c r="D3234" s="55"/>
      <c r="I3234" s="55"/>
      <c r="J3234" s="56"/>
      <c r="K3234" s="56"/>
      <c r="M3234" s="55"/>
      <c r="N3234" s="55"/>
    </row>
    <row r="3235" ht="14.25" customHeight="1" spans="2:14">
      <c r="B3235" s="57"/>
      <c r="C3235" s="54"/>
      <c r="D3235" s="55"/>
      <c r="I3235" s="55"/>
      <c r="J3235" s="56"/>
      <c r="K3235" s="56"/>
      <c r="M3235" s="55"/>
      <c r="N3235" s="55"/>
    </row>
    <row r="3236" ht="14.25" customHeight="1" spans="2:14">
      <c r="B3236" s="57"/>
      <c r="C3236" s="54"/>
      <c r="D3236" s="55"/>
      <c r="I3236" s="55"/>
      <c r="J3236" s="56"/>
      <c r="K3236" s="56"/>
      <c r="M3236" s="55"/>
      <c r="N3236" s="55"/>
    </row>
    <row r="3237" ht="14.25" customHeight="1" spans="2:14">
      <c r="B3237" s="57"/>
      <c r="C3237" s="54"/>
      <c r="D3237" s="55"/>
      <c r="I3237" s="55"/>
      <c r="J3237" s="56"/>
      <c r="K3237" s="56"/>
      <c r="M3237" s="55"/>
      <c r="N3237" s="55"/>
    </row>
  </sheetData>
  <conditionalFormatting sqref="A2:A3237">
    <cfRule type="expression" dxfId="15" priority="1">
      <formula>COUNTIF(A:A,A1)&gt;1</formula>
    </cfRule>
  </conditionalFormatting>
  <pageMargins left="0.75" right="0.75" top="1" bottom="1" header="0" footer="0"/>
  <pageSetup paperSize="1" orientation="landscape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workbookViewId="0">
      <pane ySplit="1" topLeftCell="A2" activePane="bottomLeft" state="frozen"/>
      <selection/>
      <selection pane="bottomLeft" activeCell="B3" sqref="B3"/>
    </sheetView>
  </sheetViews>
  <sheetFormatPr defaultColWidth="12.6296296296296" defaultRowHeight="15.75" customHeight="1" outlineLevelCol="2"/>
  <cols>
    <col min="1" max="1" width="12.25" customWidth="1"/>
    <col min="2" max="2" width="11.3796296296296" customWidth="1"/>
    <col min="3" max="3" width="13.1296296296296" customWidth="1"/>
    <col min="4" max="26" width="7.62962962962963" customWidth="1"/>
  </cols>
  <sheetData>
    <row r="1" customHeight="1" spans="1:3">
      <c r="A1" s="36" t="s">
        <v>4</v>
      </c>
      <c r="B1" s="36" t="s">
        <v>5</v>
      </c>
      <c r="C1" s="36" t="s">
        <v>7</v>
      </c>
    </row>
    <row r="2" customHeight="1" spans="1:3">
      <c r="A2" s="37" t="s">
        <v>50</v>
      </c>
      <c r="B2" s="37" t="s">
        <v>28</v>
      </c>
      <c r="C2" s="38" t="s">
        <v>52</v>
      </c>
    </row>
    <row r="3" customHeight="1" spans="1:3">
      <c r="A3" s="37" t="s">
        <v>57</v>
      </c>
      <c r="B3" s="37" t="s">
        <v>28</v>
      </c>
      <c r="C3" s="38" t="s">
        <v>58</v>
      </c>
    </row>
    <row r="4" customHeight="1" spans="1:3">
      <c r="A4" s="37" t="s">
        <v>146</v>
      </c>
      <c r="B4" s="37" t="s">
        <v>28</v>
      </c>
      <c r="C4" s="38" t="s">
        <v>147</v>
      </c>
    </row>
    <row r="5" customHeight="1" spans="1:3">
      <c r="A5" s="37" t="s">
        <v>27</v>
      </c>
      <c r="B5" s="37" t="s">
        <v>28</v>
      </c>
      <c r="C5" s="38" t="s">
        <v>30</v>
      </c>
    </row>
    <row r="6" customHeight="1" spans="1:3">
      <c r="A6" s="37" t="s">
        <v>81</v>
      </c>
      <c r="B6" s="37" t="s">
        <v>37</v>
      </c>
      <c r="C6" s="38" t="s">
        <v>82</v>
      </c>
    </row>
    <row r="7" customHeight="1" spans="1:3">
      <c r="A7" s="37" t="s">
        <v>103</v>
      </c>
      <c r="B7" s="37" t="s">
        <v>37</v>
      </c>
      <c r="C7" s="38" t="s">
        <v>77</v>
      </c>
    </row>
    <row r="8" customHeight="1" spans="1:3">
      <c r="A8" s="37" t="s">
        <v>36</v>
      </c>
      <c r="B8" s="37" t="s">
        <v>37</v>
      </c>
      <c r="C8" s="38" t="s">
        <v>39</v>
      </c>
    </row>
    <row r="9" customHeight="1" spans="1:3">
      <c r="A9" s="37" t="s">
        <v>95</v>
      </c>
      <c r="B9" s="37" t="s">
        <v>45</v>
      </c>
      <c r="C9" s="38" t="s">
        <v>77</v>
      </c>
    </row>
    <row r="10" customHeight="1" spans="1:3">
      <c r="A10" s="37" t="s">
        <v>647</v>
      </c>
      <c r="B10" s="37" t="s">
        <v>45</v>
      </c>
      <c r="C10" s="38" t="s">
        <v>227</v>
      </c>
    </row>
    <row r="11" customHeight="1" spans="1:3">
      <c r="A11" s="37" t="s">
        <v>44</v>
      </c>
      <c r="B11" s="37" t="s">
        <v>45</v>
      </c>
      <c r="C11" s="38" t="s">
        <v>46</v>
      </c>
    </row>
    <row r="12" customHeight="1" spans="1:3">
      <c r="A12" s="37" t="s">
        <v>367</v>
      </c>
      <c r="B12" s="37" t="s">
        <v>109</v>
      </c>
      <c r="C12" s="38" t="s">
        <v>110</v>
      </c>
    </row>
    <row r="13" customHeight="1" spans="1:3">
      <c r="A13" s="37" t="s">
        <v>165</v>
      </c>
      <c r="B13" s="37" t="s">
        <v>109</v>
      </c>
      <c r="C13" s="38" t="s">
        <v>82</v>
      </c>
    </row>
    <row r="14" customHeight="1" spans="1:3">
      <c r="A14" s="37" t="s">
        <v>199</v>
      </c>
      <c r="B14" s="37" t="s">
        <v>18</v>
      </c>
      <c r="C14" s="38" t="s">
        <v>39</v>
      </c>
    </row>
    <row r="15" customHeight="1" spans="1:3">
      <c r="A15" s="37" t="s">
        <v>63</v>
      </c>
      <c r="B15" s="37" t="s">
        <v>18</v>
      </c>
      <c r="C15" s="38" t="s">
        <v>64</v>
      </c>
    </row>
    <row r="16" customHeight="1" spans="1:3">
      <c r="A16" s="37" t="s">
        <v>17</v>
      </c>
      <c r="B16" s="37" t="s">
        <v>18</v>
      </c>
      <c r="C16" s="38" t="s">
        <v>20</v>
      </c>
    </row>
  </sheetData>
  <pageMargins left="0.75" right="0.75" top="1" bottom="1" header="0" footer="0"/>
  <pageSetup paperSize="1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C1002"/>
  <sheetViews>
    <sheetView workbookViewId="0">
      <selection activeCell="A1" sqref="A1"/>
    </sheetView>
  </sheetViews>
  <sheetFormatPr defaultColWidth="12.6296296296296" defaultRowHeight="15.75" customHeight="1"/>
  <cols>
    <col min="2" max="2" width="12.8888888888889"/>
    <col min="5" max="5" width="21.25" customWidth="1"/>
  </cols>
  <sheetData>
    <row r="1" customHeight="1" spans="1:29">
      <c r="A1" s="5" t="s">
        <v>1</v>
      </c>
      <c r="B1" s="5" t="s">
        <v>2687</v>
      </c>
      <c r="C1" s="6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</row>
    <row r="2" customHeight="1" spans="1:29">
      <c r="A2" s="6" t="s">
        <v>2688</v>
      </c>
      <c r="D2" s="7"/>
      <c r="E2" s="7"/>
      <c r="F2" s="7"/>
      <c r="G2" s="8" t="s">
        <v>2689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</row>
    <row r="3" customHeight="1" spans="1:29">
      <c r="A3" s="9"/>
      <c r="B3" s="9" t="s">
        <v>2690</v>
      </c>
      <c r="C3" s="9"/>
      <c r="D3" s="10"/>
      <c r="E3" s="11"/>
      <c r="F3" s="7"/>
      <c r="G3" s="9" t="s">
        <v>2691</v>
      </c>
      <c r="H3" s="9" t="s">
        <v>2692</v>
      </c>
      <c r="I3" s="9"/>
      <c r="J3" s="10"/>
      <c r="K3" s="10"/>
      <c r="L3" s="10"/>
      <c r="M3" s="10"/>
      <c r="N3" s="10"/>
      <c r="O3" s="11"/>
      <c r="P3" s="7"/>
      <c r="Q3" s="8" t="s">
        <v>2693</v>
      </c>
      <c r="T3" s="7"/>
      <c r="U3" s="7"/>
      <c r="V3" s="7"/>
      <c r="W3" s="7"/>
      <c r="X3" s="7"/>
      <c r="Y3" s="7"/>
      <c r="Z3" s="7"/>
      <c r="AA3" s="7"/>
      <c r="AB3" s="7"/>
      <c r="AC3" s="7"/>
    </row>
    <row r="4" customHeight="1" spans="1:29">
      <c r="A4" s="12"/>
      <c r="B4" s="9" t="s">
        <v>43</v>
      </c>
      <c r="C4" s="13" t="s">
        <v>16</v>
      </c>
      <c r="D4" s="13" t="s">
        <v>107</v>
      </c>
      <c r="E4" s="14" t="s">
        <v>2694</v>
      </c>
      <c r="F4" s="7"/>
      <c r="G4" s="9" t="s">
        <v>2685</v>
      </c>
      <c r="H4" s="9" t="s">
        <v>2695</v>
      </c>
      <c r="I4" s="13" t="s">
        <v>2696</v>
      </c>
      <c r="J4" s="13" t="s">
        <v>2697</v>
      </c>
      <c r="K4" s="13" t="s">
        <v>2698</v>
      </c>
      <c r="L4" s="13" t="s">
        <v>2699</v>
      </c>
      <c r="M4" s="13" t="s">
        <v>2700</v>
      </c>
      <c r="N4" s="13" t="s">
        <v>2701</v>
      </c>
      <c r="O4" s="14" t="s">
        <v>2694</v>
      </c>
      <c r="P4" s="7"/>
      <c r="Q4" s="15" t="s">
        <v>5</v>
      </c>
      <c r="R4" s="15" t="s">
        <v>2702</v>
      </c>
      <c r="S4" s="7"/>
      <c r="T4" s="7"/>
      <c r="U4" s="7"/>
      <c r="V4" s="7"/>
      <c r="W4" s="7"/>
      <c r="X4" s="7"/>
      <c r="Y4" s="7"/>
      <c r="Z4" s="7"/>
      <c r="AA4" s="7"/>
      <c r="AB4" s="7"/>
      <c r="AC4" s="7"/>
    </row>
    <row r="5" customHeight="1" spans="1:29">
      <c r="A5" s="16" t="s">
        <v>2703</v>
      </c>
      <c r="B5" s="16">
        <v>4162330</v>
      </c>
      <c r="C5" s="17">
        <v>6971020</v>
      </c>
      <c r="D5" s="17">
        <v>2849025</v>
      </c>
      <c r="E5" s="5">
        <v>13982375</v>
      </c>
      <c r="F5" s="7"/>
      <c r="G5" s="9">
        <v>11</v>
      </c>
      <c r="H5" s="9">
        <v>3</v>
      </c>
      <c r="I5" s="13">
        <v>3</v>
      </c>
      <c r="J5" s="13">
        <v>1</v>
      </c>
      <c r="K5" s="13">
        <v>3</v>
      </c>
      <c r="L5" s="13">
        <v>1</v>
      </c>
      <c r="M5" s="13">
        <v>3</v>
      </c>
      <c r="N5" s="13">
        <v>2</v>
      </c>
      <c r="O5" s="14">
        <v>16</v>
      </c>
      <c r="P5" s="7"/>
      <c r="Q5" s="18" t="s">
        <v>45</v>
      </c>
      <c r="R5" s="19">
        <v>0.0689020999651347</v>
      </c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 customHeight="1" spans="1:29">
      <c r="F6" s="7"/>
      <c r="G6" s="20">
        <v>12</v>
      </c>
      <c r="H6" s="21">
        <v>4</v>
      </c>
      <c r="I6">
        <v>4</v>
      </c>
      <c r="J6">
        <v>5</v>
      </c>
      <c r="K6">
        <v>9</v>
      </c>
      <c r="L6">
        <v>15</v>
      </c>
      <c r="M6">
        <v>11</v>
      </c>
      <c r="N6">
        <v>11</v>
      </c>
      <c r="O6" s="22">
        <v>59</v>
      </c>
      <c r="P6" s="7"/>
      <c r="Q6" s="18" t="s">
        <v>18</v>
      </c>
      <c r="R6" s="19">
        <v>0.0545021857874646</v>
      </c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7" customHeight="1" spans="1:29">
      <c r="F7" s="7"/>
      <c r="G7" s="20">
        <v>13</v>
      </c>
      <c r="H7" s="21">
        <v>5</v>
      </c>
      <c r="I7">
        <v>12</v>
      </c>
      <c r="J7">
        <v>13</v>
      </c>
      <c r="K7">
        <v>18</v>
      </c>
      <c r="L7">
        <v>15</v>
      </c>
      <c r="M7">
        <v>17</v>
      </c>
      <c r="N7">
        <v>17</v>
      </c>
      <c r="O7" s="22">
        <v>97</v>
      </c>
      <c r="P7" s="7"/>
      <c r="Q7" s="18" t="s">
        <v>109</v>
      </c>
      <c r="R7" s="19">
        <v>0.0573579238148026</v>
      </c>
      <c r="S7" s="7"/>
      <c r="T7" s="7"/>
      <c r="U7" s="7"/>
      <c r="V7" s="7"/>
      <c r="W7" s="7"/>
      <c r="X7" s="7"/>
      <c r="Y7" s="7"/>
      <c r="Z7" s="7"/>
      <c r="AA7" s="7"/>
      <c r="AB7" s="7"/>
      <c r="AC7" s="7"/>
    </row>
    <row r="8" customHeight="1" spans="1:29">
      <c r="F8" s="7"/>
      <c r="G8" s="20">
        <v>14</v>
      </c>
      <c r="H8" s="21">
        <v>10</v>
      </c>
      <c r="I8">
        <v>7</v>
      </c>
      <c r="J8">
        <v>7</v>
      </c>
      <c r="K8">
        <v>11</v>
      </c>
      <c r="L8">
        <v>16</v>
      </c>
      <c r="M8">
        <v>23</v>
      </c>
      <c r="N8">
        <v>19</v>
      </c>
      <c r="O8" s="22">
        <v>93</v>
      </c>
      <c r="P8" s="7"/>
      <c r="Q8" s="18" t="s">
        <v>28</v>
      </c>
      <c r="R8" s="19">
        <v>0.641730035133516</v>
      </c>
      <c r="S8" s="7"/>
      <c r="T8" s="7"/>
      <c r="U8" s="7"/>
      <c r="V8" s="7"/>
      <c r="W8" s="7"/>
      <c r="X8" s="7"/>
      <c r="Y8" s="7"/>
      <c r="Z8" s="7"/>
      <c r="AA8" s="7"/>
      <c r="AB8" s="7"/>
      <c r="AC8" s="7"/>
    </row>
    <row r="9" customHeight="1" spans="1:29">
      <c r="F9" s="7"/>
      <c r="G9" s="20">
        <v>15</v>
      </c>
      <c r="H9" s="21">
        <v>4</v>
      </c>
      <c r="I9">
        <v>6</v>
      </c>
      <c r="J9">
        <v>7</v>
      </c>
      <c r="K9">
        <v>6</v>
      </c>
      <c r="L9">
        <v>11</v>
      </c>
      <c r="M9">
        <v>14</v>
      </c>
      <c r="N9">
        <v>5</v>
      </c>
      <c r="O9" s="22">
        <v>53</v>
      </c>
      <c r="P9" s="7"/>
      <c r="Q9" s="18" t="s">
        <v>37</v>
      </c>
      <c r="R9" s="19">
        <v>0.177507755299082</v>
      </c>
      <c r="S9" s="7"/>
      <c r="T9" s="7"/>
      <c r="U9" s="7"/>
      <c r="V9" s="7"/>
      <c r="W9" s="7"/>
      <c r="X9" s="7"/>
      <c r="Y9" s="7"/>
      <c r="Z9" s="7"/>
      <c r="AA9" s="7"/>
      <c r="AB9" s="7"/>
      <c r="AC9" s="7"/>
    </row>
    <row r="10" customHeight="1" spans="1:29">
      <c r="F10" s="7"/>
      <c r="G10" s="20">
        <v>16</v>
      </c>
      <c r="H10" s="21">
        <v>3</v>
      </c>
      <c r="I10">
        <v>3</v>
      </c>
      <c r="J10">
        <v>3</v>
      </c>
      <c r="K10">
        <v>6</v>
      </c>
      <c r="L10">
        <v>3</v>
      </c>
      <c r="M10">
        <v>8</v>
      </c>
      <c r="N10">
        <v>8</v>
      </c>
      <c r="O10" s="22">
        <v>34</v>
      </c>
      <c r="P10" s="7"/>
      <c r="Q10" s="23" t="s">
        <v>2694</v>
      </c>
      <c r="R10" s="24">
        <v>1</v>
      </c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</row>
    <row r="11" customHeight="1" spans="1:29">
      <c r="F11" s="7"/>
      <c r="G11" s="20">
        <v>17</v>
      </c>
      <c r="H11" s="21">
        <v>6</v>
      </c>
      <c r="I11">
        <v>4</v>
      </c>
      <c r="J11">
        <v>4</v>
      </c>
      <c r="K11">
        <v>6</v>
      </c>
      <c r="L11">
        <v>9</v>
      </c>
      <c r="M11">
        <v>7</v>
      </c>
      <c r="N11">
        <v>5</v>
      </c>
      <c r="O11" s="22">
        <v>41</v>
      </c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</row>
    <row r="12" customHeight="1" spans="1:29">
      <c r="F12" s="7"/>
      <c r="G12" s="20">
        <v>18</v>
      </c>
      <c r="H12" s="21">
        <v>7</v>
      </c>
      <c r="I12">
        <v>5</v>
      </c>
      <c r="J12">
        <v>8</v>
      </c>
      <c r="K12">
        <v>8</v>
      </c>
      <c r="L12">
        <v>15</v>
      </c>
      <c r="M12">
        <v>15</v>
      </c>
      <c r="N12">
        <v>9</v>
      </c>
      <c r="O12" s="22">
        <v>67</v>
      </c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</row>
    <row r="13" customHeight="1" spans="1:29">
      <c r="F13" s="7"/>
      <c r="G13" s="20">
        <v>19</v>
      </c>
      <c r="H13" s="21">
        <v>17</v>
      </c>
      <c r="I13">
        <v>22</v>
      </c>
      <c r="J13">
        <v>18</v>
      </c>
      <c r="K13">
        <v>20</v>
      </c>
      <c r="L13">
        <v>25</v>
      </c>
      <c r="M13">
        <v>42</v>
      </c>
      <c r="N13">
        <v>35</v>
      </c>
      <c r="O13" s="22">
        <v>179</v>
      </c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</row>
    <row r="14" customHeight="1" spans="1:29">
      <c r="F14" s="7"/>
      <c r="G14" s="20">
        <v>20</v>
      </c>
      <c r="H14" s="21">
        <v>29</v>
      </c>
      <c r="I14">
        <v>35</v>
      </c>
      <c r="J14">
        <v>28</v>
      </c>
      <c r="K14">
        <v>37</v>
      </c>
      <c r="L14">
        <v>30</v>
      </c>
      <c r="M14">
        <v>54</v>
      </c>
      <c r="N14">
        <v>54</v>
      </c>
      <c r="O14" s="22">
        <v>267</v>
      </c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</row>
    <row r="15" customHeight="1" spans="1:29">
      <c r="F15" s="7"/>
      <c r="G15" s="20">
        <v>21</v>
      </c>
      <c r="H15" s="21">
        <v>23</v>
      </c>
      <c r="I15">
        <v>31</v>
      </c>
      <c r="J15">
        <v>19</v>
      </c>
      <c r="K15">
        <v>37</v>
      </c>
      <c r="L15">
        <v>44</v>
      </c>
      <c r="M15">
        <v>64</v>
      </c>
      <c r="N15">
        <v>48</v>
      </c>
      <c r="O15" s="22">
        <v>266</v>
      </c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</row>
    <row r="16" customHeight="1" spans="1:29">
      <c r="F16" s="7"/>
      <c r="G16" s="20">
        <v>22</v>
      </c>
      <c r="H16" s="21">
        <v>24</v>
      </c>
      <c r="I16">
        <v>24</v>
      </c>
      <c r="J16">
        <v>22</v>
      </c>
      <c r="K16">
        <v>20</v>
      </c>
      <c r="L16">
        <v>33</v>
      </c>
      <c r="M16">
        <v>38</v>
      </c>
      <c r="N16">
        <v>36</v>
      </c>
      <c r="O16" s="22">
        <v>197</v>
      </c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</row>
    <row r="17" customHeight="1" spans="1:29">
      <c r="F17" s="7"/>
      <c r="G17" s="20">
        <v>23</v>
      </c>
      <c r="H17" s="21">
        <v>10</v>
      </c>
      <c r="I17">
        <v>5</v>
      </c>
      <c r="J17">
        <v>6</v>
      </c>
      <c r="K17">
        <v>14</v>
      </c>
      <c r="L17">
        <v>24</v>
      </c>
      <c r="M17">
        <v>10</v>
      </c>
      <c r="N17">
        <v>12</v>
      </c>
      <c r="O17" s="22">
        <v>81</v>
      </c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</row>
    <row r="18" customHeight="1" spans="1:29">
      <c r="A18" s="7"/>
      <c r="B18" s="7"/>
      <c r="C18" s="7"/>
      <c r="D18" s="7"/>
      <c r="E18" s="7"/>
      <c r="F18" s="7"/>
      <c r="G18" s="16" t="s">
        <v>2694</v>
      </c>
      <c r="H18" s="16">
        <v>145</v>
      </c>
      <c r="I18" s="17">
        <v>161</v>
      </c>
      <c r="J18" s="17">
        <v>141</v>
      </c>
      <c r="K18" s="17">
        <v>195</v>
      </c>
      <c r="L18" s="17">
        <v>241</v>
      </c>
      <c r="M18" s="17">
        <v>306</v>
      </c>
      <c r="N18" s="17">
        <v>261</v>
      </c>
      <c r="O18" s="5">
        <v>1450</v>
      </c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</row>
    <row r="19" customHeight="1" spans="1:2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</row>
    <row r="20" customHeight="1" spans="1:29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</row>
    <row r="21" customHeight="1" spans="1:29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</row>
    <row r="22" customHeight="1" spans="1:29">
      <c r="A22" s="25" t="s">
        <v>2704</v>
      </c>
      <c r="D22" s="8" t="s">
        <v>2705</v>
      </c>
      <c r="F22" s="7"/>
      <c r="G22" s="8" t="s">
        <v>2706</v>
      </c>
      <c r="L22" s="8" t="s">
        <v>2707</v>
      </c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</row>
    <row r="23" customHeight="1" spans="1:29">
      <c r="A23" s="9" t="s">
        <v>4</v>
      </c>
      <c r="B23" s="14" t="s">
        <v>2708</v>
      </c>
      <c r="C23" s="26"/>
      <c r="D23" s="9" t="s">
        <v>2709</v>
      </c>
      <c r="E23" s="14" t="s">
        <v>2710</v>
      </c>
      <c r="F23" s="27"/>
      <c r="G23" s="7" t="s">
        <v>2692</v>
      </c>
      <c r="H23" s="7" t="s">
        <v>2692</v>
      </c>
      <c r="I23" s="7"/>
      <c r="J23" s="7"/>
      <c r="K23" s="7"/>
      <c r="L23" s="9"/>
      <c r="M23" s="9"/>
      <c r="N23" s="14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</row>
    <row r="24" customHeight="1" spans="1:29">
      <c r="A24" s="9" t="s">
        <v>165</v>
      </c>
      <c r="B24" s="14">
        <v>3.8</v>
      </c>
      <c r="C24" s="7"/>
      <c r="D24" s="9">
        <v>11</v>
      </c>
      <c r="E24" s="14">
        <v>16</v>
      </c>
      <c r="F24" s="7"/>
      <c r="G24" s="15" t="s">
        <v>2711</v>
      </c>
      <c r="H24" s="28" t="s">
        <v>22</v>
      </c>
      <c r="I24" s="28" t="s">
        <v>32</v>
      </c>
      <c r="J24" s="15" t="s">
        <v>2694</v>
      </c>
      <c r="K24" s="7"/>
      <c r="L24" s="9" t="s">
        <v>4</v>
      </c>
      <c r="M24" s="9" t="s">
        <v>2712</v>
      </c>
      <c r="N24" s="29" t="s">
        <v>2713</v>
      </c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</row>
    <row r="25" customHeight="1" spans="1:29">
      <c r="A25" s="20" t="s">
        <v>81</v>
      </c>
      <c r="B25" s="22">
        <v>4.04</v>
      </c>
      <c r="C25" s="7"/>
      <c r="D25" s="20">
        <v>12</v>
      </c>
      <c r="E25" s="22">
        <v>59</v>
      </c>
      <c r="F25" s="7"/>
      <c r="G25" s="30" t="s">
        <v>2714</v>
      </c>
      <c r="H25" s="19">
        <v>0.00143037216495767</v>
      </c>
      <c r="I25" s="19">
        <v>0.000357593041239417</v>
      </c>
      <c r="J25" s="19">
        <v>0.00178796520619709</v>
      </c>
      <c r="K25" s="7"/>
      <c r="L25" s="9" t="s">
        <v>165</v>
      </c>
      <c r="M25" s="9">
        <v>45</v>
      </c>
      <c r="N25" s="29">
        <v>263700</v>
      </c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</row>
    <row r="26" customHeight="1" spans="1:29">
      <c r="A26" s="20" t="s">
        <v>27</v>
      </c>
      <c r="B26" s="22">
        <v>4.05714285714286</v>
      </c>
      <c r="C26" s="7"/>
      <c r="D26" s="20">
        <v>13</v>
      </c>
      <c r="E26" s="22">
        <v>97</v>
      </c>
      <c r="F26" s="7"/>
      <c r="G26" s="30" t="s">
        <v>2715</v>
      </c>
      <c r="H26" s="19">
        <v>0.123281988932495</v>
      </c>
      <c r="I26" s="19">
        <v>0.038437676002825</v>
      </c>
      <c r="J26" s="19">
        <v>0.16171966493532</v>
      </c>
      <c r="K26" s="7"/>
      <c r="L26" s="20" t="s">
        <v>81</v>
      </c>
      <c r="M26" s="21">
        <v>164</v>
      </c>
      <c r="N26" s="31">
        <v>968100</v>
      </c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</row>
    <row r="27" customHeight="1" spans="1:29">
      <c r="A27" s="20" t="s">
        <v>36</v>
      </c>
      <c r="B27" s="22">
        <v>3.75</v>
      </c>
      <c r="C27" s="7"/>
      <c r="D27" s="20">
        <v>14</v>
      </c>
      <c r="E27" s="22">
        <v>93</v>
      </c>
      <c r="F27" s="7"/>
      <c r="G27" s="30" t="s">
        <v>2716</v>
      </c>
      <c r="H27" s="19">
        <v>0.122337943303623</v>
      </c>
      <c r="I27" s="19">
        <v>0.0349350521638849</v>
      </c>
      <c r="J27" s="19">
        <v>0.157272995467508</v>
      </c>
      <c r="K27" s="7"/>
      <c r="L27" s="20" t="s">
        <v>27</v>
      </c>
      <c r="M27" s="21">
        <v>122</v>
      </c>
      <c r="N27" s="31">
        <v>1807650</v>
      </c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</row>
    <row r="28" customHeight="1" spans="1:29">
      <c r="A28" s="20" t="s">
        <v>95</v>
      </c>
      <c r="B28" s="22">
        <v>3.89473684210526</v>
      </c>
      <c r="C28" s="7"/>
      <c r="D28" s="20">
        <v>15</v>
      </c>
      <c r="E28" s="22">
        <v>53</v>
      </c>
      <c r="F28" s="7"/>
      <c r="G28" s="30" t="s">
        <v>2717</v>
      </c>
      <c r="H28" s="19">
        <v>0.119436433367007</v>
      </c>
      <c r="I28" s="19">
        <v>0.0367265933004944</v>
      </c>
      <c r="J28" s="19">
        <v>0.156163026667501</v>
      </c>
      <c r="K28" s="7"/>
      <c r="L28" s="20" t="s">
        <v>36</v>
      </c>
      <c r="M28" s="21">
        <v>147</v>
      </c>
      <c r="N28" s="31">
        <v>426780</v>
      </c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</row>
    <row r="29" customHeight="1" spans="1:29">
      <c r="A29" s="20" t="s">
        <v>199</v>
      </c>
      <c r="B29" s="22">
        <v>4.58333333333333</v>
      </c>
      <c r="C29" s="7"/>
      <c r="D29" s="20">
        <v>16</v>
      </c>
      <c r="E29" s="22">
        <v>34</v>
      </c>
      <c r="F29" s="7"/>
      <c r="G29" s="30" t="s">
        <v>2718</v>
      </c>
      <c r="H29" s="19">
        <v>0.120659043975004</v>
      </c>
      <c r="I29" s="19">
        <v>0.0562250690601561</v>
      </c>
      <c r="J29" s="19">
        <v>0.17688411303516</v>
      </c>
      <c r="K29" s="7"/>
      <c r="L29" s="20" t="s">
        <v>95</v>
      </c>
      <c r="M29" s="21">
        <v>75</v>
      </c>
      <c r="N29" s="31">
        <v>369500</v>
      </c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</row>
    <row r="30" customHeight="1" spans="1:29">
      <c r="A30" s="20" t="s">
        <v>44</v>
      </c>
      <c r="B30" s="22">
        <v>4.1219512195122</v>
      </c>
      <c r="C30" s="7"/>
      <c r="D30" s="20">
        <v>17</v>
      </c>
      <c r="E30" s="22">
        <v>41</v>
      </c>
      <c r="F30" s="7"/>
      <c r="G30" s="30" t="s">
        <v>2719</v>
      </c>
      <c r="H30" s="19">
        <v>0.0860851607827712</v>
      </c>
      <c r="I30" s="19">
        <v>0.0716437658123173</v>
      </c>
      <c r="J30" s="19">
        <v>0.157728926595088</v>
      </c>
      <c r="K30" s="7"/>
      <c r="L30" s="20" t="s">
        <v>199</v>
      </c>
      <c r="M30" s="21">
        <v>43</v>
      </c>
      <c r="N30" s="31">
        <v>128400</v>
      </c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</row>
    <row r="31" customHeight="1" spans="1:29">
      <c r="A31" s="20" t="s">
        <v>367</v>
      </c>
      <c r="B31" s="22">
        <v>4.21739130434783</v>
      </c>
      <c r="C31" s="7"/>
      <c r="D31" s="20">
        <v>18</v>
      </c>
      <c r="E31" s="22">
        <v>67</v>
      </c>
      <c r="F31" s="7"/>
      <c r="G31" s="30" t="s">
        <v>2720</v>
      </c>
      <c r="H31" s="19">
        <v>0.0924378011603894</v>
      </c>
      <c r="I31" s="19">
        <v>0.0874454447116459</v>
      </c>
      <c r="J31" s="19">
        <v>0.179883245872035</v>
      </c>
      <c r="K31" s="7"/>
      <c r="L31" s="20" t="s">
        <v>44</v>
      </c>
      <c r="M31" s="21">
        <v>116</v>
      </c>
      <c r="N31" s="31">
        <v>456890</v>
      </c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</row>
    <row r="32" customHeight="1" spans="1:29">
      <c r="A32" s="20" t="s">
        <v>57</v>
      </c>
      <c r="B32" s="22">
        <v>4.15625</v>
      </c>
      <c r="C32" s="7"/>
      <c r="D32" s="20">
        <v>19</v>
      </c>
      <c r="E32" s="22">
        <v>179</v>
      </c>
      <c r="F32" s="7"/>
      <c r="G32" s="30" t="s">
        <v>2721</v>
      </c>
      <c r="H32" s="19">
        <v>0.00100126051547037</v>
      </c>
      <c r="I32" s="19">
        <v>0.000407656067012936</v>
      </c>
      <c r="J32" s="19">
        <v>0.0014089165824833</v>
      </c>
      <c r="K32" s="7"/>
      <c r="L32" s="20" t="s">
        <v>367</v>
      </c>
      <c r="M32" s="21">
        <v>78</v>
      </c>
      <c r="N32" s="31">
        <v>538300</v>
      </c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</row>
    <row r="33" customHeight="1" spans="1:29">
      <c r="A33" s="20" t="s">
        <v>50</v>
      </c>
      <c r="B33" s="22">
        <v>4.34285714285714</v>
      </c>
      <c r="C33" s="7"/>
      <c r="D33" s="20">
        <v>20</v>
      </c>
      <c r="E33" s="22">
        <v>267</v>
      </c>
      <c r="F33" s="7"/>
      <c r="G33" s="30" t="s">
        <v>2722</v>
      </c>
      <c r="H33" s="19">
        <v>0.00185948381444497</v>
      </c>
      <c r="I33" s="32"/>
      <c r="J33" s="19">
        <v>0.00185948381444497</v>
      </c>
      <c r="K33" s="7"/>
      <c r="L33" s="20" t="s">
        <v>57</v>
      </c>
      <c r="M33" s="21">
        <v>108</v>
      </c>
      <c r="N33" s="31">
        <v>1908900</v>
      </c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</row>
    <row r="34" customHeight="1" spans="1:29">
      <c r="A34" s="20" t="s">
        <v>647</v>
      </c>
      <c r="B34" s="22">
        <v>2.5</v>
      </c>
      <c r="C34" s="7"/>
      <c r="D34" s="20">
        <v>21</v>
      </c>
      <c r="E34" s="22">
        <v>266</v>
      </c>
      <c r="F34" s="7"/>
      <c r="G34" s="30" t="s">
        <v>2723</v>
      </c>
      <c r="H34" s="19">
        <v>0.000408728846136654</v>
      </c>
      <c r="I34" s="19">
        <v>0.00150189077320555</v>
      </c>
      <c r="J34" s="19">
        <v>0.00191061961934221</v>
      </c>
      <c r="K34" s="7"/>
      <c r="L34" s="20" t="s">
        <v>50</v>
      </c>
      <c r="M34" s="21">
        <v>134</v>
      </c>
      <c r="N34" s="31">
        <v>3260000</v>
      </c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</row>
    <row r="35" customHeight="1" spans="1:29">
      <c r="A35" s="20" t="s">
        <v>103</v>
      </c>
      <c r="B35" s="22">
        <v>4.21311475409836</v>
      </c>
      <c r="C35" s="7"/>
      <c r="D35" s="20">
        <v>22</v>
      </c>
      <c r="E35" s="22">
        <v>197</v>
      </c>
      <c r="F35" s="7"/>
      <c r="G35" s="30" t="s">
        <v>2724</v>
      </c>
      <c r="H35" s="19">
        <v>0.00220098516882861</v>
      </c>
      <c r="I35" s="19">
        <v>0.000715186082478835</v>
      </c>
      <c r="J35" s="19">
        <v>0.00291617125130745</v>
      </c>
      <c r="K35" s="7"/>
      <c r="L35" s="20" t="s">
        <v>647</v>
      </c>
      <c r="M35" s="21">
        <v>31</v>
      </c>
      <c r="N35" s="31">
        <v>137025</v>
      </c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</row>
    <row r="36" customHeight="1" spans="1:29">
      <c r="A36" s="20" t="s">
        <v>146</v>
      </c>
      <c r="B36" s="22">
        <v>4.26470588235294</v>
      </c>
      <c r="C36" s="7"/>
      <c r="D36" s="20">
        <v>23</v>
      </c>
      <c r="E36" s="22">
        <v>81</v>
      </c>
      <c r="F36" s="7"/>
      <c r="G36" s="30" t="s">
        <v>2725</v>
      </c>
      <c r="H36" s="19">
        <v>0.000107277912371825</v>
      </c>
      <c r="I36" s="19">
        <v>0.000357593041239417</v>
      </c>
      <c r="J36" s="19">
        <v>0.000464870953611243</v>
      </c>
      <c r="K36" s="7"/>
      <c r="L36" s="20" t="s">
        <v>103</v>
      </c>
      <c r="M36" s="21">
        <v>222</v>
      </c>
      <c r="N36" s="31">
        <v>1087100</v>
      </c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</row>
    <row r="37" customHeight="1" spans="1:29">
      <c r="A37" s="20" t="s">
        <v>63</v>
      </c>
      <c r="B37" s="22">
        <v>3.7972972972973</v>
      </c>
      <c r="C37" s="7"/>
      <c r="D37" s="16" t="s">
        <v>2694</v>
      </c>
      <c r="E37" s="5">
        <v>1450</v>
      </c>
      <c r="F37" s="7"/>
      <c r="G37" s="15" t="s">
        <v>2694</v>
      </c>
      <c r="H37" s="33">
        <v>0.6712464799435</v>
      </c>
      <c r="I37" s="33">
        <v>0.3287535200565</v>
      </c>
      <c r="J37" s="33">
        <v>1</v>
      </c>
      <c r="K37" s="7"/>
      <c r="L37" s="20" t="s">
        <v>146</v>
      </c>
      <c r="M37" s="21">
        <v>128</v>
      </c>
      <c r="N37" s="31">
        <v>1996360</v>
      </c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</row>
    <row r="38" customHeight="1" spans="1:29">
      <c r="A38" s="20" t="s">
        <v>17</v>
      </c>
      <c r="B38" s="22">
        <v>3.95384615384615</v>
      </c>
      <c r="C38" s="7"/>
      <c r="D38" s="7"/>
      <c r="E38" s="7"/>
      <c r="F38" s="7"/>
      <c r="G38" s="7"/>
      <c r="H38" s="7"/>
      <c r="I38" s="7"/>
      <c r="J38" s="7"/>
      <c r="K38" s="7"/>
      <c r="L38" s="20" t="s">
        <v>63</v>
      </c>
      <c r="M38" s="21">
        <v>271</v>
      </c>
      <c r="N38" s="31">
        <v>397920</v>
      </c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</row>
    <row r="39" customHeight="1" spans="1:29">
      <c r="A39" s="16" t="s">
        <v>2694</v>
      </c>
      <c r="B39" s="5">
        <v>4.01282051282051</v>
      </c>
      <c r="C39" s="7"/>
      <c r="D39" s="7"/>
      <c r="E39" s="7"/>
      <c r="F39" s="7"/>
      <c r="G39" s="7"/>
      <c r="H39" s="7"/>
      <c r="I39" s="7"/>
      <c r="J39" s="7"/>
      <c r="K39" s="7"/>
      <c r="L39" s="20" t="s">
        <v>17</v>
      </c>
      <c r="M39" s="21">
        <v>239</v>
      </c>
      <c r="N39" s="31">
        <v>235750</v>
      </c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</row>
    <row r="40" customHeight="1" spans="1:29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16" t="s">
        <v>2694</v>
      </c>
      <c r="M40" s="16">
        <v>1923</v>
      </c>
      <c r="N40" s="34">
        <v>13982375</v>
      </c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</row>
    <row r="41" customHeight="1" spans="1:29">
      <c r="A41" s="7"/>
      <c r="B41" s="7"/>
      <c r="C41" s="35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</row>
    <row r="42" customHeight="1" spans="1:29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</row>
    <row r="43" customHeight="1" spans="1:29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</row>
    <row r="44" customHeight="1" spans="1:29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</row>
    <row r="45" customHeight="1" spans="1:29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</row>
    <row r="46" customHeight="1" spans="1:29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</row>
    <row r="47" customHeight="1" spans="1:29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</row>
    <row r="48" customHeight="1" spans="1:29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</row>
    <row r="49" customHeight="1" spans="1:2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</row>
    <row r="50" customHeight="1" spans="1:29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</row>
    <row r="51" customHeight="1" spans="1:29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</row>
    <row r="52" customHeight="1" spans="1:29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</row>
    <row r="53" customHeight="1" spans="1:29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</row>
    <row r="54" customHeight="1" spans="1:29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</row>
    <row r="55" customHeight="1" spans="1:29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</row>
    <row r="56" customHeight="1" spans="1:29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</row>
    <row r="57" customHeight="1" spans="1:29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</row>
    <row r="58" customHeight="1" spans="1:29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</row>
    <row r="59" customHeight="1" spans="1:2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</row>
    <row r="60" customHeight="1" spans="1:29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</row>
    <row r="61" customHeight="1" spans="1:29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</row>
    <row r="62" customHeight="1" spans="1:29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</row>
    <row r="63" customHeight="1" spans="1:29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</row>
    <row r="64" customHeight="1" spans="1:29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</row>
    <row r="65" customHeight="1" spans="1:29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</row>
    <row r="66" customHeight="1" spans="1:29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</row>
    <row r="67" customHeight="1" spans="1:29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</row>
    <row r="68" customHeight="1" spans="1:29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</row>
    <row r="69" customHeight="1" spans="1:2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</row>
    <row r="70" customHeight="1" spans="1:29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</row>
    <row r="71" customHeight="1" spans="1:29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</row>
    <row r="72" customHeight="1" spans="1:29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</row>
    <row r="73" customHeight="1" spans="1:29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</row>
    <row r="74" customHeight="1" spans="1:29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</row>
    <row r="75" customHeight="1" spans="1:29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</row>
    <row r="76" customHeight="1" spans="1:29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</row>
    <row r="77" customHeight="1" spans="1:29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</row>
    <row r="78" customHeight="1" spans="1:29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</row>
    <row r="79" customHeight="1" spans="1:2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</row>
    <row r="80" customHeight="1" spans="1:29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</row>
    <row r="81" customHeight="1" spans="1:29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</row>
    <row r="82" customHeight="1" spans="1:29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</row>
    <row r="83" customHeight="1" spans="1:29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</row>
    <row r="84" customHeight="1" spans="1:29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</row>
    <row r="85" customHeight="1" spans="1:29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</row>
    <row r="86" customHeight="1" spans="1:29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</row>
    <row r="87" customHeight="1" spans="1:29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</row>
    <row r="88" customHeight="1" spans="1:29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</row>
    <row r="89" customHeight="1" spans="1:2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</row>
    <row r="90" customHeight="1" spans="1:29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</row>
    <row r="91" customHeight="1" spans="1:29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</row>
    <row r="92" customHeight="1" spans="1:29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</row>
    <row r="93" customHeight="1" spans="1:29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</row>
    <row r="94" customHeight="1" spans="1:29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</row>
    <row r="95" customHeight="1" spans="1:29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</row>
    <row r="96" customHeight="1" spans="1:29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</row>
    <row r="97" customHeight="1" spans="1:29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</row>
    <row r="98" customHeight="1" spans="1:29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</row>
    <row r="99" customHeight="1" spans="1:2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</row>
    <row r="100" customHeight="1" spans="1:29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</row>
    <row r="101" customHeight="1" spans="1:29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</row>
    <row r="102" customHeight="1" spans="1:29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</row>
    <row r="103" customHeight="1" spans="1:29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</row>
    <row r="104" customHeight="1" spans="1:29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</row>
    <row r="105" customHeight="1" spans="1:29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</row>
    <row r="106" customHeight="1" spans="1:29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</row>
    <row r="107" customHeight="1" spans="1:29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</row>
    <row r="108" customHeight="1" spans="1:29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</row>
    <row r="109" customHeight="1" spans="1:2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</row>
    <row r="110" customHeight="1" spans="1:29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</row>
    <row r="111" customHeight="1" spans="1:29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</row>
    <row r="112" customHeight="1" spans="1:29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</row>
    <row r="113" customHeight="1" spans="1:29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</row>
    <row r="114" customHeight="1" spans="1:29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</row>
    <row r="115" customHeight="1" spans="1:29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</row>
    <row r="116" customHeight="1" spans="1:29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</row>
    <row r="117" customHeight="1" spans="1:29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</row>
    <row r="118" customHeight="1" spans="1:29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</row>
    <row r="119" customHeight="1" spans="1:2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</row>
    <row r="120" customHeight="1" spans="1:29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</row>
    <row r="121" customHeight="1" spans="1:29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</row>
    <row r="122" customHeight="1" spans="1:29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</row>
    <row r="123" customHeight="1" spans="1:29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</row>
    <row r="124" customHeight="1" spans="1:29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</row>
    <row r="125" customHeight="1" spans="1:29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</row>
    <row r="126" customHeight="1" spans="1:29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</row>
    <row r="127" customHeight="1" spans="1:29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</row>
    <row r="128" customHeight="1" spans="1:29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</row>
    <row r="129" customHeight="1" spans="1: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</row>
    <row r="130" customHeight="1" spans="1:29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</row>
    <row r="131" customHeight="1" spans="1:29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</row>
    <row r="132" customHeight="1" spans="1:29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</row>
    <row r="133" customHeight="1" spans="1:29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</row>
    <row r="134" customHeight="1" spans="1:29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</row>
    <row r="135" customHeight="1" spans="1:29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</row>
    <row r="136" customHeight="1" spans="1:29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</row>
    <row r="137" customHeight="1" spans="1:29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</row>
    <row r="138" customHeight="1" spans="1:29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</row>
    <row r="139" customHeight="1" spans="1:2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</row>
    <row r="140" customHeight="1" spans="1:29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</row>
    <row r="141" customHeight="1" spans="1:29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</row>
    <row r="142" customHeight="1" spans="1:29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</row>
    <row r="143" customHeight="1" spans="1:29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</row>
    <row r="144" customHeight="1" spans="1:29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</row>
    <row r="145" customHeight="1" spans="1:29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</row>
    <row r="146" customHeight="1" spans="1:29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</row>
    <row r="147" customHeight="1" spans="1:29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</row>
    <row r="148" customHeight="1" spans="1:29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</row>
    <row r="149" customHeight="1" spans="1:2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</row>
    <row r="150" customHeight="1" spans="1:29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</row>
    <row r="151" customHeight="1" spans="1:29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</row>
    <row r="152" customHeight="1" spans="1:29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</row>
    <row r="153" customHeight="1" spans="1:29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</row>
    <row r="154" customHeight="1" spans="1:29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</row>
    <row r="155" customHeight="1" spans="1:29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</row>
    <row r="156" customHeight="1" spans="1:29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</row>
    <row r="157" customHeight="1" spans="1:29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</row>
    <row r="158" customHeight="1" spans="1:29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</row>
    <row r="159" customHeight="1" spans="1:2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</row>
    <row r="160" customHeight="1" spans="1:29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</row>
    <row r="161" customHeight="1" spans="1:29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</row>
    <row r="162" customHeight="1" spans="1:29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</row>
    <row r="163" customHeight="1" spans="1:29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</row>
    <row r="164" customHeight="1" spans="1:29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</row>
    <row r="165" customHeight="1" spans="1:29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</row>
    <row r="166" customHeight="1" spans="1:29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</row>
    <row r="167" customHeight="1" spans="1:29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</row>
    <row r="168" customHeight="1" spans="1:29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</row>
    <row r="169" customHeight="1" spans="1:2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</row>
    <row r="170" customHeight="1" spans="1:29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</row>
    <row r="171" customHeight="1" spans="1:29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</row>
    <row r="172" customHeight="1" spans="1:29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</row>
    <row r="173" customHeight="1" spans="1:29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</row>
    <row r="174" customHeight="1" spans="1:29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</row>
    <row r="175" customHeight="1" spans="1:29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</row>
    <row r="176" customHeight="1" spans="1:29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</row>
    <row r="177" customHeight="1" spans="1:29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</row>
    <row r="178" customHeight="1" spans="1:29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</row>
    <row r="179" customHeight="1" spans="1:2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</row>
    <row r="180" customHeight="1" spans="1:29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</row>
    <row r="181" customHeight="1" spans="1:29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</row>
    <row r="182" customHeight="1" spans="1:29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</row>
    <row r="183" customHeight="1" spans="1:29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</row>
    <row r="184" customHeight="1" spans="1:29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</row>
    <row r="185" customHeight="1" spans="1:29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</row>
    <row r="186" customHeight="1" spans="1:29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</row>
    <row r="187" customHeight="1" spans="1:29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</row>
    <row r="188" customHeight="1" spans="1:29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</row>
    <row r="189" customHeight="1" spans="1:2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</row>
    <row r="190" customHeight="1" spans="1:29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</row>
    <row r="191" customHeight="1" spans="1:29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</row>
    <row r="192" customHeight="1" spans="1:29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</row>
    <row r="193" customHeight="1" spans="1:29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</row>
    <row r="194" customHeight="1" spans="1:29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</row>
    <row r="195" customHeight="1" spans="1:29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</row>
    <row r="196" customHeight="1" spans="1:29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</row>
    <row r="197" customHeight="1" spans="1:29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</row>
    <row r="198" customHeight="1" spans="1:29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</row>
    <row r="199" customHeight="1" spans="1:2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</row>
    <row r="200" customHeight="1" spans="1:29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</row>
    <row r="201" customHeight="1" spans="1:29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</row>
    <row r="202" customHeight="1" spans="1:29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</row>
    <row r="203" customHeight="1" spans="1:29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</row>
    <row r="204" customHeight="1" spans="1:29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</row>
    <row r="205" customHeight="1" spans="1:29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</row>
    <row r="206" customHeight="1" spans="1:29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</row>
    <row r="207" customHeight="1" spans="1:29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</row>
    <row r="208" customHeight="1" spans="1:29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</row>
    <row r="209" customHeight="1" spans="1:2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</row>
    <row r="210" customHeight="1" spans="1:29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</row>
    <row r="211" customHeight="1" spans="1:29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</row>
    <row r="212" customHeight="1" spans="1:29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</row>
    <row r="213" customHeight="1" spans="1:29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</row>
    <row r="214" customHeight="1" spans="1:29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</row>
    <row r="215" customHeight="1" spans="1:29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</row>
    <row r="216" customHeight="1" spans="1:29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</row>
    <row r="217" customHeight="1" spans="1:29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</row>
    <row r="218" customHeight="1" spans="1:29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</row>
    <row r="219" customHeight="1" spans="1:2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</row>
    <row r="220" customHeight="1" spans="1:29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</row>
    <row r="221" customHeight="1" spans="1:29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</row>
    <row r="222" customHeight="1" spans="1:29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</row>
    <row r="223" customHeight="1" spans="1:29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</row>
    <row r="224" customHeight="1" spans="1:29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</row>
    <row r="225" customHeight="1" spans="1:29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</row>
    <row r="226" customHeight="1" spans="1:29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</row>
    <row r="227" customHeight="1" spans="1:29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</row>
    <row r="228" customHeight="1" spans="1:29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</row>
    <row r="229" customHeight="1" spans="1: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</row>
    <row r="230" customHeight="1" spans="1:29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</row>
    <row r="231" customHeight="1" spans="1:29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</row>
    <row r="232" customHeight="1" spans="1:29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</row>
    <row r="233" customHeight="1" spans="1:29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</row>
    <row r="234" customHeight="1" spans="1:29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</row>
    <row r="235" customHeight="1" spans="1:29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</row>
    <row r="236" customHeight="1" spans="1:29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</row>
    <row r="237" customHeight="1" spans="1:29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</row>
    <row r="238" customHeight="1" spans="1:29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</row>
    <row r="239" customHeight="1" spans="1:2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</row>
    <row r="240" customHeight="1" spans="1:29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</row>
    <row r="241" customHeight="1" spans="1:29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</row>
    <row r="242" customHeight="1" spans="1:29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</row>
    <row r="243" customHeight="1" spans="1:29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</row>
    <row r="244" customHeight="1" spans="1:29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</row>
    <row r="245" customHeight="1" spans="1:29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</row>
    <row r="246" customHeight="1" spans="1:29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</row>
    <row r="247" customHeight="1" spans="1:29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</row>
    <row r="248" customHeight="1" spans="1:29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</row>
    <row r="249" customHeight="1" spans="1:2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</row>
    <row r="250" customHeight="1" spans="1:29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</row>
    <row r="251" customHeight="1" spans="1:29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</row>
    <row r="252" customHeight="1" spans="1:29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</row>
    <row r="253" customHeight="1" spans="1:29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</row>
    <row r="254" customHeight="1" spans="1:29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</row>
    <row r="255" customHeight="1" spans="1:29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</row>
    <row r="256" customHeight="1" spans="1:29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</row>
    <row r="257" customHeight="1" spans="1:29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</row>
    <row r="258" customHeight="1" spans="1:29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</row>
    <row r="259" customHeight="1" spans="1:2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</row>
    <row r="260" customHeight="1" spans="1:29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</row>
    <row r="261" customHeight="1" spans="1:29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</row>
    <row r="262" customHeight="1" spans="1:29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</row>
    <row r="263" customHeight="1" spans="1:29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</row>
    <row r="264" customHeight="1" spans="1:29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</row>
    <row r="265" customHeight="1" spans="1:29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</row>
    <row r="266" customHeight="1" spans="1:29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</row>
    <row r="267" customHeight="1" spans="1:29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</row>
    <row r="268" customHeight="1" spans="1:29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</row>
    <row r="269" customHeight="1" spans="1:2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</row>
    <row r="270" customHeight="1" spans="1:29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</row>
    <row r="271" customHeight="1" spans="1:29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</row>
    <row r="272" customHeight="1" spans="1:29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</row>
    <row r="273" customHeight="1" spans="1:29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</row>
    <row r="274" customHeight="1" spans="1:29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</row>
    <row r="275" customHeight="1" spans="1:29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</row>
    <row r="276" customHeight="1" spans="1:29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</row>
    <row r="277" customHeight="1" spans="1:29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</row>
    <row r="278" customHeight="1" spans="1:29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</row>
    <row r="279" customHeight="1" spans="1:2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</row>
    <row r="280" customHeight="1" spans="1:29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</row>
    <row r="281" customHeight="1" spans="1:29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</row>
    <row r="282" customHeight="1" spans="1:29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</row>
    <row r="283" customHeight="1" spans="1:29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</row>
    <row r="284" customHeight="1" spans="1:29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</row>
    <row r="285" customHeight="1" spans="1:29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</row>
    <row r="286" customHeight="1" spans="1:29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</row>
    <row r="287" customHeight="1" spans="1:29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</row>
    <row r="288" customHeight="1" spans="1:29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</row>
    <row r="289" customHeight="1" spans="1:2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</row>
    <row r="290" customHeight="1" spans="1:29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</row>
    <row r="291" customHeight="1" spans="1:29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</row>
    <row r="292" customHeight="1" spans="1:29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</row>
    <row r="293" customHeight="1" spans="1:29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</row>
    <row r="294" customHeight="1" spans="1:29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</row>
    <row r="295" customHeight="1" spans="1:29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</row>
    <row r="296" customHeight="1" spans="1:29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</row>
    <row r="297" customHeight="1" spans="1:29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</row>
    <row r="298" customHeight="1" spans="1:29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</row>
    <row r="299" customHeight="1" spans="1:2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</row>
    <row r="300" customHeight="1" spans="1:29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</row>
    <row r="301" customHeight="1" spans="1:29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</row>
    <row r="302" customHeight="1" spans="1:29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</row>
    <row r="303" customHeight="1" spans="1:29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</row>
    <row r="304" customHeight="1" spans="1:29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</row>
    <row r="305" customHeight="1" spans="1:29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</row>
    <row r="306" customHeight="1" spans="1:29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</row>
    <row r="307" customHeight="1" spans="1:29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</row>
    <row r="308" customHeight="1" spans="1:29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</row>
    <row r="309" customHeight="1" spans="1:2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</row>
    <row r="310" customHeight="1" spans="1:29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</row>
    <row r="311" customHeight="1" spans="1:29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</row>
    <row r="312" customHeight="1" spans="1:29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</row>
    <row r="313" customHeight="1" spans="1:29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</row>
    <row r="314" customHeight="1" spans="1:29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</row>
    <row r="315" customHeight="1" spans="1:29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</row>
    <row r="316" customHeight="1" spans="1:29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</row>
    <row r="317" customHeight="1" spans="1:29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</row>
    <row r="318" customHeight="1" spans="1:29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</row>
    <row r="319" customHeight="1" spans="1:2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</row>
    <row r="320" customHeight="1" spans="1:29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</row>
    <row r="321" customHeight="1" spans="1:29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</row>
    <row r="322" customHeight="1" spans="1:29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</row>
    <row r="323" customHeight="1" spans="1:29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</row>
    <row r="324" customHeight="1" spans="1:29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</row>
    <row r="325" customHeight="1" spans="1:29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</row>
    <row r="326" customHeight="1" spans="1:29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</row>
    <row r="327" customHeight="1" spans="1:29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</row>
    <row r="328" customHeight="1" spans="1:29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</row>
    <row r="329" customHeight="1" spans="1: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</row>
    <row r="330" customHeight="1" spans="1:29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</row>
    <row r="331" customHeight="1" spans="1:29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</row>
    <row r="332" customHeight="1" spans="1:29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</row>
    <row r="333" customHeight="1" spans="1:29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</row>
    <row r="334" customHeight="1" spans="1:29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</row>
    <row r="335" customHeight="1" spans="1:29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</row>
    <row r="336" customHeight="1" spans="1:29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</row>
    <row r="337" customHeight="1" spans="1:29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</row>
    <row r="338" customHeight="1" spans="1:29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</row>
    <row r="339" customHeight="1" spans="1:2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</row>
    <row r="340" customHeight="1" spans="1:29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</row>
    <row r="341" customHeight="1" spans="1:29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</row>
    <row r="342" customHeight="1" spans="1:29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</row>
    <row r="343" customHeight="1" spans="1:29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</row>
    <row r="344" customHeight="1" spans="1:29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</row>
    <row r="345" customHeight="1" spans="1:29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</row>
    <row r="346" customHeight="1" spans="1:29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</row>
    <row r="347" customHeight="1" spans="1:29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</row>
    <row r="348" customHeight="1" spans="1:29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</row>
    <row r="349" customHeight="1" spans="1:2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</row>
    <row r="350" customHeight="1" spans="1:29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</row>
    <row r="351" customHeight="1" spans="1:29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</row>
    <row r="352" customHeight="1" spans="1:29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</row>
    <row r="353" customHeight="1" spans="1:29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</row>
    <row r="354" customHeight="1" spans="1:29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</row>
    <row r="355" customHeight="1" spans="1:29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</row>
    <row r="356" customHeight="1" spans="1:29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</row>
    <row r="357" customHeight="1" spans="1:29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</row>
    <row r="358" customHeight="1" spans="1:29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</row>
    <row r="359" customHeight="1" spans="1:2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</row>
    <row r="360" customHeight="1" spans="1:29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</row>
    <row r="361" customHeight="1" spans="1:29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</row>
    <row r="362" customHeight="1" spans="1:29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</row>
    <row r="363" customHeight="1" spans="1:29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</row>
    <row r="364" customHeight="1" spans="1:29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</row>
    <row r="365" customHeight="1" spans="1:29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</row>
    <row r="366" customHeight="1" spans="1:29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</row>
    <row r="367" customHeight="1" spans="1:29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</row>
    <row r="368" customHeight="1" spans="1:29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</row>
    <row r="369" customHeight="1" spans="1:2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</row>
    <row r="370" customHeight="1" spans="1:29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</row>
    <row r="371" customHeight="1" spans="1:29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</row>
    <row r="372" customHeight="1" spans="1:29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</row>
    <row r="373" customHeight="1" spans="1:29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</row>
    <row r="374" customHeight="1" spans="1:29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</row>
    <row r="375" customHeight="1" spans="1:29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</row>
    <row r="376" customHeight="1" spans="1:29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</row>
    <row r="377" customHeight="1" spans="1:29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</row>
    <row r="378" customHeight="1" spans="1:29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</row>
    <row r="379" customHeight="1" spans="1:2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</row>
    <row r="380" customHeight="1" spans="1:29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</row>
    <row r="381" customHeight="1" spans="1:29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</row>
    <row r="382" customHeight="1" spans="1:29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</row>
    <row r="383" customHeight="1" spans="1:29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</row>
    <row r="384" customHeight="1" spans="1:29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</row>
    <row r="385" customHeight="1" spans="1:29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</row>
    <row r="386" customHeight="1" spans="1:29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</row>
    <row r="387" customHeight="1" spans="1:29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</row>
    <row r="388" customHeight="1" spans="1:29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</row>
    <row r="389" customHeight="1" spans="1:2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</row>
    <row r="390" customHeight="1" spans="1:29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</row>
    <row r="391" customHeight="1" spans="1:29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</row>
    <row r="392" customHeight="1" spans="1:29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</row>
    <row r="393" customHeight="1" spans="1:29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</row>
    <row r="394" customHeight="1" spans="1:29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</row>
    <row r="395" customHeight="1" spans="1:29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</row>
    <row r="396" customHeight="1" spans="1:29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</row>
    <row r="397" customHeight="1" spans="1:29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</row>
    <row r="398" customHeight="1" spans="1:29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</row>
    <row r="399" customHeight="1" spans="1:2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</row>
    <row r="400" customHeight="1" spans="1:29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</row>
    <row r="401" customHeight="1" spans="1:29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</row>
    <row r="402" customHeight="1" spans="1:29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</row>
    <row r="403" customHeight="1" spans="1:29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</row>
    <row r="404" customHeight="1" spans="1:29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</row>
    <row r="405" customHeight="1" spans="1:29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</row>
    <row r="406" customHeight="1" spans="1:29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</row>
    <row r="407" customHeight="1" spans="1:29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</row>
    <row r="408" customHeight="1" spans="1:29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</row>
    <row r="409" customHeight="1" spans="1:2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</row>
    <row r="410" customHeight="1" spans="1:29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</row>
    <row r="411" customHeight="1" spans="1:29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</row>
    <row r="412" customHeight="1" spans="1:29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</row>
    <row r="413" customHeight="1" spans="1:29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</row>
    <row r="414" customHeight="1" spans="1:29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</row>
    <row r="415" customHeight="1" spans="1:29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</row>
    <row r="416" customHeight="1" spans="1:29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</row>
    <row r="417" customHeight="1" spans="1:29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</row>
    <row r="418" customHeight="1" spans="1:29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</row>
    <row r="419" customHeight="1" spans="1:2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</row>
    <row r="420" customHeight="1" spans="1:29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</row>
    <row r="421" customHeight="1" spans="1:29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</row>
    <row r="422" customHeight="1" spans="1:29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</row>
    <row r="423" customHeight="1" spans="1:29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</row>
    <row r="424" customHeight="1" spans="1:29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</row>
    <row r="425" customHeight="1" spans="1:29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</row>
    <row r="426" customHeight="1" spans="1:29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</row>
    <row r="427" customHeight="1" spans="1:29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</row>
    <row r="428" customHeight="1" spans="1:29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</row>
    <row r="429" customHeight="1" spans="1: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</row>
    <row r="430" customHeight="1" spans="1:29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</row>
    <row r="431" customHeight="1" spans="1:29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</row>
    <row r="432" customHeight="1" spans="1:29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</row>
    <row r="433" customHeight="1" spans="1:29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</row>
    <row r="434" customHeight="1" spans="1:29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</row>
    <row r="435" customHeight="1" spans="1:29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</row>
    <row r="436" customHeight="1" spans="1:29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</row>
    <row r="437" customHeight="1" spans="1:29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</row>
    <row r="438" customHeight="1" spans="1:29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</row>
    <row r="439" customHeight="1" spans="1:2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</row>
    <row r="440" customHeight="1" spans="1:29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</row>
    <row r="441" customHeight="1" spans="1:29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</row>
    <row r="442" customHeight="1" spans="1:29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</row>
    <row r="443" customHeight="1" spans="1:29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</row>
    <row r="444" customHeight="1" spans="1:29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</row>
    <row r="445" customHeight="1" spans="1:29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</row>
    <row r="446" customHeight="1" spans="1:29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</row>
    <row r="447" customHeight="1" spans="1:29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</row>
    <row r="448" customHeight="1" spans="1:29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</row>
    <row r="449" customHeight="1" spans="1:2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</row>
    <row r="450" customHeight="1" spans="1:29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</row>
    <row r="451" customHeight="1" spans="1:29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</row>
    <row r="452" customHeight="1" spans="1:29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</row>
    <row r="453" customHeight="1" spans="1:29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</row>
    <row r="454" customHeight="1" spans="1:29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</row>
    <row r="455" customHeight="1" spans="1:29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</row>
    <row r="456" customHeight="1" spans="1:29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</row>
    <row r="457" customHeight="1" spans="1:29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</row>
    <row r="458" customHeight="1" spans="1:29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</row>
    <row r="459" customHeight="1" spans="1:2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</row>
    <row r="460" customHeight="1" spans="1:29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</row>
    <row r="461" customHeight="1" spans="1:29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</row>
    <row r="462" customHeight="1" spans="1:29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</row>
    <row r="463" customHeight="1" spans="1:29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</row>
    <row r="464" customHeight="1" spans="1:29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</row>
    <row r="465" customHeight="1" spans="1:29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</row>
    <row r="466" customHeight="1" spans="1:29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</row>
    <row r="467" customHeight="1" spans="1:29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</row>
    <row r="468" customHeight="1" spans="1:29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</row>
    <row r="469" customHeight="1" spans="1:2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</row>
    <row r="470" customHeight="1" spans="1:29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</row>
    <row r="471" customHeight="1" spans="1:29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</row>
    <row r="472" customHeight="1" spans="1:29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</row>
    <row r="473" customHeight="1" spans="1:29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</row>
    <row r="474" customHeight="1" spans="1:29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</row>
    <row r="475" customHeight="1" spans="1:29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</row>
    <row r="476" customHeight="1" spans="1:29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</row>
    <row r="477" customHeight="1" spans="1:29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</row>
    <row r="478" customHeight="1" spans="1:29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</row>
    <row r="479" customHeight="1" spans="1:2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</row>
    <row r="480" customHeight="1" spans="1:29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</row>
    <row r="481" customHeight="1" spans="1:29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</row>
    <row r="482" customHeight="1" spans="1:29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</row>
    <row r="483" customHeight="1" spans="1:29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</row>
    <row r="484" customHeight="1" spans="1:29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</row>
    <row r="485" customHeight="1" spans="1:29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</row>
    <row r="486" customHeight="1" spans="1:29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</row>
    <row r="487" customHeight="1" spans="1:29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</row>
    <row r="488" customHeight="1" spans="1:29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</row>
    <row r="489" customHeight="1" spans="1:2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</row>
    <row r="490" customHeight="1" spans="1:29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</row>
    <row r="491" customHeight="1" spans="1:29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</row>
    <row r="492" customHeight="1" spans="1:29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</row>
    <row r="493" customHeight="1" spans="1:29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</row>
    <row r="494" customHeight="1" spans="1:29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</row>
    <row r="495" customHeight="1" spans="1:29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</row>
    <row r="496" customHeight="1" spans="1:29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</row>
    <row r="497" customHeight="1" spans="1:29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</row>
    <row r="498" customHeight="1" spans="1:29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</row>
    <row r="499" customHeight="1" spans="1:2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</row>
    <row r="500" customHeight="1" spans="1:29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</row>
    <row r="501" customHeight="1" spans="1:29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</row>
    <row r="502" customHeight="1" spans="1:29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</row>
    <row r="503" customHeight="1" spans="1:29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</row>
    <row r="504" customHeight="1" spans="1:29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</row>
    <row r="505" customHeight="1" spans="1:29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</row>
    <row r="506" customHeight="1" spans="1:29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</row>
    <row r="507" customHeight="1" spans="1:29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</row>
    <row r="508" customHeight="1" spans="1:29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</row>
    <row r="509" customHeight="1" spans="1:2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</row>
    <row r="510" customHeight="1" spans="1:29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</row>
    <row r="511" customHeight="1" spans="1:29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</row>
    <row r="512" customHeight="1" spans="1:29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</row>
    <row r="513" customHeight="1" spans="1:29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</row>
    <row r="514" customHeight="1" spans="1:29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</row>
    <row r="515" customHeight="1" spans="1:29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</row>
    <row r="516" customHeight="1" spans="1:29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</row>
    <row r="517" customHeight="1" spans="1:29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</row>
    <row r="518" customHeight="1" spans="1:29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</row>
    <row r="519" customHeight="1" spans="1:2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</row>
    <row r="520" customHeight="1" spans="1:29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</row>
    <row r="521" customHeight="1" spans="1:29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</row>
    <row r="522" customHeight="1" spans="1:29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</row>
    <row r="523" customHeight="1" spans="1:29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</row>
    <row r="524" customHeight="1" spans="1:29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</row>
    <row r="525" customHeight="1" spans="1:29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</row>
    <row r="526" customHeight="1" spans="1:29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</row>
    <row r="527" customHeight="1" spans="1:29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</row>
    <row r="528" customHeight="1" spans="1:29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</row>
    <row r="529" customHeight="1" spans="1: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</row>
    <row r="530" customHeight="1" spans="1:29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</row>
    <row r="531" customHeight="1" spans="1:29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</row>
    <row r="532" customHeight="1" spans="1:29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</row>
    <row r="533" customHeight="1" spans="1:29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</row>
    <row r="534" customHeight="1" spans="1:29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</row>
    <row r="535" customHeight="1" spans="1:29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</row>
    <row r="536" customHeight="1" spans="1:29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</row>
    <row r="537" customHeight="1" spans="1:29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</row>
    <row r="538" customHeight="1" spans="1:29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</row>
    <row r="539" customHeight="1" spans="1:2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</row>
    <row r="540" customHeight="1" spans="1:29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</row>
    <row r="541" customHeight="1" spans="1:29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</row>
    <row r="542" customHeight="1" spans="1:29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</row>
    <row r="543" customHeight="1" spans="1:29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</row>
    <row r="544" customHeight="1" spans="1:29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</row>
    <row r="545" customHeight="1" spans="1:29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</row>
    <row r="546" customHeight="1" spans="1:29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</row>
    <row r="547" customHeight="1" spans="1:29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</row>
    <row r="548" customHeight="1" spans="1:29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</row>
    <row r="549" customHeight="1" spans="1:2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</row>
    <row r="550" customHeight="1" spans="1:29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</row>
    <row r="551" customHeight="1" spans="1:29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</row>
    <row r="552" customHeight="1" spans="1:29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</row>
    <row r="553" customHeight="1" spans="1:29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</row>
    <row r="554" customHeight="1" spans="1:29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</row>
    <row r="555" customHeight="1" spans="1:29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</row>
    <row r="556" customHeight="1" spans="1:29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</row>
    <row r="557" customHeight="1" spans="1:29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</row>
    <row r="558" customHeight="1" spans="1:29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</row>
    <row r="559" customHeight="1" spans="1:2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</row>
    <row r="560" customHeight="1" spans="1:29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</row>
    <row r="561" customHeight="1" spans="1:29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</row>
    <row r="562" customHeight="1" spans="1:29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</row>
    <row r="563" customHeight="1" spans="1:29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</row>
    <row r="564" customHeight="1" spans="1:29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</row>
    <row r="565" customHeight="1" spans="1:29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</row>
    <row r="566" customHeight="1" spans="1:29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</row>
    <row r="567" customHeight="1" spans="1:29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</row>
    <row r="568" customHeight="1" spans="1:29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</row>
    <row r="569" customHeight="1" spans="1:2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</row>
    <row r="570" customHeight="1" spans="1:29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</row>
    <row r="571" customHeight="1" spans="1:29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</row>
    <row r="572" customHeight="1" spans="1:29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</row>
    <row r="573" customHeight="1" spans="1:29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</row>
    <row r="574" customHeight="1" spans="1:29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</row>
    <row r="575" customHeight="1" spans="1:29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</row>
    <row r="576" customHeight="1" spans="1:29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</row>
    <row r="577" customHeight="1" spans="1:29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</row>
    <row r="578" customHeight="1" spans="1:29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</row>
    <row r="579" customHeight="1" spans="1:2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</row>
    <row r="580" customHeight="1" spans="1:29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</row>
    <row r="581" customHeight="1" spans="1:29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</row>
    <row r="582" customHeight="1" spans="1:29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</row>
    <row r="583" customHeight="1" spans="1:29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</row>
    <row r="584" customHeight="1" spans="1:29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</row>
    <row r="585" customHeight="1" spans="1:29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</row>
    <row r="586" customHeight="1" spans="1:29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</row>
    <row r="587" customHeight="1" spans="1:29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</row>
    <row r="588" customHeight="1" spans="1:29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</row>
    <row r="589" customHeight="1" spans="1:2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</row>
    <row r="590" customHeight="1" spans="1:29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</row>
    <row r="591" customHeight="1" spans="1:29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</row>
    <row r="592" customHeight="1" spans="1:29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</row>
    <row r="593" customHeight="1" spans="1:29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</row>
    <row r="594" customHeight="1" spans="1:29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</row>
    <row r="595" customHeight="1" spans="1:29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</row>
    <row r="596" customHeight="1" spans="1:29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</row>
    <row r="597" customHeight="1" spans="1:29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</row>
    <row r="598" customHeight="1" spans="1:29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</row>
    <row r="599" customHeight="1" spans="1:2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</row>
    <row r="600" customHeight="1" spans="1:29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</row>
    <row r="601" customHeight="1" spans="1:29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</row>
    <row r="602" customHeight="1" spans="1:29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</row>
    <row r="603" customHeight="1" spans="1:29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</row>
    <row r="604" customHeight="1" spans="1:29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</row>
    <row r="605" customHeight="1" spans="1:29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</row>
    <row r="606" customHeight="1" spans="1:29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</row>
    <row r="607" customHeight="1" spans="1:29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</row>
    <row r="608" customHeight="1" spans="1:29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</row>
    <row r="609" customHeight="1" spans="1:2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</row>
    <row r="610" customHeight="1" spans="1:29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</row>
    <row r="611" customHeight="1" spans="1:29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</row>
    <row r="612" customHeight="1" spans="1:29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</row>
    <row r="613" customHeight="1" spans="1:29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</row>
    <row r="614" customHeight="1" spans="1:29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</row>
    <row r="615" customHeight="1" spans="1:29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</row>
    <row r="616" customHeight="1" spans="1:29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</row>
    <row r="617" customHeight="1" spans="1:29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</row>
    <row r="618" customHeight="1" spans="1:29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</row>
    <row r="619" customHeight="1" spans="1:2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</row>
    <row r="620" customHeight="1" spans="1:29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</row>
    <row r="621" customHeight="1" spans="1:29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</row>
    <row r="622" customHeight="1" spans="1:29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</row>
    <row r="623" customHeight="1" spans="1:29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</row>
    <row r="624" customHeight="1" spans="1:29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</row>
    <row r="625" customHeight="1" spans="1:29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</row>
    <row r="626" customHeight="1" spans="1:29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</row>
    <row r="627" customHeight="1" spans="1:29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</row>
    <row r="628" customHeight="1" spans="1:29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</row>
    <row r="629" customHeight="1" spans="1: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</row>
    <row r="630" customHeight="1" spans="1:29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</row>
    <row r="631" customHeight="1" spans="1:29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</row>
    <row r="632" customHeight="1" spans="1:29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</row>
    <row r="633" customHeight="1" spans="1:29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</row>
    <row r="634" customHeight="1" spans="1:29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</row>
    <row r="635" customHeight="1" spans="1:29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</row>
    <row r="636" customHeight="1" spans="1:29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</row>
    <row r="637" customHeight="1" spans="1:29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</row>
    <row r="638" customHeight="1" spans="1:29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</row>
    <row r="639" customHeight="1" spans="1:2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</row>
    <row r="640" customHeight="1" spans="1:29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</row>
    <row r="641" customHeight="1" spans="1:29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</row>
    <row r="642" customHeight="1" spans="1:29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</row>
    <row r="643" customHeight="1" spans="1:29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</row>
    <row r="644" customHeight="1" spans="1:29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</row>
    <row r="645" customHeight="1" spans="1:29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</row>
    <row r="646" customHeight="1" spans="1:29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</row>
    <row r="647" customHeight="1" spans="1:29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</row>
    <row r="648" customHeight="1" spans="1:29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</row>
    <row r="649" customHeight="1" spans="1:2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</row>
    <row r="650" customHeight="1" spans="1:29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</row>
    <row r="651" customHeight="1" spans="1:29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</row>
    <row r="652" customHeight="1" spans="1:29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</row>
    <row r="653" customHeight="1" spans="1:29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</row>
    <row r="654" customHeight="1" spans="1:29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</row>
    <row r="655" customHeight="1" spans="1:29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</row>
    <row r="656" customHeight="1" spans="1:29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</row>
    <row r="657" customHeight="1" spans="1:29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</row>
    <row r="658" customHeight="1" spans="1:29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</row>
    <row r="659" customHeight="1" spans="1:2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</row>
    <row r="660" customHeight="1" spans="1:29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</row>
    <row r="661" customHeight="1" spans="1:29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</row>
    <row r="662" customHeight="1" spans="1:29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</row>
    <row r="663" customHeight="1" spans="1:29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</row>
    <row r="664" customHeight="1" spans="1:29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</row>
    <row r="665" customHeight="1" spans="1:29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</row>
    <row r="666" customHeight="1" spans="1:29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</row>
    <row r="667" customHeight="1" spans="1:29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</row>
    <row r="668" customHeight="1" spans="1:29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</row>
    <row r="669" customHeight="1" spans="1:2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</row>
    <row r="670" customHeight="1" spans="1:29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</row>
    <row r="671" customHeight="1" spans="1:29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</row>
    <row r="672" customHeight="1" spans="1:29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</row>
    <row r="673" customHeight="1" spans="1:29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</row>
    <row r="674" customHeight="1" spans="1:29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</row>
    <row r="675" customHeight="1" spans="1:29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</row>
    <row r="676" customHeight="1" spans="1:29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</row>
    <row r="677" customHeight="1" spans="1:29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</row>
    <row r="678" customHeight="1" spans="1:29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</row>
    <row r="679" customHeight="1" spans="1:2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</row>
    <row r="680" customHeight="1" spans="1:29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</row>
    <row r="681" customHeight="1" spans="1:29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</row>
    <row r="682" customHeight="1" spans="1:29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</row>
    <row r="683" customHeight="1" spans="1:29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</row>
    <row r="684" customHeight="1" spans="1:29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</row>
    <row r="685" customHeight="1" spans="1:29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</row>
    <row r="686" customHeight="1" spans="1:29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</row>
    <row r="687" customHeight="1" spans="1:29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</row>
    <row r="688" customHeight="1" spans="1:29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</row>
    <row r="689" customHeight="1" spans="1:2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</row>
    <row r="690" customHeight="1" spans="1:29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</row>
    <row r="691" customHeight="1" spans="1:29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</row>
    <row r="692" customHeight="1" spans="1:29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</row>
    <row r="693" customHeight="1" spans="1:29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</row>
    <row r="694" customHeight="1" spans="1:29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</row>
    <row r="695" customHeight="1" spans="1:29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</row>
    <row r="696" customHeight="1" spans="1:29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</row>
    <row r="697" customHeight="1" spans="1:29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</row>
    <row r="698" customHeight="1" spans="1:29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</row>
    <row r="699" customHeight="1" spans="1:2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</row>
    <row r="700" customHeight="1" spans="1:29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</row>
    <row r="701" customHeight="1" spans="1:29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</row>
    <row r="702" customHeight="1" spans="1:29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</row>
    <row r="703" customHeight="1" spans="1:29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</row>
    <row r="704" customHeight="1" spans="1:29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</row>
    <row r="705" customHeight="1" spans="1:29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</row>
    <row r="706" customHeight="1" spans="1:29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</row>
    <row r="707" customHeight="1" spans="1:29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</row>
    <row r="708" customHeight="1" spans="1:29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</row>
    <row r="709" customHeight="1" spans="1:2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</row>
    <row r="710" customHeight="1" spans="1:29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</row>
    <row r="711" customHeight="1" spans="1:29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</row>
    <row r="712" customHeight="1" spans="1:29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</row>
    <row r="713" customHeight="1" spans="1:29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</row>
    <row r="714" customHeight="1" spans="1:29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</row>
    <row r="715" customHeight="1" spans="1:29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</row>
    <row r="716" customHeight="1" spans="1:29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</row>
    <row r="717" customHeight="1" spans="1:29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</row>
    <row r="718" customHeight="1" spans="1:29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</row>
    <row r="719" customHeight="1" spans="1:2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</row>
    <row r="720" customHeight="1" spans="1:29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</row>
    <row r="721" customHeight="1" spans="1:29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</row>
    <row r="722" customHeight="1" spans="1:29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</row>
    <row r="723" customHeight="1" spans="1:29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</row>
    <row r="724" customHeight="1" spans="1:29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</row>
    <row r="725" customHeight="1" spans="1:29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</row>
    <row r="726" customHeight="1" spans="1:29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</row>
    <row r="727" customHeight="1" spans="1:29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</row>
    <row r="728" customHeight="1" spans="1:29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</row>
    <row r="729" customHeight="1" spans="1: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</row>
    <row r="730" customHeight="1" spans="1:29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</row>
    <row r="731" customHeight="1" spans="1:29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</row>
    <row r="732" customHeight="1" spans="1:29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</row>
    <row r="733" customHeight="1" spans="1:29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</row>
    <row r="734" customHeight="1" spans="1:29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</row>
    <row r="735" customHeight="1" spans="1:29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</row>
    <row r="736" customHeight="1" spans="1:29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</row>
    <row r="737" customHeight="1" spans="1:29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</row>
    <row r="738" customHeight="1" spans="1:29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</row>
    <row r="739" customHeight="1" spans="1:2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</row>
    <row r="740" customHeight="1" spans="1:29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</row>
    <row r="741" customHeight="1" spans="1:29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</row>
    <row r="742" customHeight="1" spans="1:29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</row>
    <row r="743" customHeight="1" spans="1:29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</row>
    <row r="744" customHeight="1" spans="1:29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</row>
    <row r="745" customHeight="1" spans="1:29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</row>
    <row r="746" customHeight="1" spans="1:29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</row>
    <row r="747" customHeight="1" spans="1:29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</row>
    <row r="748" customHeight="1" spans="1:29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</row>
    <row r="749" customHeight="1" spans="1:2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</row>
    <row r="750" customHeight="1" spans="1:29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</row>
    <row r="751" customHeight="1" spans="1:29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</row>
    <row r="752" customHeight="1" spans="1:29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</row>
    <row r="753" customHeight="1" spans="1:29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</row>
    <row r="754" customHeight="1" spans="1:29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</row>
    <row r="755" customHeight="1" spans="1:29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</row>
    <row r="756" customHeight="1" spans="1:29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</row>
    <row r="757" customHeight="1" spans="1:29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</row>
    <row r="758" customHeight="1" spans="1:29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</row>
    <row r="759" customHeight="1" spans="1:2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</row>
    <row r="760" customHeight="1" spans="1:29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</row>
    <row r="761" customHeight="1" spans="1:29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</row>
    <row r="762" customHeight="1" spans="1:29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</row>
    <row r="763" customHeight="1" spans="1:29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</row>
    <row r="764" customHeight="1" spans="1:29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</row>
    <row r="765" customHeight="1" spans="1:29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</row>
    <row r="766" customHeight="1" spans="1:29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</row>
    <row r="767" customHeight="1" spans="1:29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</row>
    <row r="768" customHeight="1" spans="1:29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</row>
    <row r="769" customHeight="1" spans="1:2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</row>
    <row r="770" customHeight="1" spans="1:29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</row>
    <row r="771" customHeight="1" spans="1:29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</row>
    <row r="772" customHeight="1" spans="1:29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</row>
    <row r="773" customHeight="1" spans="1:29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</row>
    <row r="774" customHeight="1" spans="1:29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</row>
    <row r="775" customHeight="1" spans="1:29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</row>
    <row r="776" customHeight="1" spans="1:29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</row>
    <row r="777" customHeight="1" spans="1:29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</row>
    <row r="778" customHeight="1" spans="1:29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</row>
    <row r="779" customHeight="1" spans="1:2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</row>
    <row r="780" customHeight="1" spans="1:29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</row>
    <row r="781" customHeight="1" spans="1:29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</row>
    <row r="782" customHeight="1" spans="1:29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</row>
    <row r="783" customHeight="1" spans="1:29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</row>
    <row r="784" customHeight="1" spans="1:29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</row>
    <row r="785" customHeight="1" spans="1:29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</row>
    <row r="786" customHeight="1" spans="1:29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</row>
    <row r="787" customHeight="1" spans="1:29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</row>
    <row r="788" customHeight="1" spans="1:29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</row>
    <row r="789" customHeight="1" spans="1:2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</row>
    <row r="790" customHeight="1" spans="1:29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</row>
    <row r="791" customHeight="1" spans="1:29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</row>
    <row r="792" customHeight="1" spans="1:29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</row>
    <row r="793" customHeight="1" spans="1:29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</row>
    <row r="794" customHeight="1" spans="1:29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</row>
    <row r="795" customHeight="1" spans="1:29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</row>
    <row r="796" customHeight="1" spans="1:29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</row>
    <row r="797" customHeight="1" spans="1:29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</row>
    <row r="798" customHeight="1" spans="1:29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</row>
    <row r="799" customHeight="1" spans="1:2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</row>
    <row r="800" customHeight="1" spans="1:29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</row>
    <row r="801" customHeight="1" spans="1:29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</row>
    <row r="802" customHeight="1" spans="1:29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</row>
    <row r="803" customHeight="1" spans="1:29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</row>
    <row r="804" customHeight="1" spans="1:29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</row>
    <row r="805" customHeight="1" spans="1:29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</row>
    <row r="806" customHeight="1" spans="1:29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</row>
    <row r="807" customHeight="1" spans="1:29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</row>
    <row r="808" customHeight="1" spans="1:29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</row>
    <row r="809" customHeight="1" spans="1:2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</row>
    <row r="810" customHeight="1" spans="1:29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</row>
    <row r="811" customHeight="1" spans="1:29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</row>
    <row r="812" customHeight="1" spans="1:29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</row>
    <row r="813" customHeight="1" spans="1:29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</row>
    <row r="814" customHeight="1" spans="1:29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</row>
    <row r="815" customHeight="1" spans="1:29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</row>
    <row r="816" customHeight="1" spans="1:29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</row>
    <row r="817" customHeight="1" spans="1:29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</row>
    <row r="818" customHeight="1" spans="1:29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</row>
    <row r="819" customHeight="1" spans="1:2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</row>
    <row r="820" customHeight="1" spans="1:29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</row>
    <row r="821" customHeight="1" spans="1:29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</row>
    <row r="822" customHeight="1" spans="1:29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</row>
    <row r="823" customHeight="1" spans="1:29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</row>
    <row r="824" customHeight="1" spans="1:29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</row>
    <row r="825" customHeight="1" spans="1:29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</row>
    <row r="826" customHeight="1" spans="1:29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</row>
    <row r="827" customHeight="1" spans="1:29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</row>
    <row r="828" customHeight="1" spans="1:29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</row>
    <row r="829" customHeight="1" spans="1: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</row>
    <row r="830" customHeight="1" spans="1:29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</row>
    <row r="831" customHeight="1" spans="1:29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</row>
    <row r="832" customHeight="1" spans="1:29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</row>
    <row r="833" customHeight="1" spans="1:29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</row>
    <row r="834" customHeight="1" spans="1:29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</row>
    <row r="835" customHeight="1" spans="1:29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</row>
    <row r="836" customHeight="1" spans="1:29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</row>
    <row r="837" customHeight="1" spans="1:29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</row>
    <row r="838" customHeight="1" spans="1:29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</row>
    <row r="839" customHeight="1" spans="1:2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</row>
    <row r="840" customHeight="1" spans="1:29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</row>
    <row r="841" customHeight="1" spans="1:29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</row>
    <row r="842" customHeight="1" spans="1:29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</row>
    <row r="843" customHeight="1" spans="1:29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</row>
    <row r="844" customHeight="1" spans="1:29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</row>
    <row r="845" customHeight="1" spans="1:29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</row>
    <row r="846" customHeight="1" spans="1:29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</row>
    <row r="847" customHeight="1" spans="1:29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</row>
    <row r="848" customHeight="1" spans="1:29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</row>
    <row r="849" customHeight="1" spans="1:2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</row>
    <row r="850" customHeight="1" spans="1:29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</row>
    <row r="851" customHeight="1" spans="1:29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</row>
    <row r="852" customHeight="1" spans="1:29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</row>
    <row r="853" customHeight="1" spans="1:29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</row>
    <row r="854" customHeight="1" spans="1:29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</row>
    <row r="855" customHeight="1" spans="1:29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</row>
    <row r="856" customHeight="1" spans="1:29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</row>
    <row r="857" customHeight="1" spans="1:29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</row>
    <row r="858" customHeight="1" spans="1:29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</row>
    <row r="859" customHeight="1" spans="1:2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</row>
    <row r="860" customHeight="1" spans="1:29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</row>
    <row r="861" customHeight="1" spans="1:29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</row>
    <row r="862" customHeight="1" spans="1:29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</row>
    <row r="863" customHeight="1" spans="1:29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</row>
    <row r="864" customHeight="1" spans="1:29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</row>
    <row r="865" customHeight="1" spans="1:29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</row>
    <row r="866" customHeight="1" spans="1:29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</row>
    <row r="867" customHeight="1" spans="1:29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</row>
    <row r="868" customHeight="1" spans="1:29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</row>
    <row r="869" customHeight="1" spans="1:2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</row>
    <row r="870" customHeight="1" spans="1:29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</row>
    <row r="871" customHeight="1" spans="1:29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</row>
    <row r="872" customHeight="1" spans="1:29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</row>
    <row r="873" customHeight="1" spans="1:29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</row>
    <row r="874" customHeight="1" spans="1:29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</row>
    <row r="875" customHeight="1" spans="1:29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</row>
    <row r="876" customHeight="1" spans="1:29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</row>
    <row r="877" customHeight="1" spans="1:29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</row>
    <row r="878" customHeight="1" spans="1:29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</row>
    <row r="879" customHeight="1" spans="1:2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</row>
    <row r="880" customHeight="1" spans="1:29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</row>
    <row r="881" customHeight="1" spans="1:29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</row>
    <row r="882" customHeight="1" spans="1:29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</row>
    <row r="883" customHeight="1" spans="1:29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</row>
    <row r="884" customHeight="1" spans="1:29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</row>
    <row r="885" customHeight="1" spans="1:29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</row>
    <row r="886" customHeight="1" spans="1:29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</row>
    <row r="887" customHeight="1" spans="1:29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</row>
    <row r="888" customHeight="1" spans="1:29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</row>
    <row r="889" customHeight="1" spans="1:2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</row>
    <row r="890" customHeight="1" spans="1:29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</row>
    <row r="891" customHeight="1" spans="1:29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</row>
    <row r="892" customHeight="1" spans="1:29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</row>
    <row r="893" customHeight="1" spans="1:29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</row>
    <row r="894" customHeight="1" spans="1:29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</row>
    <row r="895" customHeight="1" spans="1:29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</row>
    <row r="896" customHeight="1" spans="1:29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</row>
    <row r="897" customHeight="1" spans="1:29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</row>
    <row r="898" customHeight="1" spans="1:29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</row>
    <row r="899" customHeight="1" spans="1:2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</row>
    <row r="900" customHeight="1" spans="1:29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</row>
    <row r="901" customHeight="1" spans="1:29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</row>
    <row r="902" customHeight="1" spans="1:29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</row>
    <row r="903" customHeight="1" spans="1:29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</row>
    <row r="904" customHeight="1" spans="1:29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</row>
    <row r="905" customHeight="1" spans="1:29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</row>
    <row r="906" customHeight="1" spans="1:29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</row>
    <row r="907" customHeight="1" spans="1:29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</row>
    <row r="908" customHeight="1" spans="1:29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</row>
    <row r="909" customHeight="1" spans="1:2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</row>
    <row r="910" customHeight="1" spans="1:29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</row>
    <row r="911" customHeight="1" spans="1:29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</row>
    <row r="912" customHeight="1" spans="1:29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</row>
    <row r="913" customHeight="1" spans="1:29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</row>
    <row r="914" customHeight="1" spans="1:29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</row>
    <row r="915" customHeight="1" spans="1:29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</row>
    <row r="916" customHeight="1" spans="1:29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</row>
    <row r="917" customHeight="1" spans="1:29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</row>
    <row r="918" customHeight="1" spans="1:29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</row>
    <row r="919" customHeight="1" spans="1:2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</row>
    <row r="920" customHeight="1" spans="1:29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</row>
    <row r="921" customHeight="1" spans="1:29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</row>
    <row r="922" customHeight="1" spans="1:29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</row>
    <row r="923" customHeight="1" spans="1:29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</row>
    <row r="924" customHeight="1" spans="1:29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</row>
    <row r="925" customHeight="1" spans="1:29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</row>
    <row r="926" customHeight="1" spans="1:29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</row>
    <row r="927" customHeight="1" spans="1:29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</row>
    <row r="928" customHeight="1" spans="1:29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</row>
    <row r="929" customHeight="1" spans="1: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</row>
    <row r="930" customHeight="1" spans="1:29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</row>
    <row r="931" customHeight="1" spans="1:29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</row>
    <row r="932" customHeight="1" spans="1:29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</row>
    <row r="933" customHeight="1" spans="1:29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</row>
    <row r="934" customHeight="1" spans="1:29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</row>
    <row r="935" customHeight="1" spans="1:29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</row>
    <row r="936" customHeight="1" spans="1:29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</row>
    <row r="937" customHeight="1" spans="1:29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</row>
    <row r="938" customHeight="1" spans="1:29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</row>
    <row r="939" customHeight="1" spans="1:2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</row>
    <row r="940" customHeight="1" spans="1:29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</row>
    <row r="941" customHeight="1" spans="1:29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</row>
    <row r="942" customHeight="1" spans="1:29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</row>
    <row r="943" customHeight="1" spans="1:29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</row>
    <row r="944" customHeight="1" spans="1:29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</row>
    <row r="945" customHeight="1" spans="1:29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</row>
    <row r="946" customHeight="1" spans="1:29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</row>
    <row r="947" customHeight="1" spans="1:29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</row>
    <row r="948" customHeight="1" spans="1:29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</row>
    <row r="949" customHeight="1" spans="1:2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</row>
    <row r="950" customHeight="1" spans="1:29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</row>
    <row r="951" customHeight="1" spans="1:29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</row>
    <row r="952" customHeight="1" spans="1:29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</row>
    <row r="953" customHeight="1" spans="1:29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</row>
    <row r="954" customHeight="1" spans="1:29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</row>
    <row r="955" customHeight="1" spans="1:29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</row>
    <row r="956" customHeight="1" spans="1:29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</row>
    <row r="957" customHeight="1" spans="1:29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</row>
    <row r="958" customHeight="1" spans="1:29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</row>
    <row r="959" customHeight="1" spans="1:2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</row>
    <row r="960" customHeight="1" spans="1:29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</row>
    <row r="961" customHeight="1" spans="1:29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</row>
    <row r="962" customHeight="1" spans="1:29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</row>
    <row r="963" customHeight="1" spans="1:29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</row>
    <row r="964" customHeight="1" spans="1:29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</row>
    <row r="965" customHeight="1" spans="1:29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</row>
    <row r="966" customHeight="1" spans="1:29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</row>
    <row r="967" customHeight="1" spans="1:29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</row>
    <row r="968" customHeight="1" spans="1:29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</row>
    <row r="969" customHeight="1" spans="1:2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</row>
    <row r="970" customHeight="1" spans="1:29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</row>
    <row r="971" customHeight="1" spans="1:29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</row>
    <row r="972" customHeight="1" spans="1:29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</row>
    <row r="973" customHeight="1" spans="1:29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</row>
    <row r="974" customHeight="1" spans="1:29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</row>
    <row r="975" customHeight="1" spans="1:29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</row>
    <row r="976" customHeight="1" spans="1:29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</row>
    <row r="977" customHeight="1" spans="1:29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</row>
    <row r="978" customHeight="1" spans="1:29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</row>
    <row r="979" customHeight="1" spans="1:2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</row>
    <row r="980" customHeight="1" spans="1:29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</row>
    <row r="981" customHeight="1" spans="1:29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</row>
    <row r="982" customHeight="1" spans="1:29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</row>
    <row r="983" customHeight="1" spans="1:29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</row>
    <row r="984" customHeight="1" spans="1:29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</row>
    <row r="985" customHeight="1" spans="1:29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</row>
    <row r="986" customHeight="1" spans="1:29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</row>
    <row r="987" customHeight="1" spans="1:29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</row>
    <row r="988" customHeight="1" spans="1:29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</row>
    <row r="989" customHeight="1" spans="1:2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</row>
    <row r="990" customHeight="1" spans="1:29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</row>
    <row r="991" customHeight="1" spans="1:29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</row>
    <row r="992" customHeight="1" spans="1:29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</row>
    <row r="993" customHeight="1" spans="1:29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</row>
    <row r="994" customHeight="1" spans="1:29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</row>
    <row r="995" customHeight="1" spans="1:29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</row>
    <row r="996" customHeight="1" spans="1:29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</row>
    <row r="997" customHeight="1" spans="1:29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</row>
    <row r="998" customHeight="1" spans="1:29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</row>
    <row r="999" customHeight="1" spans="1:2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</row>
    <row r="1000" customHeight="1" spans="1:29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</row>
    <row r="1001" customHeight="1" spans="1:29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</row>
    <row r="1002" customHeight="1" spans="1:29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</row>
  </sheetData>
  <mergeCells count="8">
    <mergeCell ref="A2:C2"/>
    <mergeCell ref="G2:I2"/>
    <mergeCell ref="Q3:S3"/>
    <mergeCell ref="A22:C22"/>
    <mergeCell ref="D22:E22"/>
    <mergeCell ref="G22:K22"/>
    <mergeCell ref="L22:N22"/>
    <mergeCell ref="C41:E4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980"/>
  <sheetViews>
    <sheetView showGridLines="0" workbookViewId="0">
      <selection activeCell="A1" sqref="A1"/>
    </sheetView>
  </sheetViews>
  <sheetFormatPr defaultColWidth="12.6296296296296" defaultRowHeight="15.75" customHeight="1"/>
  <sheetData>
    <row r="1" customHeight="1" spans="1:26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customHeight="1" spans="1:26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customHeight="1" spans="1:26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customHeight="1" spans="1:26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customHeight="1" spans="1:26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customHeight="1" spans="1:2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customHeight="1" spans="1:26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customHeight="1" spans="1:26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customHeight="1" spans="1:26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customHeight="1" spans="1:26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customHeight="1" spans="1:26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customHeight="1" spans="1:26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customHeight="1" spans="1:26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customHeight="1" spans="1:26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customHeight="1" spans="1:26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customHeight="1" spans="1:2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customHeight="1" spans="1:26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customHeight="1" spans="1:26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customHeight="1" spans="1:26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customHeight="1" spans="1:26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customHeight="1" spans="1:26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customHeight="1" spans="1:26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customHeight="1" spans="1:26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customHeight="1" spans="1:26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customHeight="1" spans="1:26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customHeight="1" spans="1: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customHeight="1" spans="1:26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customHeight="1" spans="1:26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customHeight="1" spans="1:26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customHeight="1" spans="1:26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customHeight="1" spans="1:26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customHeight="1" spans="1:26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customHeight="1" spans="1:26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customHeight="1" spans="1:26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customHeight="1" spans="1:26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customHeight="1" spans="1:2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customHeight="1" spans="1:26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customHeight="1" spans="1:26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customHeight="1" spans="1:26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customHeight="1" spans="1:26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customHeight="1" spans="1:26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customHeight="1" spans="1:26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customHeight="1" spans="1:26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customHeight="1" spans="1:26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customHeight="1" spans="1:26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customHeight="1" spans="1:2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customHeight="1" spans="1:26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customHeight="1" spans="1:26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customHeight="1" spans="1:26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customHeight="1" spans="1:26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customHeight="1" spans="1:26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customHeight="1" spans="1:26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customHeight="1" spans="1:26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customHeight="1" spans="1:26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customHeight="1" spans="1:26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customHeight="1" spans="1:2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customHeight="1" spans="1:26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customHeight="1" spans="1:26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customHeight="1" spans="1:26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customHeight="1" spans="1:26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customHeight="1" spans="1:26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customHeight="1" spans="1:26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customHeight="1" spans="1:26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customHeight="1" spans="1:2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customHeight="1" spans="1:2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customHeight="1" spans="1:2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customHeight="1" spans="1:26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customHeight="1" spans="1:26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customHeight="1" spans="1:2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customHeight="1" spans="1:2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customHeight="1" spans="1:2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customHeight="1" spans="1:2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customHeight="1" spans="1:2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customHeight="1" spans="1:2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customHeight="1" spans="1:2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customHeight="1" spans="1:2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customHeight="1" spans="1:26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customHeight="1" spans="1:2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customHeight="1" spans="1:26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customHeight="1" spans="1:26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customHeight="1" spans="1:26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customHeight="1" spans="1:26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customHeight="1" spans="1:26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customHeight="1" spans="1:26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customHeight="1" spans="1:26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customHeight="1" spans="1:2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customHeight="1" spans="1:26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customHeight="1" spans="1:26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customHeight="1" spans="1:26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customHeight="1" spans="1:26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customHeight="1" spans="1:26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customHeight="1" spans="1:26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customHeight="1" spans="1:26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customHeight="1" spans="1:26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customHeight="1" spans="1:26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customHeight="1" spans="1:2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customHeight="1" spans="1:26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customHeight="1" spans="1:26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customHeight="1" spans="1:26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customHeight="1" spans="1:26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customHeight="1" spans="1:26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customHeight="1" spans="1:26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customHeight="1" spans="1:26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customHeight="1" spans="1:26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customHeight="1" spans="1:26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customHeight="1" spans="1:2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customHeight="1" spans="1:26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customHeight="1" spans="1:26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customHeight="1" spans="1:26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customHeight="1" spans="1:26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customHeight="1" spans="1:26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customHeight="1" spans="1:26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customHeight="1" spans="1:26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customHeight="1" spans="1:26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customHeight="1" spans="1:26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customHeight="1" spans="1:2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customHeight="1" spans="1:26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customHeight="1" spans="1:26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customHeight="1" spans="1:26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customHeight="1" spans="1:26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customHeight="1" spans="1:26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customHeight="1" spans="1:26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customHeight="1" spans="1:26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customHeight="1" spans="1:26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customHeight="1" spans="1:26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customHeight="1" spans="1: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customHeight="1" spans="1:26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customHeight="1" spans="1:26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customHeight="1" spans="1:26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customHeight="1" spans="1:26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customHeight="1" spans="1:26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customHeight="1" spans="1:26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customHeight="1" spans="1:26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customHeight="1" spans="1:26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customHeight="1" spans="1:26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customHeight="1" spans="1:2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customHeight="1" spans="1:26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customHeight="1" spans="1:26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customHeight="1" spans="1:26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customHeight="1" spans="1:26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customHeight="1" spans="1:26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customHeight="1" spans="1:26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customHeight="1" spans="1:26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customHeight="1" spans="1:26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customHeight="1" spans="1:26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customHeight="1" spans="1:2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customHeight="1" spans="1:26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customHeight="1" spans="1:26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customHeight="1" spans="1:26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customHeight="1" spans="1:26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customHeight="1" spans="1:26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customHeight="1" spans="1:26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customHeight="1" spans="1:26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customHeight="1" spans="1:26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customHeight="1" spans="1:26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customHeight="1" spans="1:2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customHeight="1" spans="1:26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customHeight="1" spans="1:26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customHeight="1" spans="1:26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customHeight="1" spans="1:26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customHeight="1" spans="1:26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customHeight="1" spans="1:26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customHeight="1" spans="1:26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customHeight="1" spans="1:26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customHeight="1" spans="1:26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customHeight="1" spans="1:2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customHeight="1" spans="1:26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customHeight="1" spans="1:26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customHeight="1" spans="1:26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customHeight="1" spans="1:26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customHeight="1" spans="1:26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customHeight="1" spans="1:26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customHeight="1" spans="1:26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customHeight="1" spans="1:26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customHeight="1" spans="1:26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customHeight="1" spans="1:2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customHeight="1" spans="1:26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customHeight="1" spans="1:26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customHeight="1" spans="1:26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customHeight="1" spans="1:26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customHeight="1" spans="1:26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customHeight="1" spans="1:26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customHeight="1" spans="1:26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customHeight="1" spans="1:26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customHeight="1" spans="1:26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customHeight="1" spans="1:2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customHeight="1" spans="1:26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customHeight="1" spans="1:26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customHeight="1" spans="1:26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customHeight="1" spans="1:26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customHeight="1" spans="1:26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customHeight="1" spans="1:26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customHeight="1" spans="1:26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customHeight="1" spans="1:26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customHeight="1" spans="1:26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customHeight="1" spans="1:2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customHeight="1" spans="1:26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customHeight="1" spans="1:26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customHeight="1" spans="1:26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customHeight="1" spans="1:26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customHeight="1" spans="1:26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customHeight="1" spans="1:26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customHeight="1" spans="1:26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customHeight="1" spans="1:26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customHeight="1" spans="1:26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customHeight="1" spans="1:2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customHeight="1" spans="1:26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customHeight="1" spans="1:26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customHeight="1" spans="1:26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customHeight="1" spans="1:26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customHeight="1" spans="1:26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customHeight="1" spans="1:26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customHeight="1" spans="1:26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customHeight="1" spans="1:26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customHeight="1" spans="1:26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customHeight="1" spans="1:2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customHeight="1" spans="1:26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customHeight="1" spans="1:26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customHeight="1" spans="1:26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customHeight="1" spans="1:26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customHeight="1" spans="1:26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customHeight="1" spans="1:26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customHeight="1" spans="1:26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customHeight="1" spans="1:26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customHeight="1" spans="1:26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customHeight="1" spans="1: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customHeight="1" spans="1:26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customHeight="1" spans="1:26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customHeight="1" spans="1:26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customHeight="1" spans="1:26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customHeight="1" spans="1:26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customHeight="1" spans="1:26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customHeight="1" spans="1:26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customHeight="1" spans="1:26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customHeight="1" spans="1:26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customHeight="1" spans="1:2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customHeight="1" spans="1:26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customHeight="1" spans="1:26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customHeight="1" spans="1:26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customHeight="1" spans="1:26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customHeight="1" spans="1:26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customHeight="1" spans="1:26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customHeight="1" spans="1:26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customHeight="1" spans="1:26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customHeight="1" spans="1:26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customHeight="1" spans="1:2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customHeight="1" spans="1:26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customHeight="1" spans="1:26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customHeight="1" spans="1:26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customHeight="1" spans="1:26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customHeight="1" spans="1:26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customHeight="1" spans="1:26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customHeight="1" spans="1:26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customHeight="1" spans="1:26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customHeight="1" spans="1:26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customHeight="1" spans="1:2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customHeight="1" spans="1:26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customHeight="1" spans="1:26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customHeight="1" spans="1:26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customHeight="1" spans="1:26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customHeight="1" spans="1:26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customHeight="1" spans="1:26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customHeight="1" spans="1:26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customHeight="1" spans="1:26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customHeight="1" spans="1:26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customHeight="1" spans="1:2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customHeight="1" spans="1:26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customHeight="1" spans="1:26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customHeight="1" spans="1:26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customHeight="1" spans="1:26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customHeight="1" spans="1:26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customHeight="1" spans="1:26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customHeight="1" spans="1:26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customHeight="1" spans="1:26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customHeight="1" spans="1:26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customHeight="1" spans="1:2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customHeight="1" spans="1:26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customHeight="1" spans="1:26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customHeight="1" spans="1:26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customHeight="1" spans="1:26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customHeight="1" spans="1:26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customHeight="1" spans="1:26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customHeight="1" spans="1:26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customHeight="1" spans="1:26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customHeight="1" spans="1:26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customHeight="1" spans="1:2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customHeight="1" spans="1:26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customHeight="1" spans="1:26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customHeight="1" spans="1:26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customHeight="1" spans="1:26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customHeight="1" spans="1:26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customHeight="1" spans="1:26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customHeight="1" spans="1:26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customHeight="1" spans="1:26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customHeight="1" spans="1:26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customHeight="1" spans="1:2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customHeight="1" spans="1:26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customHeight="1" spans="1:26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customHeight="1" spans="1:26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customHeight="1" spans="1:26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customHeight="1" spans="1:26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customHeight="1" spans="1:26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customHeight="1" spans="1:26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customHeight="1" spans="1:26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customHeight="1" spans="1:26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customHeight="1" spans="1:2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customHeight="1" spans="1:26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customHeight="1" spans="1:26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customHeight="1" spans="1:26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customHeight="1" spans="1:26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customHeight="1" spans="1:26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customHeight="1" spans="1:26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customHeight="1" spans="1:26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customHeight="1" spans="1:26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customHeight="1" spans="1:26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customHeight="1" spans="1:2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customHeight="1" spans="1:26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customHeight="1" spans="1:26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customHeight="1" spans="1:26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customHeight="1" spans="1:26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customHeight="1" spans="1:26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customHeight="1" spans="1:26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customHeight="1" spans="1:26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customHeight="1" spans="1:26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customHeight="1" spans="1:26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customHeight="1" spans="1: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customHeight="1" spans="1:26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customHeight="1" spans="1:26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customHeight="1" spans="1:26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customHeight="1" spans="1:26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customHeight="1" spans="1:26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customHeight="1" spans="1:26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customHeight="1" spans="1:26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customHeight="1" spans="1:26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customHeight="1" spans="1:26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customHeight="1" spans="1:2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customHeight="1" spans="1:26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customHeight="1" spans="1:26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customHeight="1" spans="1:26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customHeight="1" spans="1:26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customHeight="1" spans="1:26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customHeight="1" spans="1:26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customHeight="1" spans="1:26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customHeight="1" spans="1:26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customHeight="1" spans="1:26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customHeight="1" spans="1:2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customHeight="1" spans="1:26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customHeight="1" spans="1:26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customHeight="1" spans="1:26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customHeight="1" spans="1:26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customHeight="1" spans="1:26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customHeight="1" spans="1:26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customHeight="1" spans="1:26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customHeight="1" spans="1:26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customHeight="1" spans="1:26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customHeight="1" spans="1:2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customHeight="1" spans="1:26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customHeight="1" spans="1:26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customHeight="1" spans="1:26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customHeight="1" spans="1:26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customHeight="1" spans="1:26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customHeight="1" spans="1:26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customHeight="1" spans="1:26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customHeight="1" spans="1:26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customHeight="1" spans="1:26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customHeight="1" spans="1:2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customHeight="1" spans="1:26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customHeight="1" spans="1:26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customHeight="1" spans="1:26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customHeight="1" spans="1:26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customHeight="1" spans="1:26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customHeight="1" spans="1:26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customHeight="1" spans="1:26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customHeight="1" spans="1:26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customHeight="1" spans="1:26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customHeight="1" spans="1:2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customHeight="1" spans="1:26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customHeight="1" spans="1:26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customHeight="1" spans="1:26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customHeight="1" spans="1:26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customHeight="1" spans="1:26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customHeight="1" spans="1:26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customHeight="1" spans="1:26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customHeight="1" spans="1:26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customHeight="1" spans="1:26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customHeight="1" spans="1:2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customHeight="1" spans="1:26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customHeight="1" spans="1:26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customHeight="1" spans="1:26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customHeight="1" spans="1:26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customHeight="1" spans="1:26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customHeight="1" spans="1:26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customHeight="1" spans="1:26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customHeight="1" spans="1:26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customHeight="1" spans="1:26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customHeight="1" spans="1:2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customHeight="1" spans="1:26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customHeight="1" spans="1:26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customHeight="1" spans="1:26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customHeight="1" spans="1:26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customHeight="1" spans="1:26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customHeight="1" spans="1:26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customHeight="1" spans="1:26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customHeight="1" spans="1:26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customHeight="1" spans="1:26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customHeight="1" spans="1:2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customHeight="1" spans="1:26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customHeight="1" spans="1:26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customHeight="1" spans="1:26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customHeight="1" spans="1:26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customHeight="1" spans="1:26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customHeight="1" spans="1:26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customHeight="1" spans="1:26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customHeight="1" spans="1:26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customHeight="1" spans="1:26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customHeight="1" spans="1:2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customHeight="1" spans="1:26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customHeight="1" spans="1:26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customHeight="1" spans="1:26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customHeight="1" spans="1:26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customHeight="1" spans="1:26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customHeight="1" spans="1:26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customHeight="1" spans="1:26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customHeight="1" spans="1:26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customHeight="1" spans="1:26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customHeight="1" spans="1: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customHeight="1" spans="1:26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customHeight="1" spans="1:26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customHeight="1" spans="1:26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customHeight="1" spans="1:26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customHeight="1" spans="1:26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customHeight="1" spans="1:26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customHeight="1" spans="1:26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customHeight="1" spans="1:26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customHeight="1" spans="1:26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customHeight="1" spans="1:2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customHeight="1" spans="1:26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customHeight="1" spans="1:26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customHeight="1" spans="1:26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customHeight="1" spans="1:26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customHeight="1" spans="1:26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customHeight="1" spans="1:26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customHeight="1" spans="1:26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customHeight="1" spans="1:26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customHeight="1" spans="1:26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customHeight="1" spans="1:2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customHeight="1" spans="1:26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customHeight="1" spans="1:26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customHeight="1" spans="1:26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customHeight="1" spans="1:26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customHeight="1" spans="1:26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customHeight="1" spans="1:26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customHeight="1" spans="1:26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customHeight="1" spans="1:26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customHeight="1" spans="1:26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customHeight="1" spans="1:2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customHeight="1" spans="1:26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customHeight="1" spans="1:26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customHeight="1" spans="1:26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customHeight="1" spans="1:26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customHeight="1" spans="1:26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customHeight="1" spans="1:26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customHeight="1" spans="1:26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customHeight="1" spans="1:26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customHeight="1" spans="1:26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customHeight="1" spans="1:2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customHeight="1" spans="1:26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customHeight="1" spans="1:26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customHeight="1" spans="1:26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customHeight="1" spans="1:26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customHeight="1" spans="1:26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customHeight="1" spans="1:26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customHeight="1" spans="1:26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customHeight="1" spans="1:26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customHeight="1" spans="1:26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customHeight="1" spans="1:2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customHeight="1" spans="1:26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customHeight="1" spans="1:26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customHeight="1" spans="1:26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customHeight="1" spans="1:26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customHeight="1" spans="1:26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customHeight="1" spans="1:26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customHeight="1" spans="1:26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customHeight="1" spans="1:26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customHeight="1" spans="1:26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customHeight="1" spans="1:2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customHeight="1" spans="1:26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customHeight="1" spans="1:26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customHeight="1" spans="1:26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customHeight="1" spans="1:26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customHeight="1" spans="1:26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customHeight="1" spans="1:26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customHeight="1" spans="1:26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customHeight="1" spans="1:26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customHeight="1" spans="1:26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customHeight="1" spans="1:2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customHeight="1" spans="1:26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customHeight="1" spans="1:26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customHeight="1" spans="1:26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customHeight="1" spans="1:26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customHeight="1" spans="1:26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customHeight="1" spans="1:26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customHeight="1" spans="1:26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customHeight="1" spans="1:26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customHeight="1" spans="1:26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customHeight="1" spans="1:2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customHeight="1" spans="1:26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customHeight="1" spans="1:26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customHeight="1" spans="1:26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customHeight="1" spans="1:26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customHeight="1" spans="1:26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customHeight="1" spans="1:26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customHeight="1" spans="1:26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customHeight="1" spans="1:26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customHeight="1" spans="1:26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customHeight="1" spans="1:2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customHeight="1" spans="1:26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customHeight="1" spans="1:26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customHeight="1" spans="1:26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customHeight="1" spans="1:26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customHeight="1" spans="1:26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customHeight="1" spans="1:26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customHeight="1" spans="1:26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customHeight="1" spans="1:26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customHeight="1" spans="1:26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customHeight="1" spans="1: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customHeight="1" spans="1:26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customHeight="1" spans="1:26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customHeight="1" spans="1:26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customHeight="1" spans="1:26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customHeight="1" spans="1:26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customHeight="1" spans="1:26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customHeight="1" spans="1:26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customHeight="1" spans="1:26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customHeight="1" spans="1:26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customHeight="1" spans="1:2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customHeight="1" spans="1:26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customHeight="1" spans="1:26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customHeight="1" spans="1:26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customHeight="1" spans="1:26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customHeight="1" spans="1:26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customHeight="1" spans="1:26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customHeight="1" spans="1:26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customHeight="1" spans="1:26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customHeight="1" spans="1:26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customHeight="1" spans="1:2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customHeight="1" spans="1:26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customHeight="1" spans="1:26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customHeight="1" spans="1:26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customHeight="1" spans="1:26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customHeight="1" spans="1:26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customHeight="1" spans="1:26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customHeight="1" spans="1:26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customHeight="1" spans="1:26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customHeight="1" spans="1:26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customHeight="1" spans="1:2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customHeight="1" spans="1:26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customHeight="1" spans="1:26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customHeight="1" spans="1:26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customHeight="1" spans="1:26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customHeight="1" spans="1:26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customHeight="1" spans="1:26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customHeight="1" spans="1:26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customHeight="1" spans="1:26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customHeight="1" spans="1:26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customHeight="1" spans="1:2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customHeight="1" spans="1:26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customHeight="1" spans="1:26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customHeight="1" spans="1:26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customHeight="1" spans="1:26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customHeight="1" spans="1:26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customHeight="1" spans="1:26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customHeight="1" spans="1:26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customHeight="1" spans="1:26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customHeight="1" spans="1:26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customHeight="1" spans="1:2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customHeight="1" spans="1:26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customHeight="1" spans="1:26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customHeight="1" spans="1:26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customHeight="1" spans="1:26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customHeight="1" spans="1:26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customHeight="1" spans="1:26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customHeight="1" spans="1:26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customHeight="1" spans="1:26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customHeight="1" spans="1:26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customHeight="1" spans="1:2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customHeight="1" spans="1:26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customHeight="1" spans="1:26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customHeight="1" spans="1:26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customHeight="1" spans="1:26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customHeight="1" spans="1:26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customHeight="1" spans="1:26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customHeight="1" spans="1:26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customHeight="1" spans="1:26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customHeight="1" spans="1:26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customHeight="1" spans="1:2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customHeight="1" spans="1:26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customHeight="1" spans="1:26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customHeight="1" spans="1:26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customHeight="1" spans="1:26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customHeight="1" spans="1:26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customHeight="1" spans="1:26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customHeight="1" spans="1:26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customHeight="1" spans="1:26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customHeight="1" spans="1:26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customHeight="1" spans="1:2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customHeight="1" spans="1:26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customHeight="1" spans="1:26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customHeight="1" spans="1:26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customHeight="1" spans="1:26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customHeight="1" spans="1:26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customHeight="1" spans="1:26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customHeight="1" spans="1:26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customHeight="1" spans="1:26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customHeight="1" spans="1:26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customHeight="1" spans="1:2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customHeight="1" spans="1:26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customHeight="1" spans="1:26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customHeight="1" spans="1:26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customHeight="1" spans="1:26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customHeight="1" spans="1:26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customHeight="1" spans="1:26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customHeight="1" spans="1:26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customHeight="1" spans="1:26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customHeight="1" spans="1:26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customHeight="1" spans="1: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customHeight="1" spans="1:26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customHeight="1" spans="1:26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customHeight="1" spans="1:26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customHeight="1" spans="1:26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customHeight="1" spans="1:26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customHeight="1" spans="1:26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customHeight="1" spans="1:26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customHeight="1" spans="1:26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customHeight="1" spans="1:26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customHeight="1" spans="1:2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customHeight="1" spans="1:26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customHeight="1" spans="1:26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customHeight="1" spans="1:26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customHeight="1" spans="1:26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customHeight="1" spans="1:26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customHeight="1" spans="1:26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customHeight="1" spans="1:26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customHeight="1" spans="1:26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customHeight="1" spans="1:26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customHeight="1" spans="1:2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customHeight="1" spans="1:26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customHeight="1" spans="1:26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customHeight="1" spans="1:26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customHeight="1" spans="1:26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customHeight="1" spans="1:26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customHeight="1" spans="1:26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customHeight="1" spans="1:26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customHeight="1" spans="1:26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customHeight="1" spans="1:26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customHeight="1" spans="1:2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customHeight="1" spans="1:26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customHeight="1" spans="1:26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customHeight="1" spans="1:26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customHeight="1" spans="1:26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customHeight="1" spans="1:26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customHeight="1" spans="1:26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customHeight="1" spans="1:26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customHeight="1" spans="1:26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customHeight="1" spans="1:26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customHeight="1" spans="1:2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customHeight="1" spans="1:26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customHeight="1" spans="1:26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customHeight="1" spans="1:26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customHeight="1" spans="1:26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customHeight="1" spans="1:26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customHeight="1" spans="1:26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customHeight="1" spans="1:26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customHeight="1" spans="1:26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customHeight="1" spans="1:26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customHeight="1" spans="1:2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customHeight="1" spans="1:26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customHeight="1" spans="1:26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customHeight="1" spans="1:26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customHeight="1" spans="1:26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customHeight="1" spans="1:26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customHeight="1" spans="1:26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customHeight="1" spans="1:26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customHeight="1" spans="1:26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customHeight="1" spans="1:26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customHeight="1" spans="1:2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customHeight="1" spans="1:26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customHeight="1" spans="1:26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customHeight="1" spans="1:26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customHeight="1" spans="1:26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customHeight="1" spans="1:26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customHeight="1" spans="1:26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customHeight="1" spans="1:26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customHeight="1" spans="1:26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customHeight="1" spans="1:26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customHeight="1" spans="1:2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customHeight="1" spans="1:26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customHeight="1" spans="1:26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customHeight="1" spans="1:26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customHeight="1" spans="1:26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customHeight="1" spans="1:26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customHeight="1" spans="1:26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customHeight="1" spans="1:26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customHeight="1" spans="1:26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customHeight="1" spans="1:26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customHeight="1" spans="1:2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customHeight="1" spans="1:26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customHeight="1" spans="1:26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customHeight="1" spans="1:26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customHeight="1" spans="1:26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customHeight="1" spans="1:26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customHeight="1" spans="1:26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customHeight="1" spans="1:26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customHeight="1" spans="1:26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customHeight="1" spans="1:26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customHeight="1" spans="1:2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customHeight="1" spans="1:26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customHeight="1" spans="1:26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customHeight="1" spans="1:26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customHeight="1" spans="1:26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customHeight="1" spans="1:26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customHeight="1" spans="1:26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customHeight="1" spans="1:26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customHeight="1" spans="1:26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customHeight="1" spans="1:26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customHeight="1" spans="1: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customHeight="1" spans="1:26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customHeight="1" spans="1:26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customHeight="1" spans="1:26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customHeight="1" spans="1:26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customHeight="1" spans="1:26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customHeight="1" spans="1:26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customHeight="1" spans="1:26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customHeight="1" spans="1:26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customHeight="1" spans="1:26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customHeight="1" spans="1:2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customHeight="1" spans="1:26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customHeight="1" spans="1:26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customHeight="1" spans="1:26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customHeight="1" spans="1:26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customHeight="1" spans="1:26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customHeight="1" spans="1:26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customHeight="1" spans="1:26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customHeight="1" spans="1:26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customHeight="1" spans="1:26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customHeight="1" spans="1:2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customHeight="1" spans="1:26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customHeight="1" spans="1:26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customHeight="1" spans="1:26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customHeight="1" spans="1:26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customHeight="1" spans="1:26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customHeight="1" spans="1:26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customHeight="1" spans="1:26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customHeight="1" spans="1:26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customHeight="1" spans="1:26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customHeight="1" spans="1:2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customHeight="1" spans="1:26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customHeight="1" spans="1:26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customHeight="1" spans="1:26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customHeight="1" spans="1:26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customHeight="1" spans="1:26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customHeight="1" spans="1:26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customHeight="1" spans="1:26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customHeight="1" spans="1:26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customHeight="1" spans="1:26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customHeight="1" spans="1:2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customHeight="1" spans="1:26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customHeight="1" spans="1:26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customHeight="1" spans="1:26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customHeight="1" spans="1:26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customHeight="1" spans="1:26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customHeight="1" spans="1:26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customHeight="1" spans="1:26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customHeight="1" spans="1:26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customHeight="1" spans="1:26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customHeight="1" spans="1:2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customHeight="1" spans="1:26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customHeight="1" spans="1:26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customHeight="1" spans="1:26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customHeight="1" spans="1:26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customHeight="1" spans="1:26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customHeight="1" spans="1:26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customHeight="1" spans="1:26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customHeight="1" spans="1:26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customHeight="1" spans="1:26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customHeight="1" spans="1:2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customHeight="1" spans="1:26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customHeight="1" spans="1:26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customHeight="1" spans="1:26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customHeight="1" spans="1:26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customHeight="1" spans="1:26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customHeight="1" spans="1:26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customHeight="1" spans="1:26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customHeight="1" spans="1:26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customHeight="1" spans="1:26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customHeight="1" spans="1:2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customHeight="1" spans="1:26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customHeight="1" spans="1:26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customHeight="1" spans="1:26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customHeight="1" spans="1:26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customHeight="1" spans="1:26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customHeight="1" spans="1:26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customHeight="1" spans="1:26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customHeight="1" spans="1:26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customHeight="1" spans="1:26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customHeight="1" spans="1:2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customHeight="1" spans="1:26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customHeight="1" spans="1:26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customHeight="1" spans="1:26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customHeight="1" spans="1:26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customHeight="1" spans="1:26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customHeight="1" spans="1:26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customHeight="1" spans="1:26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customHeight="1" spans="1:26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customHeight="1" spans="1:26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customHeight="1" spans="1:2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customHeight="1" spans="1:26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customHeight="1" spans="1:26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customHeight="1" spans="1:26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customHeight="1" spans="1:26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customHeight="1" spans="1:26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customHeight="1" spans="1:26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customHeight="1" spans="1:26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customHeight="1" spans="1:26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customHeight="1" spans="1:26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customHeight="1" spans="1: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customHeight="1" spans="1:26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customHeight="1" spans="1:26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customHeight="1" spans="1:26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customHeight="1" spans="1:26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customHeight="1" spans="1:26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customHeight="1" spans="1:26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customHeight="1" spans="1:26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customHeight="1" spans="1:26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customHeight="1" spans="1:26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customHeight="1" spans="1:2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customHeight="1" spans="1:26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customHeight="1" spans="1:26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customHeight="1" spans="1:26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customHeight="1" spans="1:26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customHeight="1" spans="1:26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customHeight="1" spans="1:26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customHeight="1" spans="1:26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customHeight="1" spans="1:26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customHeight="1" spans="1:26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customHeight="1" spans="1:2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customHeight="1" spans="1:26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customHeight="1" spans="1:26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customHeight="1" spans="1:26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customHeight="1" spans="1:26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customHeight="1" spans="1:26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customHeight="1" spans="1:26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customHeight="1" spans="1:26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customHeight="1" spans="1:26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customHeight="1" spans="1:26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customHeight="1" spans="1:2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customHeight="1" spans="1:26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customHeight="1" spans="1:26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customHeight="1" spans="1:26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customHeight="1" spans="1:26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customHeight="1" spans="1:26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customHeight="1" spans="1:26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customHeight="1" spans="1:26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customHeight="1" spans="1:26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customHeight="1" spans="1:26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customHeight="1" spans="1:2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customHeight="1" spans="1:26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customHeight="1" spans="1:26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customHeight="1" spans="1:26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customHeight="1" spans="1:26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customHeight="1" spans="1:26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customHeight="1" spans="1:26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customHeight="1" spans="1:26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customHeight="1" spans="1:26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customHeight="1" spans="1:26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customHeight="1" spans="1:2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customHeight="1" spans="1:26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customHeight="1" spans="1:26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customHeight="1" spans="1:26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customHeight="1" spans="1:26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customHeight="1" spans="1:26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customHeight="1" spans="1:26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customHeight="1" spans="1:26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customHeight="1" spans="1:26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customHeight="1" spans="1:26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customHeight="1" spans="1:2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customHeight="1" spans="1:26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customHeight="1" spans="1:26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customHeight="1" spans="1:26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customHeight="1" spans="1:26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customHeight="1" spans="1:26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customHeight="1" spans="1:26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customHeight="1" spans="1:26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customHeight="1" spans="1:26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customHeight="1" spans="1:26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customHeight="1" spans="1:2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customHeight="1" spans="1:26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customHeight="1" spans="1:26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customHeight="1" spans="1:26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customHeight="1" spans="1:26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customHeight="1" spans="1:26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customHeight="1" spans="1:26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customHeight="1" spans="1:26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customHeight="1" spans="1:26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customHeight="1" spans="1:26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customHeight="1" spans="1:2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customHeight="1" spans="1:26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customHeight="1" spans="1:26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customHeight="1" spans="1:26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customHeight="1" spans="1:26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customHeight="1" spans="1:26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customHeight="1" spans="1:26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customHeight="1" spans="1:26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customHeight="1" spans="1:26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customHeight="1" spans="1:26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customHeight="1" spans="1:2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customHeight="1" spans="1:26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customHeight="1" spans="1:26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customHeight="1" spans="1:26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customHeight="1" spans="1:26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customHeight="1" spans="1:26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customHeight="1" spans="1:26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customHeight="1" spans="1:26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customHeight="1" spans="1:26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customHeight="1" spans="1:26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customHeight="1" spans="1: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customHeight="1" spans="1:26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customHeight="1" spans="1:26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customHeight="1" spans="1:26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customHeight="1" spans="1:26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customHeight="1" spans="1:26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customHeight="1" spans="1:26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customHeight="1" spans="1:26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customHeight="1" spans="1:26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customHeight="1" spans="1:26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customHeight="1" spans="1:2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customHeight="1" spans="1:26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customHeight="1" spans="1:26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customHeight="1" spans="1:26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customHeight="1" spans="1:26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customHeight="1" spans="1:26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customHeight="1" spans="1:26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customHeight="1" spans="1:26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customHeight="1" spans="1:26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customHeight="1" spans="1:26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customHeight="1" spans="1:2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customHeight="1" spans="1:26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customHeight="1" spans="1:26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customHeight="1" spans="1:26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customHeight="1" spans="1:26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customHeight="1" spans="1:26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customHeight="1" spans="1:26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customHeight="1" spans="1:26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customHeight="1" spans="1:26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customHeight="1" spans="1:26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customHeight="1" spans="1:2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customHeight="1" spans="1:26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customHeight="1" spans="1:26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customHeight="1" spans="1:26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customHeight="1" spans="1:26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customHeight="1" spans="1:26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customHeight="1" spans="1:26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customHeight="1" spans="1:26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customHeight="1" spans="1:26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customHeight="1" spans="1:26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customHeight="1" spans="1:2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customHeight="1" spans="1:26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customHeight="1" spans="1:26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customHeight="1" spans="1:26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customHeight="1" spans="1:26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customHeight="1" spans="1:26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customHeight="1" spans="1:26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customHeight="1" spans="1:26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customHeight="1" spans="1:26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customHeight="1" spans="1:26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customHeight="1" spans="1:2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customHeight="1" spans="1:26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customHeight="1" spans="1:26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customHeight="1" spans="1:26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customHeight="1" spans="1:26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</sheetData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162"/>
  <sheetViews>
    <sheetView workbookViewId="0">
      <pane ySplit="1" topLeftCell="A2" activePane="bottomLeft" state="frozen"/>
      <selection/>
      <selection pane="bottomLeft" activeCell="B3" sqref="B3"/>
    </sheetView>
  </sheetViews>
  <sheetFormatPr defaultColWidth="12.6296296296296" defaultRowHeight="15.75" customHeight="1"/>
  <cols>
    <col min="1" max="1" width="16" customWidth="1"/>
    <col min="2" max="2" width="20.8796296296296" customWidth="1"/>
    <col min="3" max="3" width="41.6296296296296" customWidth="1"/>
    <col min="4" max="4" width="22.8796296296296" customWidth="1"/>
    <col min="5" max="5" width="17.8796296296296" customWidth="1"/>
  </cols>
  <sheetData>
    <row r="1" customHeight="1" spans="1:10">
      <c r="A1" s="1" t="s">
        <v>2726</v>
      </c>
      <c r="B1" s="1" t="s">
        <v>2727</v>
      </c>
      <c r="C1" s="1" t="s">
        <v>2728</v>
      </c>
      <c r="D1" s="1" t="s">
        <v>2729</v>
      </c>
      <c r="E1" s="1" t="s">
        <v>2730</v>
      </c>
      <c r="F1" s="1" t="s">
        <v>2731</v>
      </c>
    </row>
    <row r="2" customHeight="1" spans="1:10">
      <c r="A2" s="2" t="s">
        <v>2732</v>
      </c>
      <c r="B2" s="2" t="s">
        <v>2733</v>
      </c>
      <c r="C2" s="2" t="s">
        <v>2734</v>
      </c>
      <c r="D2" s="2" t="s">
        <v>2735</v>
      </c>
      <c r="E2" s="2" t="s">
        <v>2736</v>
      </c>
      <c r="F2" s="2" t="s">
        <v>2737</v>
      </c>
    </row>
    <row r="3" customHeight="1" spans="1:10">
      <c r="A3" s="2" t="s">
        <v>2738</v>
      </c>
      <c r="B3" s="2" t="s">
        <v>2739</v>
      </c>
      <c r="C3" s="2" t="s">
        <v>2740</v>
      </c>
      <c r="D3" s="2" t="s">
        <v>2741</v>
      </c>
      <c r="E3" s="3" t="s">
        <v>2742</v>
      </c>
      <c r="F3" s="2" t="s">
        <v>2743</v>
      </c>
      <c r="G3" s="2"/>
      <c r="H3" s="2"/>
      <c r="I3" s="2"/>
      <c r="J3" s="2"/>
    </row>
    <row r="4" customHeight="1" spans="1:10">
      <c r="A4" s="2" t="s">
        <v>2744</v>
      </c>
      <c r="B4" s="2" t="s">
        <v>2745</v>
      </c>
      <c r="C4" s="2" t="s">
        <v>2746</v>
      </c>
      <c r="D4" s="2" t="s">
        <v>2747</v>
      </c>
      <c r="E4" s="3" t="s">
        <v>2748</v>
      </c>
      <c r="F4" s="2" t="s">
        <v>2749</v>
      </c>
      <c r="G4" s="2"/>
      <c r="H4" s="2"/>
      <c r="I4" s="2"/>
      <c r="J4" s="2"/>
    </row>
    <row r="5" customHeight="1" spans="1:10">
      <c r="A5" s="2" t="s">
        <v>2750</v>
      </c>
      <c r="B5" s="2" t="s">
        <v>2751</v>
      </c>
      <c r="C5" s="2" t="s">
        <v>2752</v>
      </c>
      <c r="D5" s="2" t="s">
        <v>2753</v>
      </c>
      <c r="E5" s="2" t="s">
        <v>2754</v>
      </c>
      <c r="F5" s="2" t="s">
        <v>2755</v>
      </c>
      <c r="G5" s="2"/>
      <c r="H5" s="2"/>
      <c r="I5" s="2"/>
      <c r="J5" s="2"/>
    </row>
    <row r="6" customHeight="1" spans="1:10">
      <c r="A6" s="2" t="s">
        <v>2756</v>
      </c>
      <c r="B6" s="2" t="s">
        <v>2757</v>
      </c>
      <c r="C6" s="2" t="s">
        <v>2758</v>
      </c>
      <c r="D6" s="2" t="s">
        <v>2759</v>
      </c>
      <c r="E6" s="2" t="s">
        <v>2760</v>
      </c>
      <c r="F6" s="2" t="s">
        <v>2761</v>
      </c>
      <c r="G6" s="2"/>
      <c r="H6" s="2"/>
      <c r="I6" s="2"/>
      <c r="J6" s="2"/>
    </row>
    <row r="7" customHeight="1" spans="1:10">
      <c r="A7" s="2"/>
      <c r="B7" s="2"/>
      <c r="C7" s="2"/>
      <c r="D7" s="2"/>
      <c r="E7" s="2"/>
      <c r="F7" s="2"/>
      <c r="G7" s="2"/>
      <c r="H7" s="2"/>
      <c r="I7" s="2"/>
      <c r="J7" s="2"/>
    </row>
    <row r="8" customHeight="1" spans="1:10">
      <c r="A8" s="2"/>
      <c r="B8" s="2"/>
      <c r="C8" s="2"/>
      <c r="D8" s="2"/>
      <c r="E8" s="2"/>
      <c r="F8" s="2"/>
      <c r="G8" s="2"/>
      <c r="H8" s="2"/>
      <c r="I8" s="2"/>
      <c r="J8" s="2"/>
    </row>
    <row r="9" customHeight="1" spans="1:10">
      <c r="A9" s="2"/>
      <c r="B9" s="2"/>
      <c r="C9" s="2"/>
      <c r="D9" s="2"/>
      <c r="E9" s="2"/>
      <c r="F9" s="2"/>
      <c r="G9" s="2"/>
      <c r="H9" s="2"/>
      <c r="I9" s="2"/>
      <c r="J9" s="2"/>
    </row>
    <row r="10" customHeight="1" spans="1:10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customHeight="1" spans="1:10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customHeight="1" spans="1:10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customHeight="1" spans="1:10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customHeight="1" spans="1:10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customHeight="1" spans="1:10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customHeight="1" spans="1:10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customHeight="1" spans="1:10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customHeight="1" spans="1:10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customHeight="1" spans="1:10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customHeight="1" spans="1:10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customHeight="1" spans="1:10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customHeight="1" spans="1:10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customHeight="1" spans="1:10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customHeight="1" spans="1:10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customHeight="1" spans="1:10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customHeight="1" spans="1:10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customHeight="1" spans="1:10">
      <c r="A27" s="2"/>
      <c r="B27" s="2"/>
      <c r="C27" s="2"/>
      <c r="D27" s="2"/>
      <c r="E27" s="2"/>
      <c r="F27" s="2"/>
    </row>
    <row r="28" customHeight="1" spans="1:10">
      <c r="A28" s="2"/>
      <c r="B28" s="2"/>
      <c r="C28" s="2"/>
      <c r="D28" s="2"/>
      <c r="E28" s="2"/>
      <c r="F28" s="2"/>
    </row>
    <row r="29" customHeight="1" spans="1:10">
      <c r="A29" s="2"/>
      <c r="B29" s="2"/>
      <c r="C29" s="2"/>
      <c r="D29" s="2"/>
      <c r="E29" s="2"/>
      <c r="F29" s="2"/>
    </row>
    <row r="30" customHeight="1" spans="1:10">
      <c r="A30" s="2"/>
      <c r="B30" s="2"/>
      <c r="C30" s="2"/>
      <c r="D30" s="2"/>
      <c r="E30" s="2"/>
      <c r="F30" s="2"/>
    </row>
    <row r="31" customHeight="1" spans="1:10">
      <c r="A31" s="2"/>
      <c r="B31" s="2"/>
      <c r="C31" s="2"/>
      <c r="D31" s="2"/>
      <c r="E31" s="2"/>
      <c r="F31" s="2"/>
    </row>
    <row r="32" customHeight="1" spans="1:10">
      <c r="A32" s="2"/>
      <c r="B32" s="2"/>
      <c r="C32" s="2"/>
      <c r="D32" s="2"/>
      <c r="E32" s="2"/>
      <c r="F32" s="2"/>
    </row>
    <row r="33" customHeight="1" spans="1:6">
      <c r="A33" s="2"/>
      <c r="B33" s="2"/>
      <c r="C33" s="2"/>
      <c r="D33" s="2"/>
      <c r="E33" s="2"/>
      <c r="F33" s="2"/>
    </row>
    <row r="34" customHeight="1" spans="1:6">
      <c r="A34" s="2"/>
      <c r="B34" s="2"/>
      <c r="C34" s="2"/>
      <c r="D34" s="2"/>
      <c r="E34" s="2"/>
      <c r="F34" s="2"/>
    </row>
    <row r="35" customHeight="1" spans="1:6">
      <c r="A35" s="2"/>
      <c r="B35" s="2"/>
      <c r="C35" s="2"/>
      <c r="D35" s="2"/>
      <c r="E35" s="2"/>
      <c r="F35" s="2"/>
    </row>
    <row r="36" customHeight="1" spans="1:6">
      <c r="A36" s="2"/>
      <c r="B36" s="2"/>
      <c r="C36" s="2"/>
      <c r="D36" s="2"/>
      <c r="E36" s="2"/>
      <c r="F36" s="2"/>
    </row>
    <row r="37" customHeight="1" spans="1:6">
      <c r="A37" s="2"/>
      <c r="B37" s="2"/>
      <c r="C37" s="2"/>
      <c r="D37" s="2"/>
      <c r="E37" s="2"/>
      <c r="F37" s="2"/>
    </row>
    <row r="38" customHeight="1" spans="1:6">
      <c r="A38" s="2"/>
      <c r="B38" s="2"/>
      <c r="C38" s="2"/>
      <c r="D38" s="2"/>
      <c r="E38" s="2"/>
      <c r="F38" s="2"/>
    </row>
    <row r="39" customHeight="1" spans="1:6">
      <c r="A39" s="2"/>
      <c r="B39" s="2"/>
      <c r="C39" s="2"/>
      <c r="D39" s="2"/>
      <c r="E39" s="2"/>
      <c r="F39" s="2"/>
    </row>
    <row r="40" customHeight="1" spans="1:6">
      <c r="A40" s="2"/>
      <c r="B40" s="2"/>
      <c r="C40" s="2"/>
      <c r="D40" s="2"/>
      <c r="E40" s="2"/>
      <c r="F40" s="2"/>
    </row>
    <row r="41" customHeight="1" spans="1:6">
      <c r="A41" s="2"/>
      <c r="B41" s="2"/>
      <c r="C41" s="2"/>
      <c r="D41" s="2"/>
      <c r="E41" s="2"/>
      <c r="F41" s="2"/>
    </row>
    <row r="42" customHeight="1" spans="1:6">
      <c r="A42" s="2"/>
      <c r="B42" s="2"/>
      <c r="C42" s="2"/>
      <c r="D42" s="2"/>
      <c r="E42" s="2"/>
      <c r="F42" s="2"/>
    </row>
    <row r="43" customHeight="1" spans="1:6">
      <c r="A43" s="2"/>
      <c r="B43" s="2"/>
      <c r="C43" s="2"/>
      <c r="D43" s="2"/>
      <c r="E43" s="2"/>
      <c r="F43" s="2"/>
    </row>
    <row r="44" customHeight="1" spans="1:6">
      <c r="A44" s="2"/>
      <c r="B44" s="2"/>
      <c r="C44" s="2"/>
      <c r="D44" s="2"/>
      <c r="E44" s="2"/>
      <c r="F44" s="2"/>
    </row>
    <row r="45" customHeight="1" spans="1:6">
      <c r="A45" s="2"/>
      <c r="B45" s="2"/>
      <c r="C45" s="2"/>
      <c r="D45" s="2"/>
      <c r="E45" s="2"/>
      <c r="F45" s="2"/>
    </row>
    <row r="46" customHeight="1" spans="1:6">
      <c r="A46" s="2"/>
      <c r="B46" s="2"/>
      <c r="C46" s="2"/>
      <c r="D46" s="2"/>
      <c r="E46" s="2"/>
      <c r="F46" s="2"/>
    </row>
    <row r="47" customHeight="1" spans="1:6">
      <c r="A47" s="2"/>
      <c r="B47" s="2"/>
      <c r="C47" s="2"/>
      <c r="D47" s="2"/>
      <c r="E47" s="2"/>
      <c r="F47" s="2"/>
    </row>
    <row r="48" customHeight="1" spans="1:6">
      <c r="A48" s="2"/>
      <c r="B48" s="2"/>
      <c r="C48" s="2"/>
      <c r="D48" s="2"/>
      <c r="E48" s="2"/>
      <c r="F48" s="2"/>
    </row>
    <row r="49" customHeight="1" spans="1:6">
      <c r="A49" s="2"/>
      <c r="B49" s="2"/>
      <c r="C49" s="2"/>
      <c r="D49" s="2"/>
      <c r="E49" s="2"/>
      <c r="F49" s="2"/>
    </row>
    <row r="50" customHeight="1" spans="1:6">
      <c r="A50" s="2"/>
      <c r="B50" s="2"/>
      <c r="C50" s="2"/>
      <c r="D50" s="2"/>
      <c r="E50" s="2"/>
      <c r="F50" s="2"/>
    </row>
    <row r="51" customHeight="1" spans="1:6">
      <c r="A51" s="2"/>
      <c r="B51" s="2"/>
      <c r="C51" s="2"/>
      <c r="D51" s="2"/>
      <c r="E51" s="2"/>
      <c r="F51" s="2"/>
    </row>
    <row r="52" customHeight="1" spans="1:6">
      <c r="A52" s="2"/>
      <c r="B52" s="2"/>
      <c r="C52" s="2"/>
      <c r="D52" s="2"/>
      <c r="E52" s="2"/>
      <c r="F52" s="2"/>
    </row>
    <row r="53" customHeight="1" spans="1:6">
      <c r="A53" s="2"/>
      <c r="B53" s="2"/>
      <c r="C53" s="2"/>
      <c r="D53" s="2"/>
      <c r="E53" s="2"/>
      <c r="F53" s="2"/>
    </row>
    <row r="54" customHeight="1" spans="1:6">
      <c r="A54" s="2"/>
      <c r="B54" s="2"/>
      <c r="C54" s="2"/>
      <c r="D54" s="2"/>
      <c r="E54" s="2"/>
      <c r="F54" s="2"/>
    </row>
    <row r="55" customHeight="1" spans="1:6">
      <c r="A55" s="2"/>
      <c r="B55" s="2"/>
      <c r="C55" s="2"/>
      <c r="D55" s="2"/>
      <c r="E55" s="2"/>
      <c r="F55" s="2"/>
    </row>
    <row r="56" customHeight="1" spans="1:6">
      <c r="A56" s="2"/>
      <c r="B56" s="2"/>
      <c r="C56" s="2"/>
      <c r="D56" s="2"/>
      <c r="E56" s="2"/>
      <c r="F56" s="2"/>
    </row>
    <row r="57" customHeight="1" spans="1:6">
      <c r="A57" s="2"/>
      <c r="B57" s="2"/>
      <c r="C57" s="2"/>
      <c r="D57" s="2"/>
      <c r="E57" s="2"/>
      <c r="F57" s="2"/>
    </row>
    <row r="58" customHeight="1" spans="1:6">
      <c r="A58" s="2"/>
      <c r="B58" s="2"/>
      <c r="C58" s="2"/>
      <c r="D58" s="2"/>
      <c r="E58" s="2"/>
      <c r="F58" s="2"/>
    </row>
    <row r="59" customHeight="1" spans="1:6">
      <c r="A59" s="2"/>
      <c r="B59" s="2"/>
      <c r="C59" s="2"/>
      <c r="D59" s="2"/>
      <c r="E59" s="2"/>
      <c r="F59" s="2"/>
    </row>
    <row r="60" customHeight="1" spans="1:6">
      <c r="A60" s="2"/>
      <c r="B60" s="2"/>
      <c r="C60" s="2"/>
      <c r="D60" s="2"/>
      <c r="E60" s="2"/>
      <c r="F60" s="2"/>
    </row>
    <row r="61" customHeight="1" spans="1:6">
      <c r="A61" s="2"/>
      <c r="B61" s="2"/>
      <c r="C61" s="2"/>
      <c r="D61" s="2"/>
      <c r="E61" s="2"/>
      <c r="F61" s="2"/>
    </row>
    <row r="62" customHeight="1" spans="1:6">
      <c r="A62" s="2"/>
      <c r="B62" s="2"/>
      <c r="C62" s="2"/>
      <c r="D62" s="2"/>
      <c r="E62" s="2"/>
      <c r="F62" s="2"/>
    </row>
    <row r="63" customHeight="1" spans="1:6">
      <c r="A63" s="2"/>
      <c r="B63" s="2"/>
      <c r="C63" s="2"/>
      <c r="D63" s="2"/>
      <c r="E63" s="2"/>
      <c r="F63" s="2"/>
    </row>
    <row r="64" customHeight="1" spans="1:6">
      <c r="A64" s="2"/>
      <c r="B64" s="2"/>
      <c r="C64" s="2"/>
      <c r="D64" s="2"/>
      <c r="E64" s="2"/>
      <c r="F64" s="2"/>
    </row>
    <row r="65" customHeight="1" spans="1:6">
      <c r="A65" s="2"/>
      <c r="B65" s="2"/>
      <c r="C65" s="2"/>
      <c r="D65" s="2"/>
      <c r="E65" s="2"/>
      <c r="F65" s="2"/>
    </row>
    <row r="66" customHeight="1" spans="1:6">
      <c r="A66" s="2"/>
      <c r="B66" s="2"/>
      <c r="C66" s="2"/>
      <c r="D66" s="2"/>
      <c r="E66" s="2"/>
      <c r="F66" s="2"/>
    </row>
    <row r="67" customHeight="1" spans="1:6">
      <c r="A67" s="2"/>
      <c r="B67" s="2"/>
      <c r="C67" s="2"/>
      <c r="D67" s="2"/>
      <c r="E67" s="2"/>
      <c r="F67" s="2"/>
    </row>
    <row r="68" customHeight="1" spans="1:6">
      <c r="A68" s="2"/>
      <c r="B68" s="2"/>
      <c r="C68" s="2"/>
      <c r="D68" s="2"/>
      <c r="E68" s="2"/>
      <c r="F68" s="2"/>
    </row>
    <row r="69" customHeight="1" spans="1:6">
      <c r="A69" s="2"/>
      <c r="B69" s="2"/>
      <c r="C69" s="2"/>
      <c r="D69" s="2"/>
      <c r="E69" s="2"/>
      <c r="F69" s="2"/>
    </row>
    <row r="70" customHeight="1" spans="1:6">
      <c r="A70" s="2"/>
      <c r="B70" s="2"/>
      <c r="C70" s="2"/>
      <c r="D70" s="2"/>
      <c r="E70" s="2"/>
      <c r="F70" s="2"/>
    </row>
    <row r="71" customHeight="1" spans="1:6">
      <c r="A71" s="2"/>
      <c r="B71" s="2"/>
      <c r="C71" s="2"/>
      <c r="D71" s="2"/>
      <c r="E71" s="2"/>
      <c r="F71" s="2"/>
    </row>
    <row r="72" customHeight="1" spans="1:6">
      <c r="A72" s="2"/>
      <c r="B72" s="2"/>
      <c r="C72" s="2"/>
      <c r="D72" s="2"/>
      <c r="E72" s="2"/>
      <c r="F72" s="2"/>
    </row>
    <row r="73" customHeight="1" spans="1:6">
      <c r="A73" s="2"/>
      <c r="B73" s="2"/>
      <c r="C73" s="2"/>
      <c r="D73" s="2"/>
      <c r="E73" s="2"/>
      <c r="F73" s="2"/>
    </row>
    <row r="74" customHeight="1" spans="1:6">
      <c r="A74" s="2"/>
      <c r="B74" s="2"/>
      <c r="C74" s="2"/>
      <c r="D74" s="2"/>
      <c r="E74" s="2"/>
      <c r="F74" s="2"/>
    </row>
    <row r="75" customHeight="1" spans="1:6">
      <c r="A75" s="2"/>
      <c r="B75" s="2"/>
      <c r="C75" s="2"/>
      <c r="D75" s="2"/>
      <c r="E75" s="2"/>
      <c r="F75" s="2"/>
    </row>
    <row r="76" customHeight="1" spans="1:6">
      <c r="A76" s="2"/>
      <c r="B76" s="2"/>
      <c r="C76" s="2"/>
      <c r="D76" s="2"/>
      <c r="E76" s="2"/>
      <c r="F76" s="2"/>
    </row>
    <row r="77" customHeight="1" spans="1:6">
      <c r="A77" s="2"/>
      <c r="B77" s="2"/>
      <c r="C77" s="2"/>
      <c r="D77" s="2"/>
      <c r="E77" s="2"/>
      <c r="F77" s="2"/>
    </row>
    <row r="78" customHeight="1" spans="1:6">
      <c r="A78" s="2"/>
      <c r="B78" s="2"/>
      <c r="C78" s="2"/>
      <c r="D78" s="2"/>
      <c r="E78" s="2"/>
      <c r="F78" s="2"/>
    </row>
    <row r="79" customHeight="1" spans="1:6">
      <c r="A79" s="2"/>
      <c r="B79" s="2"/>
      <c r="C79" s="2"/>
      <c r="D79" s="2"/>
      <c r="E79" s="2"/>
      <c r="F79" s="2"/>
    </row>
    <row r="80" customHeight="1" spans="1:6">
      <c r="A80" s="2"/>
      <c r="B80" s="2"/>
      <c r="C80" s="2"/>
      <c r="D80" s="2"/>
      <c r="E80" s="2"/>
      <c r="F80" s="2"/>
    </row>
    <row r="81" customHeight="1" spans="1:6">
      <c r="A81" s="2"/>
      <c r="B81" s="2"/>
      <c r="C81" s="2"/>
      <c r="D81" s="2"/>
      <c r="E81" s="2"/>
      <c r="F81" s="2"/>
    </row>
    <row r="82" customHeight="1" spans="1:6">
      <c r="A82" s="2"/>
      <c r="B82" s="2"/>
      <c r="C82" s="2"/>
      <c r="D82" s="2"/>
      <c r="E82" s="2"/>
      <c r="F82" s="2"/>
    </row>
    <row r="83" customHeight="1" spans="1:6">
      <c r="A83" s="2"/>
      <c r="B83" s="2"/>
      <c r="C83" s="2"/>
      <c r="D83" s="2"/>
      <c r="E83" s="2"/>
      <c r="F83" s="2"/>
    </row>
    <row r="84" customHeight="1" spans="1:6">
      <c r="A84" s="2"/>
      <c r="B84" s="2"/>
      <c r="C84" s="2"/>
      <c r="D84" s="2"/>
      <c r="E84" s="2"/>
      <c r="F84" s="2"/>
    </row>
    <row r="85" customHeight="1" spans="1:6">
      <c r="A85" s="2"/>
      <c r="B85" s="2"/>
      <c r="C85" s="2"/>
      <c r="D85" s="2"/>
      <c r="E85" s="2"/>
      <c r="F85" s="2"/>
    </row>
    <row r="86" customHeight="1" spans="1:6">
      <c r="A86" s="2"/>
      <c r="B86" s="2"/>
      <c r="C86" s="2"/>
      <c r="D86" s="2"/>
      <c r="E86" s="2"/>
      <c r="F86" s="2"/>
    </row>
    <row r="87" customHeight="1" spans="1:6">
      <c r="A87" s="2"/>
      <c r="B87" s="2"/>
      <c r="C87" s="2"/>
      <c r="D87" s="2"/>
      <c r="E87" s="2"/>
      <c r="F87" s="2"/>
    </row>
    <row r="88" customHeight="1" spans="1:6">
      <c r="A88" s="2"/>
      <c r="B88" s="2"/>
      <c r="C88" s="2"/>
      <c r="D88" s="2"/>
      <c r="E88" s="2"/>
      <c r="F88" s="2"/>
    </row>
    <row r="89" customHeight="1" spans="1:6">
      <c r="A89" s="2"/>
      <c r="B89" s="2"/>
      <c r="C89" s="2"/>
      <c r="D89" s="2"/>
      <c r="E89" s="2"/>
      <c r="F89" s="2"/>
    </row>
    <row r="90" customHeight="1" spans="1:6">
      <c r="A90" s="2"/>
      <c r="B90" s="2"/>
      <c r="C90" s="2"/>
      <c r="D90" s="2"/>
      <c r="E90" s="2"/>
      <c r="F90" s="2"/>
    </row>
    <row r="91" customHeight="1" spans="1:6">
      <c r="A91" s="2"/>
      <c r="B91" s="2"/>
      <c r="C91" s="2"/>
      <c r="D91" s="2"/>
      <c r="E91" s="2"/>
      <c r="F91" s="2"/>
    </row>
    <row r="92" customHeight="1" spans="1:6">
      <c r="A92" s="2"/>
      <c r="B92" s="2"/>
      <c r="C92" s="2"/>
      <c r="D92" s="2"/>
      <c r="E92" s="2"/>
      <c r="F92" s="2"/>
    </row>
    <row r="93" customHeight="1" spans="1:6">
      <c r="A93" s="2"/>
      <c r="B93" s="2"/>
      <c r="C93" s="2"/>
      <c r="D93" s="2"/>
      <c r="E93" s="2"/>
      <c r="F93" s="2"/>
    </row>
    <row r="94" customHeight="1" spans="1:6">
      <c r="A94" s="2"/>
      <c r="B94" s="2"/>
      <c r="C94" s="2"/>
      <c r="D94" s="2"/>
      <c r="E94" s="2"/>
      <c r="F94" s="2"/>
    </row>
    <row r="95" customHeight="1" spans="1:6">
      <c r="A95" s="2"/>
      <c r="B95" s="2"/>
      <c r="C95" s="2"/>
      <c r="D95" s="2"/>
      <c r="E95" s="2"/>
      <c r="F95" s="2"/>
    </row>
    <row r="96" customHeight="1" spans="1:6">
      <c r="A96" s="2"/>
      <c r="B96" s="2"/>
      <c r="C96" s="2"/>
      <c r="D96" s="2"/>
      <c r="E96" s="2"/>
      <c r="F96" s="2"/>
    </row>
    <row r="97" customHeight="1" spans="1:6">
      <c r="A97" s="2"/>
      <c r="B97" s="2"/>
      <c r="C97" s="2"/>
      <c r="D97" s="2"/>
      <c r="E97" s="2"/>
      <c r="F97" s="2"/>
    </row>
    <row r="98" customHeight="1" spans="1:6">
      <c r="A98" s="2"/>
      <c r="B98" s="2"/>
      <c r="C98" s="2"/>
      <c r="D98" s="2"/>
      <c r="E98" s="2"/>
      <c r="F98" s="2"/>
    </row>
    <row r="99" customHeight="1" spans="1:6">
      <c r="A99" s="2"/>
      <c r="B99" s="2"/>
      <c r="C99" s="2"/>
      <c r="D99" s="2"/>
      <c r="E99" s="2"/>
      <c r="F99" s="2"/>
    </row>
    <row r="100" customHeight="1" spans="1:6">
      <c r="A100" s="2"/>
      <c r="B100" s="2"/>
      <c r="C100" s="2"/>
      <c r="D100" s="2"/>
      <c r="E100" s="2"/>
      <c r="F100" s="2"/>
    </row>
    <row r="101" customHeight="1" spans="1:6">
      <c r="A101" s="2"/>
      <c r="B101" s="2"/>
      <c r="C101" s="2"/>
      <c r="D101" s="2"/>
      <c r="E101" s="2"/>
      <c r="F101" s="2"/>
    </row>
    <row r="102" customHeight="1" spans="1:6">
      <c r="A102" s="2"/>
      <c r="B102" s="2"/>
      <c r="C102" s="2"/>
      <c r="D102" s="2"/>
      <c r="E102" s="2"/>
      <c r="F102" s="2"/>
    </row>
    <row r="103" customHeight="1" spans="1:6">
      <c r="A103" s="2"/>
      <c r="B103" s="2"/>
      <c r="C103" s="2"/>
      <c r="D103" s="2"/>
      <c r="E103" s="2"/>
      <c r="F103" s="2"/>
    </row>
    <row r="104" customHeight="1" spans="1:6">
      <c r="A104" s="2"/>
      <c r="B104" s="2"/>
      <c r="C104" s="2"/>
      <c r="D104" s="2"/>
      <c r="E104" s="2"/>
      <c r="F104" s="2"/>
    </row>
    <row r="105" customHeight="1" spans="1:6">
      <c r="A105" s="2"/>
      <c r="B105" s="2"/>
      <c r="C105" s="2"/>
      <c r="D105" s="2"/>
      <c r="E105" s="2"/>
      <c r="F105" s="2"/>
    </row>
    <row r="106" customHeight="1" spans="1:6">
      <c r="A106" s="2"/>
      <c r="B106" s="2"/>
      <c r="C106" s="2"/>
      <c r="D106" s="2"/>
      <c r="E106" s="2"/>
      <c r="F106" s="2"/>
    </row>
    <row r="107" customHeight="1" spans="1:6">
      <c r="A107" s="2"/>
      <c r="B107" s="2"/>
      <c r="C107" s="2"/>
      <c r="D107" s="2"/>
      <c r="E107" s="2"/>
      <c r="F107" s="2"/>
    </row>
    <row r="108" customHeight="1" spans="1:6">
      <c r="A108" s="2"/>
      <c r="B108" s="2"/>
      <c r="C108" s="2"/>
      <c r="D108" s="2"/>
      <c r="E108" s="2"/>
      <c r="F108" s="2"/>
    </row>
    <row r="109" customHeight="1" spans="1:6">
      <c r="A109" s="2"/>
      <c r="B109" s="2"/>
      <c r="C109" s="2"/>
      <c r="D109" s="2"/>
      <c r="E109" s="2"/>
      <c r="F109" s="2"/>
    </row>
    <row r="110" customHeight="1" spans="1:6">
      <c r="A110" s="2"/>
      <c r="B110" s="2"/>
      <c r="C110" s="2"/>
      <c r="D110" s="2"/>
      <c r="E110" s="2"/>
      <c r="F110" s="2"/>
    </row>
    <row r="111" customHeight="1" spans="1:6">
      <c r="A111" s="2"/>
      <c r="B111" s="2"/>
      <c r="C111" s="2"/>
      <c r="D111" s="2"/>
      <c r="E111" s="2"/>
      <c r="F111" s="2"/>
    </row>
    <row r="112" customHeight="1" spans="1:6">
      <c r="A112" s="2"/>
      <c r="B112" s="2"/>
      <c r="C112" s="2"/>
      <c r="D112" s="2"/>
      <c r="E112" s="2"/>
      <c r="F112" s="2"/>
    </row>
    <row r="113" customHeight="1" spans="1:6">
      <c r="A113" s="2"/>
      <c r="B113" s="2"/>
      <c r="C113" s="2"/>
      <c r="D113" s="2"/>
      <c r="E113" s="2"/>
      <c r="F113" s="2"/>
    </row>
    <row r="114" customHeight="1" spans="1:6">
      <c r="A114" s="2"/>
      <c r="B114" s="2"/>
      <c r="C114" s="2"/>
      <c r="D114" s="2"/>
      <c r="E114" s="2"/>
      <c r="F114" s="2"/>
    </row>
    <row r="115" customHeight="1" spans="1:6">
      <c r="A115" s="2"/>
      <c r="B115" s="2"/>
      <c r="C115" s="2"/>
      <c r="D115" s="2"/>
      <c r="E115" s="2"/>
      <c r="F115" s="2"/>
    </row>
    <row r="116" customHeight="1" spans="1:6">
      <c r="A116" s="2"/>
      <c r="B116" s="2"/>
      <c r="C116" s="2"/>
      <c r="D116" s="2"/>
      <c r="E116" s="2"/>
      <c r="F116" s="2"/>
    </row>
    <row r="117" customHeight="1" spans="1:6">
      <c r="A117" s="2"/>
      <c r="B117" s="2"/>
      <c r="C117" s="2"/>
      <c r="D117" s="2"/>
      <c r="E117" s="2"/>
      <c r="F117" s="2"/>
    </row>
    <row r="118" customHeight="1" spans="1:6">
      <c r="A118" s="2"/>
      <c r="B118" s="2"/>
      <c r="C118" s="2"/>
      <c r="D118" s="2"/>
      <c r="E118" s="2"/>
      <c r="F118" s="2"/>
    </row>
    <row r="119" customHeight="1" spans="1:6">
      <c r="A119" s="2"/>
      <c r="B119" s="2"/>
      <c r="C119" s="2"/>
      <c r="D119" s="2"/>
      <c r="E119" s="2"/>
      <c r="F119" s="2"/>
    </row>
    <row r="120" customHeight="1" spans="1:6">
      <c r="A120" s="2"/>
      <c r="B120" s="2"/>
      <c r="C120" s="2"/>
      <c r="D120" s="2"/>
      <c r="E120" s="2"/>
      <c r="F120" s="2"/>
    </row>
    <row r="121" customHeight="1" spans="1:6">
      <c r="A121" s="2"/>
      <c r="B121" s="2"/>
      <c r="C121" s="2"/>
      <c r="D121" s="2"/>
      <c r="E121" s="2"/>
      <c r="F121" s="2"/>
    </row>
    <row r="122" customHeight="1" spans="1:6">
      <c r="A122" s="2"/>
      <c r="B122" s="2"/>
      <c r="C122" s="2"/>
      <c r="D122" s="2"/>
      <c r="E122" s="2"/>
      <c r="F122" s="2"/>
    </row>
    <row r="123" customHeight="1" spans="1:6">
      <c r="A123" s="2"/>
      <c r="B123" s="2"/>
      <c r="C123" s="2"/>
      <c r="D123" s="2"/>
      <c r="E123" s="2"/>
      <c r="F123" s="2"/>
    </row>
    <row r="124" customHeight="1" spans="1:6">
      <c r="A124" s="2"/>
      <c r="B124" s="2"/>
      <c r="C124" s="2"/>
      <c r="D124" s="2"/>
      <c r="E124" s="2"/>
      <c r="F124" s="2"/>
    </row>
    <row r="125" customHeight="1" spans="1:6">
      <c r="A125" s="2"/>
      <c r="B125" s="2"/>
      <c r="C125" s="2"/>
      <c r="D125" s="2"/>
      <c r="E125" s="2"/>
      <c r="F125" s="2"/>
    </row>
    <row r="126" customHeight="1" spans="1:6">
      <c r="A126" s="2"/>
      <c r="B126" s="2"/>
      <c r="C126" s="2"/>
      <c r="D126" s="2"/>
      <c r="E126" s="2"/>
      <c r="F126" s="2"/>
    </row>
    <row r="127" customHeight="1" spans="1:6">
      <c r="A127" s="2"/>
      <c r="B127" s="2"/>
      <c r="C127" s="2"/>
      <c r="D127" s="2"/>
      <c r="E127" s="2"/>
      <c r="F127" s="2"/>
    </row>
    <row r="128" customHeight="1" spans="1:6">
      <c r="A128" s="2"/>
      <c r="B128" s="2"/>
      <c r="C128" s="2"/>
      <c r="D128" s="2"/>
      <c r="E128" s="2"/>
      <c r="F128" s="2"/>
    </row>
    <row r="129" customHeight="1" spans="1:6">
      <c r="A129" s="2"/>
      <c r="B129" s="2"/>
      <c r="C129" s="2"/>
      <c r="D129" s="2"/>
      <c r="E129" s="2"/>
      <c r="F129" s="2"/>
    </row>
    <row r="130" customHeight="1" spans="1:6">
      <c r="A130" s="2"/>
      <c r="B130" s="2"/>
      <c r="C130" s="2"/>
      <c r="D130" s="2"/>
      <c r="E130" s="2"/>
      <c r="F130" s="2"/>
    </row>
    <row r="131" customHeight="1" spans="1:6">
      <c r="A131" s="2"/>
      <c r="B131" s="2"/>
      <c r="C131" s="2"/>
      <c r="D131" s="2"/>
      <c r="E131" s="2"/>
      <c r="F131" s="2"/>
    </row>
    <row r="132" customHeight="1" spans="1:6">
      <c r="A132" s="2"/>
      <c r="B132" s="2"/>
      <c r="C132" s="2"/>
      <c r="D132" s="2"/>
      <c r="E132" s="2"/>
      <c r="F132" s="2"/>
    </row>
    <row r="133" customHeight="1" spans="1:6">
      <c r="A133" s="2"/>
      <c r="B133" s="2"/>
      <c r="C133" s="2"/>
      <c r="D133" s="2"/>
      <c r="E133" s="2"/>
      <c r="F133" s="2"/>
    </row>
    <row r="134" customHeight="1" spans="1:6">
      <c r="A134" s="2"/>
      <c r="B134" s="2"/>
      <c r="C134" s="2"/>
      <c r="D134" s="2"/>
      <c r="E134" s="2"/>
      <c r="F134" s="2"/>
    </row>
    <row r="135" customHeight="1" spans="1:6">
      <c r="A135" s="2"/>
      <c r="B135" s="2"/>
      <c r="C135" s="2"/>
      <c r="D135" s="2"/>
      <c r="E135" s="2"/>
      <c r="F135" s="2"/>
    </row>
    <row r="136" customHeight="1" spans="1:6">
      <c r="A136" s="2"/>
      <c r="B136" s="2"/>
      <c r="C136" s="2"/>
      <c r="D136" s="2"/>
      <c r="E136" s="2"/>
      <c r="F136" s="2"/>
    </row>
    <row r="137" customHeight="1" spans="1:6">
      <c r="A137" s="2"/>
      <c r="B137" s="2"/>
      <c r="C137" s="2"/>
      <c r="D137" s="2"/>
      <c r="E137" s="2"/>
      <c r="F137" s="2"/>
    </row>
    <row r="138" customHeight="1" spans="1:6">
      <c r="A138" s="2"/>
      <c r="B138" s="2"/>
      <c r="C138" s="2"/>
      <c r="D138" s="2"/>
      <c r="E138" s="2"/>
      <c r="F138" s="2"/>
    </row>
    <row r="139" customHeight="1" spans="1:6">
      <c r="A139" s="2"/>
      <c r="B139" s="2"/>
      <c r="C139" s="2"/>
      <c r="D139" s="2"/>
      <c r="E139" s="2"/>
      <c r="F139" s="2"/>
    </row>
    <row r="140" customHeight="1" spans="1:6">
      <c r="A140" s="2"/>
      <c r="B140" s="2"/>
      <c r="C140" s="2"/>
      <c r="D140" s="2"/>
      <c r="E140" s="2"/>
      <c r="F140" s="2"/>
    </row>
    <row r="141" customHeight="1" spans="1:6">
      <c r="A141" s="2"/>
      <c r="B141" s="2"/>
      <c r="C141" s="2"/>
      <c r="D141" s="2"/>
      <c r="E141" s="2"/>
      <c r="F141" s="2"/>
    </row>
    <row r="142" customHeight="1" spans="1:6">
      <c r="A142" s="2"/>
      <c r="B142" s="2"/>
      <c r="C142" s="2"/>
      <c r="D142" s="2"/>
      <c r="E142" s="2"/>
      <c r="F142" s="2"/>
    </row>
    <row r="143" customHeight="1" spans="1:6">
      <c r="A143" s="2"/>
      <c r="B143" s="2"/>
      <c r="C143" s="2"/>
      <c r="D143" s="2"/>
      <c r="E143" s="2"/>
      <c r="F143" s="2"/>
    </row>
    <row r="144" customHeight="1" spans="1:6">
      <c r="A144" s="2"/>
      <c r="B144" s="2"/>
      <c r="C144" s="2"/>
      <c r="D144" s="2"/>
      <c r="E144" s="2"/>
      <c r="F144" s="2"/>
    </row>
    <row r="145" customHeight="1" spans="1:6">
      <c r="A145" s="2"/>
      <c r="B145" s="2"/>
      <c r="C145" s="2"/>
      <c r="D145" s="2"/>
      <c r="E145" s="2"/>
      <c r="F145" s="2"/>
    </row>
    <row r="146" customHeight="1" spans="1:6">
      <c r="A146" s="2"/>
      <c r="B146" s="2"/>
      <c r="C146" s="2"/>
      <c r="D146" s="2"/>
      <c r="E146" s="2"/>
      <c r="F146" s="2"/>
    </row>
    <row r="147" customHeight="1" spans="1:6">
      <c r="A147" s="2"/>
      <c r="B147" s="2"/>
      <c r="C147" s="2"/>
      <c r="D147" s="2"/>
      <c r="E147" s="2"/>
      <c r="F147" s="2"/>
    </row>
    <row r="148" customHeight="1" spans="1:6">
      <c r="A148" s="2"/>
      <c r="B148" s="2"/>
      <c r="C148" s="2"/>
      <c r="D148" s="2"/>
      <c r="E148" s="2"/>
      <c r="F148" s="2"/>
    </row>
    <row r="149" customHeight="1" spans="1:6">
      <c r="A149" s="2"/>
      <c r="B149" s="2"/>
      <c r="C149" s="2"/>
      <c r="D149" s="2"/>
      <c r="E149" s="2"/>
      <c r="F149" s="2"/>
    </row>
    <row r="150" customHeight="1" spans="1:6">
      <c r="A150" s="2"/>
      <c r="B150" s="2"/>
      <c r="C150" s="2"/>
      <c r="D150" s="2"/>
      <c r="E150" s="2"/>
      <c r="F150" s="2"/>
    </row>
    <row r="151" customHeight="1" spans="1:6">
      <c r="A151" s="2"/>
      <c r="B151" s="2"/>
      <c r="C151" s="2"/>
      <c r="D151" s="2"/>
      <c r="E151" s="2"/>
      <c r="F151" s="2"/>
    </row>
    <row r="152" customHeight="1" spans="1:6">
      <c r="A152" s="2"/>
      <c r="B152" s="2"/>
      <c r="C152" s="2"/>
      <c r="D152" s="2"/>
      <c r="E152" s="2"/>
      <c r="F152" s="2"/>
    </row>
    <row r="153" customHeight="1" spans="1:6">
      <c r="A153" s="2"/>
      <c r="B153" s="2"/>
      <c r="C153" s="2"/>
      <c r="D153" s="2"/>
      <c r="E153" s="2"/>
      <c r="F153" s="2"/>
    </row>
    <row r="154" customHeight="1" spans="1:6">
      <c r="A154" s="2"/>
      <c r="B154" s="2"/>
      <c r="C154" s="2"/>
      <c r="D154" s="2"/>
      <c r="E154" s="2"/>
      <c r="F154" s="2"/>
    </row>
    <row r="155" customHeight="1" spans="1:6">
      <c r="A155" s="2"/>
      <c r="B155" s="2"/>
      <c r="C155" s="2"/>
      <c r="D155" s="2"/>
      <c r="E155" s="2"/>
      <c r="F155" s="2"/>
    </row>
    <row r="156" customHeight="1" spans="1:6">
      <c r="A156" s="2"/>
      <c r="B156" s="2"/>
      <c r="C156" s="2"/>
      <c r="D156" s="2"/>
      <c r="E156" s="2"/>
      <c r="F156" s="2"/>
    </row>
    <row r="157" customHeight="1" spans="1:6">
      <c r="A157" s="2"/>
      <c r="B157" s="2"/>
      <c r="C157" s="2"/>
      <c r="D157" s="2"/>
      <c r="E157" s="2"/>
      <c r="F157" s="2"/>
    </row>
    <row r="158" customHeight="1" spans="1:6">
      <c r="A158" s="2"/>
      <c r="B158" s="2"/>
      <c r="C158" s="2"/>
      <c r="D158" s="2"/>
      <c r="E158" s="2"/>
      <c r="F158" s="2"/>
    </row>
    <row r="159" customHeight="1" spans="1:6">
      <c r="A159" s="2"/>
      <c r="B159" s="2"/>
      <c r="C159" s="2"/>
      <c r="D159" s="2"/>
      <c r="E159" s="2"/>
      <c r="F159" s="2"/>
    </row>
    <row r="160" customHeight="1" spans="1:6">
      <c r="A160" s="2"/>
      <c r="B160" s="2"/>
      <c r="C160" s="2"/>
      <c r="D160" s="2"/>
      <c r="E160" s="2"/>
      <c r="F160" s="2"/>
    </row>
    <row r="161" customHeight="1" spans="1:6">
      <c r="A161" s="2"/>
      <c r="B161" s="2"/>
      <c r="C161" s="2"/>
      <c r="D161" s="2"/>
      <c r="E161" s="2"/>
      <c r="F161" s="2"/>
    </row>
    <row r="162" customHeight="1" spans="1:6">
      <c r="A162" s="2"/>
      <c r="B162" s="2"/>
      <c r="C162" s="2"/>
      <c r="D162" s="2"/>
      <c r="E162" s="2"/>
      <c r="F162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00_Raw</vt:lpstr>
      <vt:lpstr>01-clean</vt:lpstr>
      <vt:lpstr>02_Menu_Lookup</vt:lpstr>
      <vt:lpstr>03-ِAnalysis</vt:lpstr>
      <vt:lpstr>04_Charts</vt:lpstr>
      <vt:lpstr>05_Cleaning_Log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Mariam 99</cp:lastModifiedBy>
  <dcterms:created xsi:type="dcterms:W3CDTF">2026-09-21T07:38:25Z</dcterms:created>
  <dcterms:modified xsi:type="dcterms:W3CDTF">2026-09-21T07:38:47Z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6E5023503E67436D813BFBEA8DA09B1D_12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